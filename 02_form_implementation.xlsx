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534"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help-survey" sheetId="4" state="visible" r:id="rId4"/>
    <sheet xmlns:r="http://schemas.openxmlformats.org/officeDocument/2006/relationships" name="help-choices" sheetId="5" state="visible" r:id="rId5"/>
    <sheet xmlns:r="http://schemas.openxmlformats.org/officeDocument/2006/relationships" name="help-settings" sheetId="6" state="visible" r:id="rId6"/>
  </sheets>
  <definedNames/>
  <calcPr calcId="191029" fullCalcOnLoad="1"/>
</workbook>
</file>

<file path=xl/styles.xml><?xml version="1.0" encoding="utf-8"?>
<styleSheet xmlns="http://schemas.openxmlformats.org/spreadsheetml/2006/main">
  <numFmts count="0"/>
  <fonts count="22">
    <font>
      <name val="Calibri"/>
      <family val="2"/>
      <color indexed="8"/>
      <sz val="12"/>
    </font>
    <font>
      <name val="Verdana"/>
      <family val="2"/>
      <sz val="8"/>
    </font>
    <font>
      <name val="Calibri"/>
      <family val="2"/>
      <color indexed="12"/>
      <sz val="12"/>
      <u val="single"/>
    </font>
    <font>
      <name val="Calibri"/>
      <family val="2"/>
      <color indexed="8"/>
      <sz val="12"/>
    </font>
    <font>
      <name val="Calibri"/>
      <charset val="129"/>
      <family val="2"/>
      <color theme="1"/>
      <sz val="12"/>
      <scheme val="minor"/>
    </font>
    <font>
      <name val="Calibri"/>
      <family val="2"/>
      <color indexed="8"/>
      <sz val="12"/>
      <scheme val="minor"/>
    </font>
    <font>
      <name val="Calibri"/>
      <family val="2"/>
      <b val="1"/>
      <color indexed="8"/>
      <sz val="12"/>
      <scheme val="minor"/>
    </font>
    <font>
      <name val="Calibri"/>
      <family val="2"/>
      <b val="1"/>
      <sz val="12"/>
      <scheme val="minor"/>
    </font>
    <font>
      <name val="Calibri"/>
      <family val="2"/>
      <color theme="11"/>
      <sz val="12"/>
      <u val="single"/>
    </font>
    <font>
      <name val="Calibri"/>
      <family val="2"/>
      <b val="1"/>
      <color indexed="8"/>
      <sz val="12"/>
    </font>
    <font>
      <name val="Calibri"/>
      <family val="2"/>
      <b val="1"/>
      <color indexed="8"/>
      <sz val="12"/>
      <u val="single"/>
    </font>
    <font>
      <name val="Calibri"/>
      <family val="2"/>
      <i val="1"/>
      <color indexed="8"/>
      <sz val="12"/>
    </font>
    <font>
      <name val="Calibri"/>
      <family val="2"/>
      <b val="1"/>
      <color rgb="FF000000"/>
      <sz val="12"/>
      <u val="single"/>
    </font>
    <font>
      <name val="Calibri"/>
      <family val="2"/>
      <color indexed="8"/>
      <sz val="12"/>
      <u val="single"/>
    </font>
    <font>
      <name val="Calibri"/>
      <family val="2"/>
      <b val="1"/>
      <color rgb="FF333333"/>
      <sz val="12"/>
      <scheme val="minor"/>
    </font>
    <font>
      <name val="Calibri"/>
      <family val="2"/>
      <color rgb="FF333333"/>
      <sz val="12"/>
      <scheme val="minor"/>
    </font>
    <font>
      <name val="Calibri"/>
      <family val="2"/>
      <color rgb="FF000000"/>
      <sz val="12"/>
    </font>
    <font>
      <name val="Calibri"/>
      <family val="2"/>
      <i val="1"/>
      <color indexed="12"/>
      <sz val="12"/>
      <u val="single"/>
    </font>
    <font>
      <name val="Calibri"/>
      <family val="2"/>
      <i val="1"/>
      <color rgb="FF000000"/>
      <sz val="12"/>
    </font>
    <font>
      <name val="Calibri"/>
      <family val="2"/>
      <b val="1"/>
      <color rgb="FF000000"/>
      <sz val="12"/>
    </font>
    <font>
      <name val="Calibri"/>
      <b val="1"/>
      <color rgb="00FFFFFF"/>
      <sz val="11"/>
    </font>
    <font>
      <name val="Calibri"/>
      <sz val="11"/>
    </font>
  </fonts>
  <fills count="15">
    <fill>
      <patternFill/>
    </fill>
    <fill>
      <patternFill patternType="gray125"/>
    </fill>
    <fill>
      <patternFill patternType="solid">
        <fgColor theme="0" tint="-0.149998474074526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rgb="FFDAEEF3"/>
        <bgColor rgb="FF000000"/>
      </patternFill>
    </fill>
    <fill>
      <patternFill patternType="solid">
        <fgColor theme="9" tint="0.7999816888943144"/>
        <bgColor indexed="64"/>
      </patternFill>
    </fill>
    <fill>
      <patternFill patternType="solid">
        <fgColor rgb="FFFDE9D9"/>
        <bgColor rgb="FF000000"/>
      </patternFill>
    </fill>
    <fill>
      <patternFill patternType="solid">
        <fgColor rgb="FFE7D480"/>
        <bgColor rgb="FF000000"/>
      </patternFill>
    </fill>
    <fill>
      <patternFill patternType="solid">
        <fgColor rgb="FFD8E4BC"/>
        <bgColor rgb="FF000000"/>
      </patternFill>
    </fill>
    <fill>
      <patternFill patternType="solid">
        <fgColor rgb="FFFFD44B"/>
        <bgColor rgb="FF000000"/>
      </patternFill>
    </fill>
    <fill>
      <patternFill patternType="solid">
        <fgColor rgb="FFE4E300"/>
        <bgColor rgb="FF000000"/>
      </patternFill>
    </fill>
    <fill>
      <patternFill patternType="solid">
        <fgColor rgb="FFDCC97A"/>
        <bgColor rgb="FF000000"/>
      </patternFill>
    </fill>
    <fill>
      <patternFill patternType="solid">
        <fgColor rgb="FFFABF8F"/>
        <bgColor rgb="FF000000"/>
      </patternFill>
    </fill>
    <fill>
      <patternFill patternType="solid">
        <fgColor rgb="004472C4"/>
      </patternFill>
    </fill>
  </fills>
  <borders count="41">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indexed="64"/>
      </bottom>
      <diagonal/>
    </border>
    <border>
      <left/>
      <right/>
      <top/>
      <bottom style="thin">
        <color indexed="64"/>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theme="0" tint="-0.249977111117893"/>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rgb="FFA6A6A6"/>
      </left>
      <right style="thin">
        <color rgb="FFA6A6A6"/>
      </right>
      <top style="thin">
        <color rgb="FFA6A6A6"/>
      </top>
      <bottom style="thin">
        <color rgb="FFA6A6A6"/>
      </bottom>
      <diagonal/>
    </border>
    <border>
      <left style="thin">
        <color theme="0" tint="-0.249977111117893"/>
      </left>
      <right/>
      <top/>
      <bottom style="thin">
        <color theme="0" tint="-0.249977111117893"/>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s>
  <cellStyleXfs count="4">
    <xf numFmtId="0" fontId="3" fillId="0" borderId="0"/>
    <xf numFmtId="0" fontId="2" fillId="0" borderId="0" applyAlignment="1" applyProtection="1">
      <alignment vertical="top"/>
      <protection locked="0" hidden="0"/>
    </xf>
    <xf numFmtId="0" fontId="4" fillId="0" borderId="0"/>
    <xf numFmtId="0" fontId="8" fillId="0" borderId="0"/>
  </cellStyleXfs>
  <cellXfs count="174">
    <xf numFmtId="0" fontId="0" fillId="0" borderId="0" pivotButton="0" quotePrefix="0" xfId="0"/>
    <xf numFmtId="0" fontId="3" fillId="0" borderId="0" pivotButton="0" quotePrefix="0" xfId="0"/>
    <xf numFmtId="0" fontId="5" fillId="0" borderId="0" pivotButton="0" quotePrefix="0" xfId="0"/>
    <xf numFmtId="0" fontId="6" fillId="2" borderId="0" pivotButton="0" quotePrefix="0" xfId="0"/>
    <xf numFmtId="0" fontId="6" fillId="2" borderId="0" applyAlignment="1" pivotButton="0" quotePrefix="0" xfId="0">
      <alignment wrapText="1"/>
    </xf>
    <xf numFmtId="0" fontId="6" fillId="2" borderId="2" pivotButton="0" quotePrefix="0" xfId="0"/>
    <xf numFmtId="49" fontId="6" fillId="2" borderId="2" applyAlignment="1" pivotButton="0" quotePrefix="0" xfId="0">
      <alignment wrapText="1"/>
    </xf>
    <xf numFmtId="0" fontId="7" fillId="2" borderId="2" applyAlignment="1" pivotButton="0" quotePrefix="0" xfId="0">
      <alignment wrapText="1"/>
    </xf>
    <xf numFmtId="0" fontId="3" fillId="0" borderId="2" pivotButton="0" quotePrefix="0" xfId="0"/>
    <xf numFmtId="0" fontId="0" fillId="0" borderId="2" pivotButton="0" quotePrefix="0" xfId="0"/>
    <xf numFmtId="0" fontId="4" fillId="0" borderId="2" pivotButton="0" quotePrefix="0" xfId="2"/>
    <xf numFmtId="0" fontId="2" fillId="0" borderId="2" pivotButton="0" quotePrefix="0" xfId="1"/>
    <xf numFmtId="49" fontId="0" fillId="0" borderId="0" applyAlignment="1" pivotButton="0" quotePrefix="0" xfId="0">
      <alignment horizontal="left" vertical="center" wrapText="1"/>
    </xf>
    <xf numFmtId="0" fontId="0" fillId="0" borderId="0" applyAlignment="1" pivotButton="0" quotePrefix="0" xfId="0">
      <alignment wrapText="1"/>
    </xf>
    <xf numFmtId="0" fontId="14" fillId="3" borderId="1" applyAlignment="1" pivotButton="0" quotePrefix="0" xfId="0">
      <alignment horizontal="center"/>
    </xf>
    <xf numFmtId="0" fontId="15" fillId="3" borderId="1" applyAlignment="1" pivotButton="0" quotePrefix="0" xfId="0">
      <alignment horizontal="center"/>
    </xf>
    <xf numFmtId="16" fontId="15" fillId="3" borderId="1" applyAlignment="1" pivotButton="0" quotePrefix="0" xfId="0">
      <alignment horizontal="center"/>
    </xf>
    <xf numFmtId="0" fontId="0" fillId="3" borderId="1" pivotButton="0" quotePrefix="0" xfId="0"/>
    <xf numFmtId="0" fontId="0" fillId="3" borderId="1" applyAlignment="1" pivotButton="0" quotePrefix="0" xfId="0">
      <alignment wrapText="1"/>
    </xf>
    <xf numFmtId="0" fontId="15"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center" wrapText="1"/>
    </xf>
    <xf numFmtId="0" fontId="0" fillId="6" borderId="1" applyAlignment="1" pivotButton="0" quotePrefix="0" xfId="0">
      <alignment wrapText="1"/>
    </xf>
    <xf numFmtId="0" fontId="0" fillId="6" borderId="1" pivotButton="0" quotePrefix="0" xfId="0"/>
    <xf numFmtId="0" fontId="0" fillId="6" borderId="0" pivotButton="0" quotePrefix="0" xfId="0"/>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0" fillId="6" borderId="1" applyAlignment="1" pivotButton="0" quotePrefix="0" xfId="0">
      <alignment horizontal="center" vertical="top"/>
    </xf>
    <xf numFmtId="0" fontId="6" fillId="2" borderId="2" applyAlignment="1" pivotButton="0" quotePrefix="0" xfId="0">
      <alignment wrapText="1"/>
    </xf>
    <xf numFmtId="0" fontId="0" fillId="0" borderId="0" applyAlignment="1" pivotButton="0" quotePrefix="0" xfId="0">
      <alignment horizontal="left" vertical="center" wrapText="1"/>
    </xf>
    <xf numFmtId="0" fontId="16" fillId="7" borderId="9" applyAlignment="1" pivotButton="0" quotePrefix="0" xfId="0">
      <alignment horizontal="left" vertical="top" wrapText="1"/>
    </xf>
    <xf numFmtId="0" fontId="15" fillId="3" borderId="1" applyAlignment="1" pivotButton="0" quotePrefix="0" xfId="0">
      <alignment horizontal="center" wrapText="1"/>
    </xf>
    <xf numFmtId="0" fontId="0" fillId="0" borderId="0" applyAlignment="1" pivotButton="0" quotePrefix="0" xfId="0">
      <alignment horizontal="center" wrapText="1"/>
    </xf>
    <xf numFmtId="0" fontId="0" fillId="3" borderId="11" pivotButton="0" quotePrefix="0" xfId="0"/>
    <xf numFmtId="0" fontId="0" fillId="3" borderId="11" applyAlignment="1" pivotButton="0" quotePrefix="0" xfId="0">
      <alignment horizontal="center" wrapText="1"/>
    </xf>
    <xf numFmtId="0" fontId="0" fillId="3" borderId="12" applyAlignment="1" pivotButton="0" quotePrefix="0" xfId="0">
      <alignment wrapText="1"/>
    </xf>
    <xf numFmtId="0" fontId="0" fillId="3" borderId="12" pivotButton="0" quotePrefix="0" xfId="0"/>
    <xf numFmtId="0" fontId="12" fillId="5" borderId="15" applyAlignment="1" pivotButton="0" quotePrefix="0" xfId="0">
      <alignment horizontal="left" vertical="center" wrapText="1"/>
    </xf>
    <xf numFmtId="0" fontId="12" fillId="5" borderId="10" applyAlignment="1" pivotButton="0" quotePrefix="0" xfId="0">
      <alignment horizontal="left" vertical="center" wrapText="1"/>
    </xf>
    <xf numFmtId="0" fontId="0" fillId="4" borderId="0" applyAlignment="1" pivotButton="0" quotePrefix="0" xfId="0">
      <alignment horizontal="left" vertical="top" wrapText="1"/>
    </xf>
    <xf numFmtId="0" fontId="6" fillId="2" borderId="12" applyAlignment="1" pivotButton="0" quotePrefix="0" xfId="0">
      <alignment horizontal="left" vertical="center" wrapText="1"/>
    </xf>
    <xf numFmtId="0" fontId="7" fillId="2" borderId="12" applyAlignment="1" pivotButton="0" quotePrefix="0" xfId="0">
      <alignment horizontal="left" vertical="center" wrapText="1"/>
    </xf>
    <xf numFmtId="0" fontId="6" fillId="2" borderId="12" pivotButton="0" quotePrefix="0" xfId="0"/>
    <xf numFmtId="0" fontId="6" fillId="2" borderId="12" applyAlignment="1" pivotButton="0" quotePrefix="0" xfId="0">
      <alignment wrapText="1"/>
    </xf>
    <xf numFmtId="0" fontId="0" fillId="4" borderId="12" applyAlignment="1" pivotButton="0" quotePrefix="0" xfId="0">
      <alignment horizontal="left" vertical="top" wrapText="1"/>
    </xf>
    <xf numFmtId="0" fontId="0" fillId="4" borderId="12" applyAlignment="1" pivotButton="0" quotePrefix="0" xfId="0">
      <alignment vertical="top"/>
    </xf>
    <xf numFmtId="0" fontId="6" fillId="2" borderId="18" pivotButton="0" quotePrefix="0" xfId="0"/>
    <xf numFmtId="0" fontId="6" fillId="2" borderId="18" applyAlignment="1" pivotButton="0" quotePrefix="0" xfId="0">
      <alignment wrapText="1"/>
    </xf>
    <xf numFmtId="0" fontId="7" fillId="2" borderId="18" applyAlignment="1" pivotButton="0" quotePrefix="0" xfId="0">
      <alignment wrapText="1"/>
    </xf>
    <xf numFmtId="0" fontId="0" fillId="4" borderId="0" applyAlignment="1" pivotButton="0" quotePrefix="0" xfId="0">
      <alignment vertical="top" wrapText="1"/>
    </xf>
    <xf numFmtId="0" fontId="17" fillId="4" borderId="12" applyAlignment="1" pivotButton="0" quotePrefix="0" xfId="1">
      <alignment horizontal="left" vertical="top" wrapText="1"/>
    </xf>
    <xf numFmtId="0" fontId="2" fillId="6" borderId="1" applyAlignment="1" pivotButton="0" quotePrefix="0" xfId="1">
      <alignment horizontal="left" vertical="top"/>
    </xf>
    <xf numFmtId="0" fontId="2" fillId="6" borderId="0" pivotButton="0" quotePrefix="0" xfId="1"/>
    <xf numFmtId="0" fontId="0" fillId="4" borderId="18" applyAlignment="1" pivotButton="0" quotePrefix="0" xfId="0">
      <alignment horizontal="left" vertical="top" wrapText="1"/>
    </xf>
    <xf numFmtId="0" fontId="0" fillId="4" borderId="18" applyAlignment="1" pivotButton="0" quotePrefix="0" xfId="0">
      <alignment vertical="top"/>
    </xf>
    <xf numFmtId="49" fontId="17" fillId="4" borderId="12" applyAlignment="1" pivotButton="0" quotePrefix="0" xfId="1">
      <alignment vertical="top" wrapText="1"/>
    </xf>
    <xf numFmtId="49" fontId="0" fillId="4" borderId="12" applyAlignment="1" pivotButton="0" quotePrefix="0" xfId="0">
      <alignment vertical="top" wrapText="1"/>
    </xf>
    <xf numFmtId="0" fontId="17" fillId="4" borderId="12" applyAlignment="1" pivotButton="0" quotePrefix="0" xfId="1">
      <alignment vertical="top"/>
    </xf>
    <xf numFmtId="0" fontId="17" fillId="4" borderId="12" applyAlignment="1" pivotButton="0" quotePrefix="0" xfId="1">
      <alignment vertical="top" wrapText="1"/>
    </xf>
    <xf numFmtId="0" fontId="0" fillId="4" borderId="12" applyAlignment="1" pivotButton="0" quotePrefix="0" xfId="0">
      <alignment horizontal="left" vertical="top"/>
    </xf>
    <xf numFmtId="0" fontId="17" fillId="4" borderId="12" applyAlignment="1" pivotButton="0" quotePrefix="0" xfId="1">
      <alignment horizontal="left" vertical="top"/>
    </xf>
    <xf numFmtId="0" fontId="17" fillId="4" borderId="12" applyAlignment="1" pivotButton="0" quotePrefix="0" xfId="1">
      <alignment horizontal="left" vertical="top" wrapText="1"/>
    </xf>
    <xf numFmtId="0" fontId="0" fillId="4" borderId="12" applyAlignment="1" pivotButton="0" quotePrefix="0" xfId="0">
      <alignment vertical="top" wrapText="1"/>
    </xf>
    <xf numFmtId="0" fontId="17" fillId="4" borderId="12" applyAlignment="1" pivotButton="0" quotePrefix="0" xfId="1">
      <alignment vertical="top" wrapText="1"/>
    </xf>
    <xf numFmtId="0" fontId="0" fillId="0" borderId="22" pivotButton="0" quotePrefix="0" xfId="0"/>
    <xf numFmtId="0" fontId="0" fillId="0" borderId="23" pivotButton="0" quotePrefix="0" xfId="0"/>
    <xf numFmtId="0" fontId="3"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3" fillId="0" borderId="20" pivotButton="0" quotePrefix="0" xfId="0"/>
    <xf numFmtId="0" fontId="0" fillId="0" borderId="29" pivotButton="0" quotePrefix="0" xfId="0"/>
    <xf numFmtId="0" fontId="3" fillId="0" borderId="22" pivotButton="0" quotePrefix="0" xfId="0"/>
    <xf numFmtId="0" fontId="3" fillId="0" borderId="23" pivotButton="0" quotePrefix="0" xfId="0"/>
    <xf numFmtId="0" fontId="5" fillId="0" borderId="30" applyAlignment="1" pivotButton="0" quotePrefix="0" xfId="0">
      <alignment wrapText="1"/>
    </xf>
    <xf numFmtId="0" fontId="5" fillId="0" borderId="30" pivotButton="0" quotePrefix="0" xfId="0"/>
    <xf numFmtId="0" fontId="6" fillId="2" borderId="30" pivotButton="0" quotePrefix="0" xfId="0"/>
    <xf numFmtId="49" fontId="6" fillId="2" borderId="30" applyAlignment="1" pivotButton="0" quotePrefix="0" xfId="0">
      <alignment wrapText="1"/>
    </xf>
    <xf numFmtId="0" fontId="6" fillId="2" borderId="30" applyAlignment="1" pivotButton="0" quotePrefix="0" xfId="0">
      <alignment wrapText="1"/>
    </xf>
    <xf numFmtId="0" fontId="7" fillId="2" borderId="30" applyAlignment="1" pivotButton="0" quotePrefix="0" xfId="0">
      <alignment wrapText="1"/>
    </xf>
    <xf numFmtId="49" fontId="5" fillId="0" borderId="30" applyAlignment="1" pivotButton="0" quotePrefix="0" xfId="0">
      <alignment wrapText="1"/>
    </xf>
    <xf numFmtId="49" fontId="16" fillId="0" borderId="30" applyAlignment="1" pivotButton="0" quotePrefix="0" xfId="0">
      <alignment wrapText="1"/>
    </xf>
    <xf numFmtId="49" fontId="16" fillId="8" borderId="30" applyAlignment="1" pivotButton="0" quotePrefix="0" xfId="0">
      <alignment wrapText="1"/>
    </xf>
    <xf numFmtId="0" fontId="16" fillId="0" borderId="30" pivotButton="0" quotePrefix="0" xfId="0"/>
    <xf numFmtId="0" fontId="16" fillId="9" borderId="30" pivotButton="0" quotePrefix="0" xfId="0"/>
    <xf numFmtId="0" fontId="16" fillId="10" borderId="30" pivotButton="0" quotePrefix="0" xfId="0"/>
    <xf numFmtId="0" fontId="16" fillId="11" borderId="30" pivotButton="0" quotePrefix="0" xfId="0"/>
    <xf numFmtId="0" fontId="16" fillId="8" borderId="30" pivotButton="0" quotePrefix="0" xfId="0"/>
    <xf numFmtId="0" fontId="16" fillId="12" borderId="30" applyAlignment="1" pivotButton="0" quotePrefix="0" xfId="0">
      <alignment wrapText="1"/>
    </xf>
    <xf numFmtId="0" fontId="16" fillId="12" borderId="30" pivotButton="0" quotePrefix="0" xfId="0"/>
    <xf numFmtId="0" fontId="16" fillId="9" borderId="30" applyAlignment="1" pivotButton="0" quotePrefix="0" xfId="0">
      <alignment wrapText="1"/>
    </xf>
    <xf numFmtId="0" fontId="16" fillId="11" borderId="31" pivotButton="0" quotePrefix="0" xfId="0"/>
    <xf numFmtId="0" fontId="16" fillId="13" borderId="30" applyAlignment="1" pivotButton="0" quotePrefix="0" xfId="0">
      <alignment wrapText="1"/>
    </xf>
    <xf numFmtId="0" fontId="0" fillId="0" borderId="32" pivotButton="0" quotePrefix="0" xfId="0"/>
    <xf numFmtId="49" fontId="5" fillId="0" borderId="0" applyAlignment="1" pivotButton="0" quotePrefix="0" xfId="0">
      <alignment wrapText="1"/>
    </xf>
    <xf numFmtId="0" fontId="17" fillId="3" borderId="19" applyAlignment="1" pivotButton="0" quotePrefix="0" xfId="1">
      <alignment horizontal="left" vertical="top"/>
    </xf>
    <xf numFmtId="0" fontId="17" fillId="3" borderId="20" applyAlignment="1" pivotButton="0" quotePrefix="0" xfId="1">
      <alignment horizontal="left" vertical="top"/>
    </xf>
    <xf numFmtId="0" fontId="17" fillId="3" borderId="21" applyAlignment="1" pivotButton="0" quotePrefix="0" xfId="1">
      <alignment horizontal="left" vertical="top"/>
    </xf>
    <xf numFmtId="0" fontId="12" fillId="5" borderId="13" applyAlignment="1" pivotButton="0" quotePrefix="0" xfId="0">
      <alignment horizontal="left" vertical="center" wrapText="1"/>
    </xf>
    <xf numFmtId="0" fontId="12" fillId="5" borderId="14" applyAlignment="1" pivotButton="0" quotePrefix="0" xfId="0">
      <alignment horizontal="left" vertical="center" wrapText="1"/>
    </xf>
    <xf numFmtId="0" fontId="0" fillId="4" borderId="15"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15" applyAlignment="1" pivotButton="0" quotePrefix="0" xfId="0">
      <alignment horizontal="left" vertical="center" wrapText="1"/>
    </xf>
    <xf numFmtId="0" fontId="0" fillId="4" borderId="10" applyAlignment="1" pivotButton="0" quotePrefix="0" xfId="0">
      <alignment horizontal="left" vertical="center" wrapText="1"/>
    </xf>
    <xf numFmtId="0" fontId="13" fillId="6" borderId="1" applyAlignment="1" pivotButton="0" quotePrefix="0" xfId="0">
      <alignment horizontal="left"/>
    </xf>
    <xf numFmtId="0" fontId="13" fillId="3" borderId="12" applyAlignment="1" pivotButton="0" quotePrefix="0" xfId="0">
      <alignment horizontal="left"/>
    </xf>
    <xf numFmtId="0" fontId="17" fillId="4" borderId="16" applyAlignment="1" pivotButton="0" quotePrefix="0" xfId="1">
      <alignment horizontal="left" vertical="top" wrapText="1"/>
    </xf>
    <xf numFmtId="0" fontId="17" fillId="4" borderId="17" applyAlignment="1" pivotButton="0" quotePrefix="0" xfId="1">
      <alignment horizontal="left" vertical="top" wrapText="1"/>
    </xf>
    <xf numFmtId="0" fontId="17" fillId="4" borderId="15" applyAlignment="1" pivotButton="0" quotePrefix="0" xfId="1">
      <alignment horizontal="left" vertical="top" wrapText="1"/>
    </xf>
    <xf numFmtId="0" fontId="17" fillId="4" borderId="10" applyAlignment="1" pivotButton="0" quotePrefix="0" xfId="1">
      <alignment horizontal="left" vertical="top" wrapText="1"/>
    </xf>
    <xf numFmtId="0" fontId="0" fillId="4" borderId="7" applyAlignment="1" pivotButton="0" quotePrefix="0" xfId="0">
      <alignment horizontal="left" vertical="center" wrapText="1"/>
    </xf>
    <xf numFmtId="0" fontId="0" fillId="4" borderId="8" applyAlignment="1" pivotButton="0" quotePrefix="0" xfId="0">
      <alignment horizontal="left" vertical="center" wrapText="1"/>
    </xf>
    <xf numFmtId="0" fontId="10" fillId="4" borderId="3" applyAlignment="1" pivotButton="0" quotePrefix="0" xfId="0">
      <alignment horizontal="left" vertical="center" wrapText="1"/>
    </xf>
    <xf numFmtId="0" fontId="10" fillId="4" borderId="4" applyAlignment="1" pivotButton="0" quotePrefix="0" xfId="0">
      <alignment horizontal="left" vertical="center" wrapText="1"/>
    </xf>
    <xf numFmtId="0" fontId="0" fillId="4" borderId="5" applyAlignment="1" pivotButton="0" quotePrefix="0" xfId="0">
      <alignment horizontal="center" vertical="center" wrapText="1"/>
    </xf>
    <xf numFmtId="0" fontId="0" fillId="4" borderId="6" applyAlignment="1" pivotButton="0" quotePrefix="0" xfId="0">
      <alignment horizontal="center" vertical="center" wrapText="1"/>
    </xf>
    <xf numFmtId="0" fontId="20" fillId="14" borderId="30" applyAlignment="1" pivotButton="0" quotePrefix="0" xfId="0">
      <alignment horizontal="center" vertical="center" wrapText="1"/>
    </xf>
    <xf numFmtId="49" fontId="20" fillId="14" borderId="30" applyAlignment="1" pivotButton="0" quotePrefix="0" xfId="0">
      <alignment horizontal="center" vertical="center" wrapText="1"/>
    </xf>
    <xf numFmtId="0" fontId="21" fillId="0" borderId="30" applyAlignment="1" pivotButton="0" quotePrefix="0" xfId="0">
      <alignment vertical="top"/>
    </xf>
    <xf numFmtId="0" fontId="21" fillId="0" borderId="0" applyAlignment="1" pivotButton="0" quotePrefix="0" xfId="0">
      <alignment vertical="top" wrapText="1"/>
    </xf>
    <xf numFmtId="0" fontId="21" fillId="0" borderId="0" applyAlignment="1" pivotButton="0" quotePrefix="0" xfId="0">
      <alignment vertical="top"/>
    </xf>
    <xf numFmtId="0" fontId="21" fillId="0" borderId="30" applyAlignment="1" pivotButton="0" quotePrefix="0" xfId="0">
      <alignment vertical="top" wrapText="1"/>
    </xf>
    <xf numFmtId="49" fontId="21" fillId="0" borderId="30" applyAlignment="1" pivotButton="0" quotePrefix="0" xfId="0">
      <alignment vertical="top" wrapText="1"/>
    </xf>
    <xf numFmtId="49" fontId="21" fillId="8" borderId="30" applyAlignment="1" pivotButton="0" quotePrefix="0" xfId="0">
      <alignment vertical="top" wrapText="1"/>
    </xf>
    <xf numFmtId="0" fontId="21" fillId="13" borderId="30" applyAlignment="1" pivotButton="0" quotePrefix="0" xfId="0">
      <alignment vertical="top" wrapText="1"/>
    </xf>
    <xf numFmtId="0" fontId="21" fillId="9" borderId="30" applyAlignment="1" pivotButton="0" quotePrefix="0" xfId="0">
      <alignment vertical="top"/>
    </xf>
    <xf numFmtId="0" fontId="21" fillId="10" borderId="30" applyAlignment="1" pivotButton="0" quotePrefix="0" xfId="0">
      <alignment vertical="top"/>
    </xf>
    <xf numFmtId="0" fontId="21" fillId="11" borderId="30" applyAlignment="1" pivotButton="0" quotePrefix="0" xfId="0">
      <alignment vertical="top"/>
    </xf>
    <xf numFmtId="0" fontId="21" fillId="8" borderId="30" applyAlignment="1" pivotButton="0" quotePrefix="0" xfId="0">
      <alignment vertical="top"/>
    </xf>
    <xf numFmtId="0" fontId="21" fillId="12" borderId="30" applyAlignment="1" pivotButton="0" quotePrefix="0" xfId="0">
      <alignment vertical="top" wrapText="1"/>
    </xf>
    <xf numFmtId="0" fontId="21" fillId="12" borderId="30" applyAlignment="1" pivotButton="0" quotePrefix="0" xfId="0">
      <alignment vertical="top"/>
    </xf>
    <xf numFmtId="0" fontId="21" fillId="9" borderId="30" applyAlignment="1" pivotButton="0" quotePrefix="0" xfId="0">
      <alignment vertical="top" wrapText="1"/>
    </xf>
    <xf numFmtId="0" fontId="21" fillId="11" borderId="31" applyAlignment="1" pivotButton="0" quotePrefix="0" xfId="0">
      <alignment vertical="top" wrapText="1"/>
    </xf>
    <xf numFmtId="0" fontId="20" fillId="14" borderId="2" applyAlignment="1" pivotButton="0" quotePrefix="0" xfId="0">
      <alignment horizontal="center" vertical="center" wrapText="1"/>
    </xf>
    <xf numFmtId="49" fontId="20" fillId="14" borderId="2" applyAlignment="1" pivotButton="0" quotePrefix="0" xfId="0">
      <alignment horizontal="center" vertical="center" wrapText="1"/>
    </xf>
    <xf numFmtId="0" fontId="20" fillId="14" borderId="0" applyAlignment="1" pivotButton="0" quotePrefix="0" xfId="0">
      <alignment horizontal="center" vertical="center" wrapText="1"/>
    </xf>
    <xf numFmtId="0" fontId="21" fillId="0" borderId="23" applyAlignment="1" pivotButton="0" quotePrefix="0" xfId="0">
      <alignment vertical="top"/>
    </xf>
    <xf numFmtId="0" fontId="21" fillId="0" borderId="23" applyAlignment="1" pivotButton="0" quotePrefix="0" xfId="0">
      <alignment vertical="top" wrapText="1"/>
    </xf>
    <xf numFmtId="0" fontId="21" fillId="0" borderId="24" applyAlignment="1" pivotButton="0" quotePrefix="0" xfId="0">
      <alignment vertical="top"/>
    </xf>
    <xf numFmtId="0" fontId="21" fillId="0" borderId="27" applyAlignment="1" pivotButton="0" quotePrefix="0" xfId="0">
      <alignment vertical="top"/>
    </xf>
    <xf numFmtId="0" fontId="21" fillId="0" borderId="28" applyAlignment="1" pivotButton="0" quotePrefix="0" xfId="0">
      <alignment vertical="top"/>
    </xf>
    <xf numFmtId="0" fontId="21" fillId="0" borderId="28" applyAlignment="1" pivotButton="0" quotePrefix="0" xfId="0">
      <alignment vertical="top" wrapText="1"/>
    </xf>
    <xf numFmtId="0" fontId="21" fillId="0" borderId="20" applyAlignment="1" pivotButton="0" quotePrefix="0" xfId="0">
      <alignment vertical="top"/>
    </xf>
    <xf numFmtId="0" fontId="21" fillId="0" borderId="26" applyAlignment="1" pivotButton="0" quotePrefix="0" xfId="0">
      <alignment vertical="top"/>
    </xf>
    <xf numFmtId="0" fontId="21" fillId="0" borderId="22" applyAlignment="1" pivotButton="0" quotePrefix="0" xfId="0">
      <alignment vertical="top"/>
    </xf>
    <xf numFmtId="0" fontId="21" fillId="0" borderId="22" applyAlignment="1" pivotButton="0" quotePrefix="0" xfId="0">
      <alignment vertical="top" wrapText="1"/>
    </xf>
    <xf numFmtId="0" fontId="21" fillId="0" borderId="2" applyAlignment="1" pivotButton="0" quotePrefix="0" xfId="0">
      <alignment vertical="top"/>
    </xf>
    <xf numFmtId="0" fontId="21" fillId="0" borderId="25" applyAlignment="1" pivotButton="0" quotePrefix="0" xfId="0">
      <alignment vertical="top"/>
    </xf>
    <xf numFmtId="0" fontId="21" fillId="0" borderId="29" applyAlignment="1" pivotButton="0" quotePrefix="0" xfId="0">
      <alignment vertical="top"/>
    </xf>
    <xf numFmtId="0" fontId="21" fillId="0" borderId="2" applyAlignment="1" pivotButton="0" quotePrefix="0" xfId="0">
      <alignment vertical="top" wrapText="1"/>
    </xf>
    <xf numFmtId="0" fontId="21" fillId="0" borderId="25" applyAlignment="1" pivotButton="0" quotePrefix="0" xfId="0">
      <alignment vertical="top" wrapText="1"/>
    </xf>
    <xf numFmtId="0" fontId="21" fillId="0" borderId="32" applyAlignment="1" pivotButton="0" quotePrefix="0" xfId="0">
      <alignment vertical="top"/>
    </xf>
    <xf numFmtId="49" fontId="21" fillId="0" borderId="0" applyAlignment="1" pivotButton="0" quotePrefix="0" xfId="0">
      <alignment vertical="top" wrapText="1"/>
    </xf>
    <xf numFmtId="0" fontId="21" fillId="0" borderId="2" applyAlignment="1" pivotButton="0" quotePrefix="0" xfId="2">
      <alignment vertical="top"/>
    </xf>
    <xf numFmtId="0" fontId="21" fillId="0" borderId="2" applyAlignment="1" pivotButton="0" quotePrefix="0" xfId="1">
      <alignment vertical="top"/>
    </xf>
    <xf numFmtId="0" fontId="12" fillId="5" borderId="34" applyAlignment="1" pivotButton="0" quotePrefix="0" xfId="0">
      <alignment horizontal="left" vertical="center" wrapText="1"/>
    </xf>
    <xf numFmtId="0" fontId="0" fillId="0" borderId="14" pivotButton="0" quotePrefix="0" xfId="0"/>
    <xf numFmtId="0" fontId="0" fillId="4" borderId="35" applyAlignment="1" pivotButton="0" quotePrefix="0" xfId="0">
      <alignment horizontal="center" vertical="center" wrapText="1"/>
    </xf>
    <xf numFmtId="0" fontId="0" fillId="0" borderId="10" pivotButton="0" quotePrefix="0" xfId="0"/>
    <xf numFmtId="0" fontId="0" fillId="4" borderId="35" applyAlignment="1" pivotButton="0" quotePrefix="0" xfId="0">
      <alignment horizontal="left" vertical="center" wrapText="1"/>
    </xf>
    <xf numFmtId="0" fontId="17" fillId="4" borderId="38" applyAlignment="1" pivotButton="0" quotePrefix="0" xfId="1">
      <alignment horizontal="left" vertical="top" wrapText="1"/>
    </xf>
    <xf numFmtId="0" fontId="0" fillId="0" borderId="17" pivotButton="0" quotePrefix="0" xfId="0"/>
    <xf numFmtId="0" fontId="0" fillId="0" borderId="37" pivotButton="0" quotePrefix="0" xfId="0"/>
    <xf numFmtId="0" fontId="0" fillId="0" borderId="21" pivotButton="0" quotePrefix="0" xfId="0"/>
    <xf numFmtId="0" fontId="17" fillId="3" borderId="12" applyAlignment="1" pivotButton="0" quotePrefix="0" xfId="1">
      <alignment horizontal="left" vertical="top"/>
    </xf>
    <xf numFmtId="0" fontId="0" fillId="0" borderId="20" pivotButton="0" quotePrefix="0" xfId="0"/>
    <xf numFmtId="0" fontId="17" fillId="4" borderId="35" applyAlignment="1" pivotButton="0" quotePrefix="0" xfId="1">
      <alignment horizontal="left" vertical="top" wrapText="1"/>
    </xf>
    <xf numFmtId="0" fontId="10" fillId="4" borderId="18" applyAlignment="1" pivotButton="0" quotePrefix="0" xfId="0">
      <alignment horizontal="left" vertical="center" wrapText="1"/>
    </xf>
    <xf numFmtId="0" fontId="0" fillId="0" borderId="4" pivotButton="0" quotePrefix="0" xfId="0"/>
    <xf numFmtId="0" fontId="0" fillId="4" borderId="40" applyAlignment="1" pivotButton="0" quotePrefix="0" xfId="0">
      <alignment horizontal="center" vertical="center" wrapText="1"/>
    </xf>
    <xf numFmtId="0" fontId="0" fillId="0" borderId="6" pivotButton="0" quotePrefix="0" xfId="0"/>
    <xf numFmtId="0" fontId="0" fillId="4" borderId="39" applyAlignment="1" pivotButton="0" quotePrefix="0" xfId="0">
      <alignment horizontal="left" vertical="center" wrapText="1"/>
    </xf>
    <xf numFmtId="0" fontId="0" fillId="0" borderId="8" pivotButton="0" quotePrefix="0" xfId="0"/>
  </cellXfs>
  <cellStyles count="4">
    <cellStyle name="Normal" xfId="0" builtinId="0"/>
    <cellStyle name="Hyperlink" xfId="1" builtinId="8"/>
    <cellStyle name="Normal 2" xfId="2"/>
    <cellStyle name="Followed Hyperlink" xfId="3" builtinId="9" hidden="1"/>
  </cellStyles>
  <dxfs count="1462">
    <dxf>
      <fill>
        <patternFill patternType="solid">
          <fgColor indexed="64"/>
          <bgColor theme="0" tint="-0.0499893185216834"/>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bgColor rgb="FFEEB4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E4E300"/>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4685D2"/>
        </patternFill>
      </fill>
    </dxf>
    <dxf>
      <fill>
        <patternFill patternType="solid">
          <fgColor indexed="64"/>
          <bgColor theme="4" tint="0.7999816888943144"/>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bgColor rgb="FFFFBB57"/>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patternType="solid">
          <fgColor indexed="64"/>
          <bgColor theme="6" tint="0.7999816888943144"/>
        </patternFill>
      </fill>
    </dxf>
    <dxf>
      <fill>
        <patternFill>
          <bgColor rgb="FFFFD44B"/>
        </patternFill>
      </fill>
    </dxf>
    <dxf>
      <fill>
        <patternFill>
          <bgColor rgb="FFF2DBDA"/>
        </patternFill>
      </fill>
    </dxf>
    <dxf>
      <fill>
        <patternFill>
          <bgColor theme="7" tint="0.5999633777886288"/>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
        </patternFill>
      </fill>
    </dxf>
    <dxf>
      <fill>
        <patternFill>
          <bgColor rgb="FFF2DBDA"/>
        </patternFill>
      </fill>
    </dxf>
    <dxf>
      <fill>
        <patternFill>
          <bgColor theme="7" tint="0.5999633777886288"/>
        </patternFill>
      </fill>
    </dxf>
    <dxf>
      <fill>
        <patternFill>
          <bgColor rgb="FFFFD44B"/>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theme="6" tint="0.5999938962981048"/>
        </patternFill>
      </fill>
    </dxf>
    <dxf>
      <fill>
        <patternFill>
          <bgColor rgb="FF4685D2"/>
        </patternFill>
      </fill>
    </dxf>
    <dxf>
      <fill>
        <patternFill patternType="solid">
          <fgColor indexed="64"/>
          <bgColor theme="0" tint="-0.0499893185216834"/>
        </patternFill>
      </fill>
    </dxf>
    <dxf>
      <fill>
        <patternFill patternType="solid">
          <fgColor indexed="64"/>
          <bgColor theme="4" tint="0.5999938962981048"/>
        </patternFill>
      </fill>
    </dxf>
    <dxf>
      <fill>
        <patternFill>
          <bgColor rgb="FFFF0000"/>
        </patternFill>
      </fill>
    </dxf>
    <dxf>
      <fill>
        <patternFill>
          <bgColor theme="9" tint="0.3999450666829432"/>
        </patternFill>
      </fill>
    </dxf>
    <dxf>
      <fill>
        <patternFill>
          <bgColor rgb="FFFF99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FF9900"/>
        </patternFill>
      </fill>
    </dxf>
    <dxf>
      <fill>
        <patternFill>
          <bgColor rgb="FFEEB400"/>
        </patternFill>
      </fill>
    </dxf>
    <dxf>
      <fill>
        <patternFill>
          <bgColor theme="2" tint="-0.249946592608417"/>
        </patternFill>
      </fill>
    </dxf>
    <dxf>
      <fill>
        <patternFill>
          <bgColor rgb="FFBBBB59"/>
        </patternFill>
      </fill>
    </dxf>
    <dxf>
      <fill>
        <patternFill>
          <bgColor theme="8" tint="0.3999450666829432"/>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bgColor rgb="FFE3E0CF"/>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AEB74"/>
        </patternFill>
      </fill>
    </dxf>
    <dxf>
      <fill>
        <patternFill patternType="solid">
          <fgColor indexed="64"/>
          <bgColor theme="4" tint="0.5999938962981048"/>
        </patternFill>
      </fill>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ill>
        <patternFill>
          <bgColor theme="9" tint="0.3999450666829432"/>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EB400"/>
        </patternFill>
      </fill>
    </dxf>
    <dxf>
      <fill>
        <patternFill>
          <bgColor rgb="FFEEB400"/>
        </patternFill>
      </fill>
    </dxf>
    <dxf>
      <fill>
        <patternFill>
          <bgColor rgb="FFE1AAA9"/>
        </patternFill>
      </fill>
    </dxf>
    <dxf>
      <fill>
        <patternFill patternType="solid">
          <fgColor indexed="64"/>
          <bgColor rgb="FF9E004F"/>
        </patternFill>
      </fill>
    </dxf>
    <dxf>
      <fill>
        <patternFill>
          <bgColor rgb="FFFF9900"/>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rgb="FFFF9900"/>
        </patternFill>
      </fill>
    </dxf>
    <dxf>
      <fill>
        <patternFill>
          <bgColor theme="2" tint="-0.249946592608417"/>
        </patternFill>
      </fill>
    </dxf>
    <dxf>
      <fill>
        <patternFill patternType="solid">
          <fgColor indexed="64"/>
          <bgColor rgb="FFE4E300"/>
        </patternFill>
      </fill>
    </dxf>
    <dxf>
      <fill>
        <patternFill>
          <bgColor theme="6" tint="0.3999450666829432"/>
        </patternFill>
      </fill>
    </dxf>
    <dxf>
      <fill>
        <patternFill>
          <bgColor theme="7" tint="0.3999450666829432"/>
        </patternFill>
      </fill>
    </dxf>
    <dxf>
      <fill>
        <patternFill>
          <bgColor rgb="FFE1AAA9"/>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rgb="FFDCC97A"/>
        </patternFill>
      </fill>
    </dxf>
    <dxf>
      <fill>
        <patternFill>
          <bgColor rgb="FFBBBB59"/>
        </patternFill>
      </fill>
    </dxf>
    <dxf>
      <fill>
        <patternFill>
          <bgColor rgb="FFFFBB57"/>
        </patternFill>
      </fill>
    </dxf>
    <dxf>
      <fill>
        <patternFill>
          <bgColor theme="8"/>
        </patternFill>
      </fill>
    </dxf>
    <dxf>
      <font>
        <color auto="1"/>
      </font>
      <fill>
        <patternFill patternType="solid">
          <fgColor indexed="64"/>
          <bgColor theme="0" tint="-0.249977111117893"/>
        </patternFill>
      </fill>
    </dxf>
    <dxf>
      <fill>
        <patternFill>
          <bgColor rgb="FFFF9900"/>
        </patternFill>
      </fill>
    </dxf>
    <dxf>
      <fill>
        <patternFill>
          <bgColor rgb="FFEEB400"/>
        </patternFill>
      </fill>
    </dxf>
    <dxf>
      <fill>
        <patternFill>
          <bgColor rgb="FFEEB400"/>
        </patternFill>
      </fill>
    </dxf>
    <dxf>
      <fill>
        <patternFill patternType="solid">
          <fgColor indexed="64"/>
          <bgColor theme="6" tint="0.5999938962981048"/>
        </patternFill>
      </fill>
    </dxf>
    <dxf>
      <fill>
        <patternFill patternType="solid">
          <fgColor indexed="64"/>
          <bgColor theme="4" tint="0.5999938962981048"/>
        </patternFill>
      </fill>
    </dxf>
    <dxf>
      <fill>
        <patternFill>
          <bgColor theme="8"/>
        </patternFill>
      </fill>
    </dxf>
    <dxf>
      <font>
        <color auto="1"/>
      </font>
      <fill>
        <patternFill patternType="solid">
          <fgColor indexed="64"/>
          <bgColor theme="0" tint="-0.249977111117893"/>
        </patternFill>
      </fill>
    </dxf>
    <dxf>
      <fill>
        <patternFill>
          <bgColor theme="9" tint="0.3999450666829432"/>
        </patternFill>
      </fill>
    </dxf>
    <dxf>
      <fill>
        <patternFill>
          <bgColor rgb="FFE1AAA9"/>
        </patternFill>
      </fill>
    </dxf>
    <dxf>
      <fill>
        <patternFill>
          <bgColor theme="7" tint="0.3999450666829432"/>
        </patternFill>
      </fill>
    </dxf>
    <dxf>
      <fill>
        <patternFill>
          <bgColor rgb="FF4685D2"/>
        </patternFill>
      </fill>
    </dxf>
    <dxf>
      <fill>
        <patternFill>
          <bgColor rgb="FFFF9900"/>
        </patternFill>
      </fill>
    </dxf>
    <dxf>
      <fill>
        <patternFill patternType="solid">
          <fgColor indexed="64"/>
          <bgColor theme="0" tint="-0.0499893185216834"/>
        </patternFill>
      </fill>
    </dxf>
    <dxf>
      <fill>
        <patternFill patternType="solid">
          <fgColor indexed="64"/>
          <bgColor rgb="FFFBFB00"/>
        </patternFill>
      </fill>
    </dxf>
    <dxf>
      <fill>
        <patternFill>
          <bgColor rgb="FFEEB400"/>
        </patternFill>
      </fill>
    </dxf>
    <dxf>
      <fill>
        <patternFill>
          <bgColor rgb="FFEEB4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patternType="solid">
          <fgColor indexed="64"/>
          <bgColor theme="0" tint="-0.0499893185216834"/>
        </patternFill>
      </fill>
    </dxf>
    <dxf>
      <fill>
        <patternFill>
          <bgColor rgb="FF4685D2"/>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FBFB00"/>
        </patternFill>
      </fill>
    </dxf>
    <dxf>
      <fill>
        <patternFill>
          <bgColor theme="7" tint="0.3999450666829432"/>
        </patternFill>
      </fill>
    </dxf>
    <dxf>
      <fill>
        <patternFill patternType="solid">
          <fgColor indexed="64"/>
          <bgColor theme="6" tint="0.5999938962981048"/>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FF0000"/>
        </patternFill>
      </fill>
    </dxf>
    <dxf>
      <fill>
        <patternFill>
          <bgColor theme="8"/>
        </patternFill>
      </fill>
    </dxf>
    <dxf>
      <fill>
        <patternFill>
          <bgColor rgb="FFBBBB59"/>
        </patternFill>
      </fill>
    </dxf>
    <dxf>
      <fill>
        <patternFill>
          <bgColor rgb="FFFF9900"/>
        </patternFill>
      </fill>
    </dxf>
    <dxf>
      <fill>
        <patternFill>
          <bgColor rgb="FFEEB4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FBFB00"/>
        </patternFill>
      </fill>
    </dxf>
    <dxf>
      <fill>
        <patternFill>
          <bgColor rgb="FFEEB400"/>
        </patternFill>
      </fill>
    </dxf>
    <dxf>
      <fill>
        <patternFill>
          <bgColor rgb="FFFF9900"/>
        </patternFill>
      </fill>
    </dxf>
    <dxf>
      <font>
        <color auto="1"/>
      </font>
      <fill>
        <patternFill>
          <bgColor rgb="FFFF6D9E"/>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theme="7" tint="0.3999450666829432"/>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theme="0" tint="-0.0499893185216834"/>
        </patternFill>
      </fill>
    </dxf>
    <dxf>
      <fill>
        <patternFill patternType="solid">
          <fgColor indexed="64"/>
          <bgColor rgb="FFE4E300"/>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rgb="FFEEB400"/>
        </patternFill>
      </fill>
    </dxf>
    <dxf>
      <fill>
        <patternFill>
          <bgColor rgb="FFEEB4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bgColor rgb="FFFF6D9E"/>
        </patternFill>
      </fill>
    </dxf>
    <dxf>
      <fill>
        <patternFill>
          <bgColor rgb="FFBBBB59"/>
        </patternFill>
      </fill>
    </dxf>
    <dxf>
      <fill>
        <patternFill>
          <bgColor rgb="FF4685D2"/>
        </patternFill>
      </fill>
    </dxf>
    <dxf>
      <fill>
        <patternFill patternType="solid">
          <fgColor indexed="64"/>
          <bgColor rgb="FFFBFB00"/>
        </patternFill>
      </fill>
    </dxf>
    <dxf>
      <fill>
        <patternFill>
          <bgColor rgb="FFBBBB59"/>
        </patternFill>
      </fill>
    </dxf>
    <dxf>
      <fill>
        <patternFill patternType="solid">
          <fgColor indexed="64"/>
          <bgColor rgb="FFE4E300"/>
        </patternFill>
      </fill>
    </dxf>
    <dxf>
      <fill>
        <patternFill>
          <bgColor rgb="FFFF0000"/>
        </patternFill>
      </fill>
    </dxf>
    <dxf>
      <fill>
        <patternFill>
          <bgColor theme="6" tint="0.3999450666829432"/>
        </patternFill>
      </fill>
    </dxf>
    <dxf>
      <font>
        <color auto="1"/>
      </font>
      <fill>
        <patternFill>
          <bgColor rgb="FFFF6D9E"/>
        </patternFill>
      </fill>
    </dxf>
    <dxf>
      <fill>
        <patternFill patternType="solid">
          <fgColor indexed="64"/>
          <bgColor rgb="FF9E004F"/>
        </patternFill>
      </fill>
    </dxf>
    <dxf>
      <fill>
        <patternFill patternType="solid">
          <fgColor indexed="64"/>
          <bgColor rgb="FFDCC97A"/>
        </patternFill>
      </fill>
    </dxf>
    <dxf>
      <fill>
        <patternFill>
          <bgColor theme="2" tint="-0.249946592608417"/>
        </patternFill>
      </fill>
    </dxf>
    <dxf>
      <fill>
        <patternFill patternType="solid">
          <fgColor indexed="64"/>
          <bgColor rgb="FFFBFB00"/>
        </patternFill>
      </fill>
    </dxf>
    <dxf>
      <fill>
        <patternFill patternType="solid">
          <fgColor indexed="64"/>
          <bgColor rgb="FFFBFB00"/>
        </patternFill>
      </fill>
    </dxf>
    <dxf>
      <fill>
        <patternFill>
          <bgColor rgb="FFFFBB57"/>
        </patternFill>
      </fill>
    </dxf>
    <dxf>
      <fill>
        <patternFill>
          <bgColor rgb="FFFFD44B"/>
        </patternFill>
      </fill>
    </dxf>
    <dxf>
      <fill>
        <patternFill>
          <bgColor rgb="FFFFBB57"/>
        </patternFill>
      </fill>
    </dxf>
    <dxf>
      <fill>
        <patternFill patternType="solid">
          <fgColor indexed="64"/>
          <bgColor rgb="FFE4E300"/>
        </patternFill>
      </fill>
    </dxf>
    <dxf>
      <font>
        <color auto="1"/>
      </font>
      <fill>
        <patternFill>
          <bgColor rgb="FFFF6D9E"/>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rgb="FF99BCE7"/>
        </patternFill>
      </fill>
    </dxf>
    <dxf>
      <fill>
        <patternFill patternType="solid">
          <fgColor indexed="64"/>
          <bgColor theme="4" tint="0.7999816888943144"/>
        </patternFill>
      </fill>
    </dxf>
    <dxf>
      <fill>
        <patternFill>
          <bgColor theme="7" tint="0.3999450666829432"/>
        </patternFill>
      </fill>
    </dxf>
    <dxf>
      <fill>
        <patternFill patternType="solid">
          <fgColor indexed="64"/>
          <bgColor theme="4" tint="0.7999816888943144"/>
        </patternFill>
      </fill>
    </dxf>
    <dxf>
      <font>
        <color auto="1"/>
      </font>
      <fill>
        <patternFill>
          <bgColor rgb="FFFFC7CE"/>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ill>
        <patternFill>
          <bgColor rgb="FFFF6969"/>
        </patternFill>
      </fill>
    </dxf>
    <dxf>
      <fill>
        <patternFill>
          <bgColor rgb="FFFFD44B"/>
        </patternFill>
      </fill>
    </dxf>
    <dxf>
      <fill>
        <patternFill>
          <bgColor theme="9" tint="0.5999633777886288"/>
        </patternFill>
      </fill>
    </dxf>
    <dxf>
      <fill>
        <patternFill>
          <bgColor rgb="FFF2DBDA"/>
        </patternFill>
      </fill>
    </dxf>
    <dxf>
      <fill>
        <patternFill>
          <bgColor theme="7" tint="0.5999633777886288"/>
        </patternFill>
      </fill>
    </dxf>
    <dxf>
      <fill>
        <patternFill patternType="solid">
          <fgColor indexed="64"/>
          <bgColor theme="6" tint="0.7999816888943144"/>
        </patternFill>
      </fill>
    </dxf>
    <dxf>
      <fill>
        <patternFill>
          <bgColor rgb="FFFFD44B"/>
        </patternFill>
      </fill>
    </dxf>
    <dxf>
      <fill>
        <patternFill>
          <bgColor rgb="FFF2DBDA"/>
        </patternFill>
      </fill>
    </dxf>
    <dxf>
      <fill>
        <patternFill patternType="solid">
          <fgColor indexed="64"/>
          <bgColor theme="6" tint="0.7999816888943144"/>
        </patternFill>
      </fill>
    </dxf>
    <dxf>
      <fill>
        <patternFill>
          <bgColor theme="7" tint="0.5999633777886288"/>
        </patternFill>
      </fill>
    </dxf>
    <dxf>
      <fill>
        <patternFill>
          <bgColor theme="9" tint="0.5999633777886288"/>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bgColor rgb="FFFFD44B"/>
        </patternFill>
      </fill>
    </dxf>
    <dxf>
      <fill>
        <patternFill>
          <bgColor rgb="FFFFD44B"/>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FFD44B"/>
        </patternFill>
      </fill>
    </dxf>
    <dxf>
      <fill>
        <patternFill patternType="solid">
          <fgColor indexed="64"/>
          <bgColor theme="6" tint="0.7999816888943144"/>
        </patternFill>
      </fill>
    </dxf>
    <dxf>
      <fill>
        <patternFill>
          <bgColor rgb="FFF2DBDA"/>
        </patternFill>
      </fill>
    </dxf>
    <dxf>
      <fill>
        <patternFill>
          <bgColor theme="7" tint="0.5999633777886288"/>
        </patternFill>
      </fill>
    </dxf>
    <dxf>
      <fill>
        <patternFill>
          <bgColor theme="9" tint="0.5999633777886288"/>
        </patternFill>
      </fill>
    </dxf>
    <dxf>
      <fill>
        <patternFill>
          <bgColor rgb="FFFFD44B"/>
        </patternFill>
      </fill>
    </dxf>
    <dxf>
      <fill>
        <patternFill patternType="solid">
          <fgColor indexed="64"/>
          <bgColor theme="4" tint="0.5999938962981048"/>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patternType="solid">
          <fgColor indexed="64"/>
          <bgColor rgb="FFDCC97A"/>
        </patternFill>
      </fill>
    </dxf>
    <dxf>
      <fill>
        <patternFill>
          <bgColor theme="6" tint="0.3999450666829432"/>
        </patternFill>
      </fill>
    </dxf>
    <dxf>
      <fill>
        <patternFill>
          <bgColor rgb="FFFF9900"/>
        </patternFill>
      </fill>
    </dxf>
    <dxf>
      <fill>
        <patternFill>
          <bgColor rgb="FFBBBB59"/>
        </patternFill>
      </fill>
    </dxf>
    <dxf>
      <fill>
        <patternFill>
          <bgColor theme="8"/>
        </patternFill>
      </fill>
    </dxf>
    <dxf>
      <fill>
        <patternFill>
          <bgColor theme="2" tint="-0.249946592608417"/>
        </patternFill>
      </fill>
    </dxf>
    <dxf>
      <fill>
        <patternFill>
          <bgColor theme="9" tint="0.3999450666829432"/>
        </patternFill>
      </fill>
    </dxf>
    <dxf>
      <fill>
        <patternFill patternType="solid">
          <fgColor indexed="64"/>
          <bgColor theme="0" tint="-0.0499893185216834"/>
        </patternFill>
      </fill>
    </dxf>
    <dxf>
      <fill>
        <patternFill>
          <bgColor rgb="FFFF0000"/>
        </patternFill>
      </fill>
    </dxf>
    <dxf>
      <fill>
        <patternFill patternType="solid">
          <fgColor indexed="64"/>
          <bgColor theme="6" tint="0.5999938962981048"/>
        </patternFill>
      </fill>
    </dxf>
    <dxf>
      <fill>
        <patternFill patternType="solid">
          <fgColor indexed="64"/>
          <bgColor rgb="FFE4E300"/>
        </patternFill>
      </fill>
    </dxf>
    <dxf>
      <fill>
        <patternFill>
          <bgColor rgb="FF4685D2"/>
        </patternFill>
      </fill>
    </dxf>
    <dxf>
      <fill>
        <patternFill>
          <bgColor rgb="FFEEB400"/>
        </patternFill>
      </fill>
    </dxf>
    <dxf>
      <fill>
        <patternFill>
          <bgColor theme="7" tint="0.3999450666829432"/>
        </patternFill>
      </fill>
    </dxf>
    <dxf>
      <fill>
        <patternFill>
          <bgColor rgb="FFFF9900"/>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4" tint="0.7999816888943144"/>
        </patternFill>
      </fill>
    </dxf>
    <dxf>
      <fill>
        <patternFill>
          <bgColor theme="8"/>
        </patternFill>
      </fill>
    </dxf>
    <dxf>
      <fill>
        <patternFill patternType="solid">
          <fgColor indexed="64"/>
          <bgColor theme="0" tint="-0.0499893185216834"/>
        </patternFill>
      </fill>
    </dxf>
    <dxf>
      <fill>
        <patternFill>
          <bgColor theme="9" tint="0.5999633777886288"/>
        </patternFill>
      </fill>
    </dxf>
    <dxf>
      <fill>
        <patternFill>
          <bgColor rgb="FFBBBB59"/>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8" tint="0.3999450666829432"/>
        </patternFill>
      </fill>
    </dxf>
    <dxf>
      <font>
        <color auto="1"/>
      </font>
      <fill>
        <patternFill patternType="solid">
          <fgColor indexed="64"/>
          <bgColor theme="0" tint="-0.249977111117893"/>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theme="4" tint="0.5999938962981048"/>
        </patternFill>
      </fill>
    </dxf>
    <dxf>
      <fill>
        <patternFill>
          <bgColor rgb="FF99BCE7"/>
        </patternFill>
      </fill>
    </dxf>
    <dxf>
      <fill>
        <patternFill patternType="solid">
          <fgColor indexed="64"/>
          <bgColor theme="4" tint="0.7999816888943144"/>
        </patternFill>
      </fill>
    </dxf>
    <dxf>
      <fill>
        <patternFill>
          <bgColor theme="8" tint="0.3999450666829432"/>
        </patternFill>
      </fill>
    </dxf>
    <dxf>
      <fill>
        <patternFill>
          <bgColor theme="9" tint="0.5999633777886288"/>
        </patternFill>
      </fill>
    </dxf>
    <dxf>
      <fill>
        <patternFill>
          <bgColor theme="2" tint="-0.249946592608417"/>
        </patternFill>
      </fill>
    </dxf>
    <dxf>
      <fill>
        <patternFill>
          <bgColor theme="8"/>
        </patternFill>
      </fill>
    </dxf>
    <dxf>
      <fill>
        <patternFill>
          <bgColor rgb="FFBBBB59"/>
        </patternFill>
      </fill>
    </dxf>
    <dxf>
      <font>
        <color auto="1"/>
      </font>
      <fill>
        <patternFill>
          <bgColor rgb="FFFF6D9E"/>
        </patternFill>
      </fill>
    </dxf>
    <dxf>
      <fill>
        <patternFill>
          <bgColor rgb="FFE1AAA9"/>
        </patternFill>
      </fill>
    </dxf>
    <dxf>
      <fill>
        <patternFill patternType="solid">
          <fgColor indexed="64"/>
          <bgColor rgb="FFDCC97A"/>
        </patternFill>
      </fill>
    </dxf>
    <dxf>
      <fill>
        <patternFill>
          <bgColor theme="6" tint="0.3999450666829432"/>
        </patternFill>
      </fill>
    </dxf>
    <dxf>
      <fill>
        <patternFill>
          <bgColor rgb="FFFF0000"/>
        </patternFill>
      </fill>
    </dxf>
    <dxf>
      <fill>
        <patternFill>
          <bgColor theme="9" tint="0.3999450666829432"/>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4685D2"/>
        </patternFill>
      </fill>
    </dxf>
    <dxf>
      <fill>
        <patternFill patternType="solid">
          <fgColor indexed="64"/>
          <bgColor theme="4" tint="0.5999938962981048"/>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7" tint="0.3999450666829432"/>
        </patternFill>
      </fill>
    </dxf>
    <dxf>
      <fill>
        <patternFill>
          <bgColor theme="9" tint="0.3999450666829432"/>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patternType="solid">
          <fgColor indexed="64"/>
          <bgColor theme="6" tint="0.7999816888943144"/>
        </patternFill>
      </fill>
    </dxf>
    <dxf>
      <fill>
        <patternFill>
          <bgColor rgb="FFEAEB74"/>
        </patternFill>
      </fill>
    </dxf>
    <dxf>
      <fill>
        <patternFill>
          <bgColor rgb="FFFFBB57"/>
        </patternFill>
      </fill>
    </dxf>
    <dxf>
      <fill>
        <patternFill patternType="solid">
          <fgColor indexed="64"/>
          <bgColor rgb="FFE7D480"/>
        </patternFill>
      </fill>
    </dxf>
    <dxf>
      <fill>
        <patternFill>
          <bgColor rgb="FFDDE8C6"/>
        </patternFill>
      </fill>
    </dxf>
    <dxf>
      <fill>
        <patternFill>
          <bgColor rgb="FFE3E0CF"/>
        </patternFill>
      </fill>
    </dxf>
    <dxf>
      <font>
        <color auto="1"/>
      </font>
      <fill>
        <patternFill>
          <bgColor rgb="FFFF6D9E"/>
        </patternFill>
      </fill>
    </dxf>
    <dxf>
      <fill>
        <patternFill patternType="solid">
          <fgColor indexed="64"/>
          <bgColor rgb="FFBA005D"/>
        </patternFill>
      </fill>
    </dxf>
    <dxf>
      <fill>
        <patternFill>
          <bgColor rgb="FFFF0000"/>
        </patternFill>
      </fill>
    </dxf>
    <dxf>
      <fill>
        <patternFill>
          <bgColor rgb="FFFFD44B"/>
        </patternFill>
      </fill>
    </dxf>
    <dxf>
      <fill>
        <patternFill>
          <bgColor rgb="FFF2DBDA"/>
        </patternFill>
      </fill>
    </dxf>
    <dxf>
      <fill>
        <patternFill>
          <bgColor theme="7" tint="0.5999633777886288"/>
        </patternFill>
      </fill>
    </dxf>
    <dxf>
      <fill>
        <patternFill>
          <bgColor theme="8" tint="0.3999450666829432"/>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patternType="solid">
          <fgColor indexed="64"/>
          <bgColor rgb="FFDCC97A"/>
        </patternFill>
      </fill>
    </dxf>
    <dxf>
      <fill>
        <patternFill>
          <bgColor theme="2" tint="-0.249946592608417"/>
        </patternFill>
      </fill>
    </dxf>
    <dxf>
      <fill>
        <patternFill>
          <bgColor theme="9" tint="0.3999450666829432"/>
        </patternFill>
      </fill>
    </dxf>
    <dxf>
      <fill>
        <patternFill>
          <bgColor theme="6" tint="0.3999450666829432"/>
        </patternFill>
      </fill>
    </dxf>
    <dxf>
      <fill>
        <patternFill patternType="solid">
          <fgColor indexed="64"/>
          <bgColor theme="0" tint="-0.0499893185216834"/>
        </patternFill>
      </fill>
    </dxf>
    <dxf>
      <fill>
        <patternFill>
          <bgColor theme="7" tint="0.3999450666829432"/>
        </patternFill>
      </fill>
    </dxf>
    <dxf>
      <fill>
        <patternFill>
          <bgColor rgb="FFE1AAA9"/>
        </patternFill>
      </fill>
    </dxf>
    <dxf>
      <fill>
        <patternFill patternType="solid">
          <fgColor indexed="64"/>
          <bgColor theme="6" tint="0.599993896298104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patternType="solid">
          <fgColor indexed="64"/>
          <bgColor rgb="FF9E004F"/>
        </patternFill>
      </fill>
    </dxf>
    <dxf>
      <fill>
        <patternFill patternType="solid">
          <fgColor indexed="64"/>
          <bgColor rgb="FFE4E300"/>
        </patternFill>
      </fill>
    </dxf>
    <dxf>
      <font>
        <color auto="1"/>
      </font>
      <fill>
        <patternFill>
          <bgColor rgb="FFFF6D9E"/>
        </patternFill>
      </fill>
    </dxf>
    <dxf>
      <fill>
        <patternFill>
          <bgColor rgb="FFFF0000"/>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ont>
        <color auto="1"/>
      </font>
      <fill>
        <patternFill patternType="solid">
          <fgColor indexed="64"/>
          <bgColor theme="0" tint="-0.249977111117893"/>
        </patternFill>
      </fill>
    </dxf>
    <dxf>
      <fill>
        <patternFill>
          <bgColor theme="9" tint="0.3999450666829432"/>
        </patternFill>
      </fill>
    </dxf>
    <dxf>
      <fill>
        <patternFill patternType="solid">
          <fgColor indexed="64"/>
          <bgColor rgb="FFDCC97A"/>
        </patternFill>
      </fill>
    </dxf>
    <dxf>
      <fill>
        <patternFill>
          <bgColor theme="2" tint="-0.249946592608417"/>
        </patternFill>
      </fill>
    </dxf>
    <dxf>
      <fill>
        <patternFill>
          <bgColor theme="8"/>
        </patternFill>
      </fill>
    </dxf>
    <dxf>
      <fill>
        <patternFill>
          <bgColor rgb="FFBBBB59"/>
        </patternFill>
      </fill>
    </dxf>
    <dxf>
      <font>
        <color auto="1"/>
      </font>
      <fill>
        <patternFill>
          <bgColor rgb="FFFF6D9E"/>
        </patternFill>
      </fill>
    </dxf>
    <dxf>
      <fill>
        <patternFill>
          <bgColor rgb="FFFF0000"/>
        </patternFill>
      </fill>
    </dxf>
    <dxf>
      <fill>
        <patternFill patternType="solid">
          <fgColor indexed="64"/>
          <bgColor rgb="FFE4E300"/>
        </patternFill>
      </fill>
    </dxf>
    <dxf>
      <fill>
        <patternFill patternType="solid">
          <fgColor indexed="64"/>
          <bgColor rgb="FF9E004F"/>
        </patternFill>
      </fill>
    </dxf>
    <dxf>
      <fill>
        <patternFill>
          <bgColor rgb="FF4685D2"/>
        </patternFill>
      </fill>
    </dxf>
    <dxf>
      <fill>
        <patternFill>
          <bgColor theme="6" tint="0.3999450666829432"/>
        </patternFill>
      </fill>
    </dxf>
    <dxf>
      <fill>
        <patternFill patternType="solid">
          <fgColor indexed="64"/>
          <bgColor theme="0" tint="-0.0499893185216834"/>
        </patternFill>
      </fill>
    </dxf>
    <dxf>
      <fill>
        <patternFill>
          <bgColor theme="7" tint="0.3999450666829432"/>
        </patternFill>
      </fill>
    </dxf>
    <dxf>
      <fill>
        <patternFill patternType="solid">
          <fgColor indexed="64"/>
          <bgColor theme="4" tint="0.5999938962981048"/>
        </patternFill>
      </fill>
    </dxf>
    <dxf>
      <fill>
        <patternFill>
          <bgColor rgb="FFE1AAA9"/>
        </patternFill>
      </fill>
    </dxf>
    <dxf>
      <fill>
        <patternFill patternType="solid">
          <fgColor indexed="64"/>
          <bgColor theme="6" tint="0.5999938962981048"/>
        </patternFill>
      </fill>
    </dxf>
    <dxf>
      <fill>
        <patternFill>
          <bgColor theme="8" tint="0.3999450666829432"/>
        </patternFill>
      </fill>
    </dxf>
    <dxf>
      <fill>
        <patternFill>
          <bgColor rgb="FFFF9900"/>
        </patternFill>
      </fill>
    </dxf>
    <dxf>
      <fill>
        <patternFill>
          <bgColor rgb="FFEEB400"/>
        </patternFill>
      </fill>
    </dxf>
    <dxf>
      <fill>
        <patternFill>
          <bgColor rgb="FFFF9900"/>
        </patternFill>
      </fill>
    </dxf>
    <dxf>
      <fill>
        <patternFill>
          <bgColor rgb="FFEEB400"/>
        </patternFill>
      </fill>
    </dxf>
    <dxf>
      <fill>
        <patternFill>
          <bgColor rgb="FF99BCE7"/>
        </patternFill>
      </fill>
    </dxf>
    <dxf>
      <fill>
        <patternFill>
          <bgColor theme="8"/>
        </patternFill>
      </fill>
    </dxf>
    <dxf>
      <font>
        <color auto="1"/>
      </font>
      <fill>
        <patternFill>
          <bgColor rgb="FFFF6D9E"/>
        </patternFill>
      </fill>
    </dxf>
    <dxf>
      <fill>
        <patternFill>
          <bgColor rgb="FFFF0000"/>
        </patternFill>
      </fill>
    </dxf>
    <dxf>
      <fill>
        <patternFill>
          <bgColor rgb="FFEEB400"/>
        </patternFill>
      </fill>
    </dxf>
    <dxf>
      <fill>
        <patternFill>
          <bgColor rgb="FFFF9900"/>
        </patternFill>
      </fill>
    </dxf>
    <dxf>
      <fill>
        <patternFill>
          <bgColor rgb="FFEEB400"/>
        </patternFill>
      </fill>
    </dxf>
    <dxf>
      <fill>
        <patternFill patternType="solid">
          <fgColor indexed="64"/>
          <bgColor theme="6" tint="0.5999938962981048"/>
        </patternFill>
      </fill>
    </dxf>
    <dxf>
      <fill>
        <patternFill>
          <bgColor rgb="FFE1AAA9"/>
        </patternFill>
      </fill>
    </dxf>
    <dxf>
      <fill>
        <patternFill>
          <bgColor theme="7" tint="0.3999450666829432"/>
        </patternFill>
      </fill>
    </dxf>
    <dxf>
      <fill>
        <patternFill patternType="solid">
          <fgColor indexed="64"/>
          <bgColor theme="4" tint="0.7999816888943144"/>
        </patternFill>
      </fill>
    </dxf>
    <dxf>
      <fill>
        <patternFill patternType="solid">
          <fgColor indexed="64"/>
          <bgColor theme="0" tint="-0.0499893185216834"/>
        </patternFill>
      </fill>
    </dxf>
    <dxf>
      <fill>
        <patternFill>
          <bgColor theme="6" tint="0.3999450666829432"/>
        </patternFill>
      </fill>
    </dxf>
    <dxf>
      <fill>
        <patternFill>
          <bgColor theme="2" tint="-0.249946592608417"/>
        </patternFill>
      </fill>
    </dxf>
    <dxf>
      <fill>
        <patternFill patternType="solid">
          <fgColor indexed="64"/>
          <bgColor rgb="FFDCC97A"/>
        </patternFill>
      </fill>
    </dxf>
    <dxf>
      <fill>
        <patternFill>
          <bgColor rgb="FFFF9900"/>
        </patternFill>
      </fill>
    </dxf>
    <dxf>
      <fill>
        <patternFill patternType="solid">
          <fgColor indexed="64"/>
          <bgColor theme="4" tint="0.5999938962981048"/>
        </patternFill>
      </fill>
    </dxf>
    <dxf>
      <fill>
        <patternFill>
          <bgColor rgb="FF4685D2"/>
        </patternFill>
      </fill>
    </dxf>
    <dxf>
      <fill>
        <patternFill>
          <bgColor theme="9" tint="0.5999633777886288"/>
        </patternFill>
      </fill>
    </dxf>
    <dxf>
      <fill>
        <patternFill>
          <bgColor theme="9" tint="0.3999450666829432"/>
        </patternFill>
      </fill>
    </dxf>
    <dxf>
      <font>
        <color auto="1"/>
      </font>
      <fill>
        <patternFill patternType="solid">
          <fgColor indexed="64"/>
          <bgColor theme="0" tint="-0.249977111117893"/>
        </patternFill>
      </fill>
    </dxf>
    <dxf>
      <fill>
        <patternFill>
          <bgColor theme="8" tint="0.3999450666829432"/>
        </patternFill>
      </fill>
    </dxf>
    <dxf>
      <fill>
        <patternFill patternType="solid">
          <fgColor indexed="64"/>
          <bgColor rgb="FFE4E300"/>
        </patternFill>
      </fill>
    </dxf>
    <dxf>
      <fill>
        <patternFill>
          <bgColor rgb="FFBBBB59"/>
        </patternFill>
      </fill>
    </dxf>
    <dxf>
      <fill>
        <patternFill patternType="solid">
          <fgColor indexed="64"/>
          <bgColor rgb="FF9E004F"/>
        </patternFill>
      </fill>
    </dxf>
    <dxf>
      <fill>
        <patternFill>
          <bgColor theme="9" tint="0.3999450666829432"/>
        </patternFill>
      </fill>
    </dxf>
    <dxf>
      <fill>
        <patternFill>
          <bgColor rgb="FF99BCE7"/>
        </patternFill>
      </fill>
    </dxf>
    <dxf>
      <fill>
        <patternFill patternType="solid">
          <fgColor indexed="64"/>
          <bgColor theme="4" tint="0.7999816888943144"/>
        </patternFill>
      </fill>
    </dxf>
    <dxf>
      <fill>
        <patternFill>
          <bgColor theme="8"/>
        </patternFill>
      </fill>
    </dxf>
    <dxf>
      <fill>
        <patternFill>
          <bgColor theme="8" tint="0.3999450666829432"/>
        </patternFill>
      </fill>
    </dxf>
    <dxf>
      <fill>
        <patternFill>
          <bgColor rgb="FFBBBB59"/>
        </patternFill>
      </fill>
    </dxf>
    <dxf>
      <font>
        <color auto="1"/>
      </font>
      <fill>
        <patternFill>
          <bgColor rgb="FFFF6D9E"/>
        </patternFill>
      </fill>
    </dxf>
    <dxf>
      <fill>
        <patternFill>
          <bgColor rgb="FFFF0000"/>
        </patternFill>
      </fill>
    </dxf>
    <dxf>
      <fill>
        <patternFill patternType="solid">
          <fgColor indexed="64"/>
          <bgColor rgb="FFE4E300"/>
        </patternFill>
      </fill>
    </dxf>
    <dxf>
      <fill>
        <patternFill patternType="solid">
          <fgColor indexed="64"/>
          <bgColor rgb="FF9E004F"/>
        </patternFill>
      </fill>
    </dxf>
    <dxf>
      <fill>
        <patternFill>
          <bgColor rgb="FF4685D2"/>
        </patternFill>
      </fill>
    </dxf>
    <dxf>
      <fill>
        <patternFill patternType="solid">
          <fgColor indexed="64"/>
          <bgColor theme="4" tint="0.5999938962981048"/>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6" tint="0.5999938962981048"/>
        </patternFill>
      </fill>
    </dxf>
    <dxf>
      <fill>
        <patternFill>
          <bgColor rgb="FFE1AAA9"/>
        </patternFill>
      </fill>
    </dxf>
    <dxf>
      <fill>
        <patternFill>
          <bgColor theme="7" tint="0.3999450666829432"/>
        </patternFill>
      </fill>
    </dxf>
    <dxf>
      <fill>
        <patternFill patternType="solid">
          <fgColor indexed="64"/>
          <bgColor theme="0" tint="-0.0499893185216834"/>
        </patternFill>
      </fill>
    </dxf>
    <dxf>
      <fill>
        <patternFill>
          <bgColor theme="6" tint="0.3999450666829432"/>
        </patternFill>
      </fill>
    </dxf>
    <dxf>
      <fill>
        <patternFill>
          <bgColor theme="2" tint="-0.249946592608417"/>
        </patternFill>
      </fill>
    </dxf>
    <dxf>
      <fill>
        <patternFill patternType="solid">
          <fgColor indexed="64"/>
          <bgColor rgb="FFDCC97A"/>
        </patternFill>
      </fill>
    </dxf>
    <dxf>
      <fill>
        <patternFill>
          <bgColor theme="9" tint="0.5999633777886288"/>
        </patternFill>
      </fill>
    </dxf>
    <dxf>
      <font>
        <color auto="1"/>
      </font>
      <fill>
        <patternFill patternType="solid">
          <fgColor indexed="64"/>
          <bgColor theme="0" tint="-0.249977111117893"/>
        </patternFill>
      </fill>
    </dxf>
    <dxf>
      <fill>
        <patternFill>
          <bgColor theme="8" tint="0.3999450666829432"/>
        </patternFill>
      </fill>
    </dxf>
    <dxf>
      <fill>
        <patternFill>
          <bgColor theme="8"/>
        </patternFill>
      </fill>
    </dxf>
    <dxf>
      <fill>
        <patternFill>
          <bgColor rgb="FFBBBB59"/>
        </patternFill>
      </fill>
    </dxf>
    <dxf>
      <font>
        <color auto="1"/>
      </font>
      <fill>
        <patternFill>
          <bgColor rgb="FFFF6D9E"/>
        </patternFill>
      </fill>
    </dxf>
    <dxf>
      <fill>
        <patternFill>
          <bgColor rgb="FFFF0000"/>
        </patternFill>
      </fill>
    </dxf>
    <dxf>
      <fill>
        <patternFill patternType="solid">
          <fgColor indexed="64"/>
          <bgColor rgb="FFE4E300"/>
        </patternFill>
      </fill>
    </dxf>
    <dxf>
      <fill>
        <patternFill patternType="solid">
          <fgColor indexed="64"/>
          <bgColor theme="4" tint="0.5999938962981048"/>
        </patternFill>
      </fill>
    </dxf>
    <dxf>
      <fill>
        <patternFill patternType="solid">
          <fgColor indexed="64"/>
          <bgColor rgb="FF9E004F"/>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6" tint="0.5999938962981048"/>
        </patternFill>
      </fill>
    </dxf>
    <dxf>
      <fill>
        <patternFill>
          <bgColor rgb="FFE1AAA9"/>
        </patternFill>
      </fill>
    </dxf>
    <dxf>
      <fill>
        <patternFill>
          <bgColor theme="7" tint="0.3999450666829432"/>
        </patternFill>
      </fill>
    </dxf>
    <dxf>
      <fill>
        <patternFill patternType="solid">
          <fgColor indexed="64"/>
          <bgColor theme="0" tint="-0.0499893185216834"/>
        </patternFill>
      </fill>
    </dxf>
    <dxf>
      <fill>
        <patternFill>
          <bgColor theme="6" tint="0.3999450666829432"/>
        </patternFill>
      </fill>
    </dxf>
    <dxf>
      <fill>
        <patternFill>
          <bgColor theme="2" tint="-0.249946592608417"/>
        </patternFill>
      </fill>
    </dxf>
    <dxf>
      <fill>
        <patternFill patternType="solid">
          <fgColor indexed="64"/>
          <bgColor rgb="FFDCC97A"/>
        </patternFill>
      </fill>
    </dxf>
    <dxf>
      <fill>
        <patternFill>
          <bgColor theme="9" tint="0.3999450666829432"/>
        </patternFill>
      </fill>
    </dxf>
    <dxf>
      <font>
        <color auto="1"/>
      </font>
      <fill>
        <patternFill patternType="solid">
          <fgColor indexed="64"/>
          <bgColor theme="0" tint="-0.249977111117893"/>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4685D2"/>
        </patternFill>
      </fill>
    </dxf>
    <dxf>
      <fill>
        <patternFill>
          <bgColor theme="8"/>
        </patternFill>
      </fill>
    </dxf>
    <dxf>
      <font>
        <color auto="1"/>
      </font>
      <fill>
        <patternFill>
          <bgColor rgb="FFFF6D9E"/>
        </patternFill>
      </fill>
    </dxf>
    <dxf>
      <fill>
        <patternFill>
          <bgColor rgb="FFFF0000"/>
        </patternFill>
      </fill>
    </dxf>
    <dxf>
      <fill>
        <patternFill patternType="solid">
          <fgColor indexed="64"/>
          <bgColor rgb="FFE4E300"/>
        </patternFill>
      </fill>
    </dxf>
    <dxf>
      <fill>
        <patternFill patternType="solid">
          <fgColor indexed="64"/>
          <bgColor rgb="FF9E004F"/>
        </patternFill>
      </fill>
    </dxf>
    <dxf>
      <fill>
        <patternFill>
          <bgColor rgb="FF4685D2"/>
        </patternFill>
      </fill>
    </dxf>
    <dxf>
      <fill>
        <patternFill patternType="solid">
          <fgColor indexed="64"/>
          <bgColor theme="4" tint="0.5999938962981048"/>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6" tint="0.5999938962981048"/>
        </patternFill>
      </fill>
    </dxf>
    <dxf>
      <fill>
        <patternFill>
          <bgColor rgb="FFE1AAA9"/>
        </patternFill>
      </fill>
    </dxf>
    <dxf>
      <fill>
        <patternFill>
          <bgColor theme="7" tint="0.3999450666829432"/>
        </patternFill>
      </fill>
    </dxf>
    <dxf>
      <fill>
        <patternFill>
          <bgColor rgb="FF99BCE7"/>
        </patternFill>
      </fill>
    </dxf>
    <dxf>
      <fill>
        <patternFill patternType="solid">
          <fgColor indexed="64"/>
          <bgColor theme="0" tint="-0.0499893185216834"/>
        </patternFill>
      </fill>
    </dxf>
    <dxf>
      <fill>
        <patternFill>
          <bgColor theme="6" tint="0.3999450666829432"/>
        </patternFill>
      </fill>
    </dxf>
    <dxf>
      <fill>
        <patternFill>
          <bgColor theme="2" tint="-0.249946592608417"/>
        </patternFill>
      </fill>
    </dxf>
    <dxf>
      <fill>
        <patternFill patternType="solid">
          <fgColor indexed="64"/>
          <bgColor rgb="FFDCC97A"/>
        </patternFill>
      </fill>
    </dxf>
    <dxf>
      <fill>
        <patternFill>
          <bgColor theme="9" tint="0.3999450666829432"/>
        </patternFill>
      </fill>
    </dxf>
    <dxf>
      <font>
        <color auto="1"/>
      </font>
      <fill>
        <patternFill patternType="solid">
          <fgColor indexed="64"/>
          <bgColor theme="0" tint="-0.249977111117893"/>
        </patternFill>
      </fill>
    </dxf>
    <dxf>
      <fill>
        <patternFill patternType="solid">
          <fgColor indexed="64"/>
          <bgColor theme="4" tint="0.7999816888943144"/>
        </patternFill>
      </fill>
    </dxf>
    <dxf>
      <fill>
        <patternFill>
          <bgColor theme="8" tint="0.3999450666829432"/>
        </patternFill>
      </fill>
    </dxf>
    <dxf>
      <fill>
        <patternFill>
          <bgColor rgb="FFBBBB59"/>
        </patternFill>
      </fill>
    </dxf>
    <dxf>
      <fill>
        <patternFill>
          <bgColor theme="9" tint="0.5999633777886288"/>
        </patternFill>
      </fill>
    </dxf>
    <dxf>
      <fill>
        <patternFill>
          <bgColor rgb="FFFF9900"/>
        </patternFill>
      </fill>
    </dxf>
    <dxf>
      <fill>
        <patternFill>
          <bgColor theme="8"/>
        </patternFill>
      </fill>
    </dxf>
    <dxf>
      <fill>
        <patternFill>
          <bgColor rgb="FFBBBB59"/>
        </patternFill>
      </fill>
    </dxf>
    <dxf>
      <font>
        <color auto="1"/>
      </font>
      <fill>
        <patternFill>
          <bgColor rgb="FFFF6D9E"/>
        </patternFill>
      </fill>
    </dxf>
    <dxf>
      <fill>
        <patternFill>
          <bgColor rgb="FFFF0000"/>
        </patternFill>
      </fill>
    </dxf>
    <dxf>
      <fill>
        <patternFill patternType="solid">
          <fgColor indexed="64"/>
          <bgColor rgb="FFE4E300"/>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bgColor theme="9" tint="0.5999633777886288"/>
        </patternFill>
      </fill>
    </dxf>
    <dxf>
      <fill>
        <patternFill>
          <bgColor theme="8" tint="0.3999450666829432"/>
        </patternFill>
      </fill>
    </dxf>
    <dxf>
      <fill>
        <patternFill>
          <bgColor theme="9" tint="0.3999450666829432"/>
        </patternFill>
      </fill>
    </dxf>
    <dxf>
      <fill>
        <patternFill patternType="solid">
          <fgColor indexed="64"/>
          <bgColor rgb="FFDCC97A"/>
        </patternFill>
      </fill>
    </dxf>
    <dxf>
      <fill>
        <patternFill>
          <bgColor theme="2" tint="-0.249946592608417"/>
        </patternFill>
      </fill>
    </dxf>
    <dxf>
      <fill>
        <patternFill>
          <bgColor theme="6" tint="0.3999450666829432"/>
        </patternFill>
      </fill>
    </dxf>
    <dxf>
      <fill>
        <patternFill patternType="solid">
          <fgColor indexed="64"/>
          <bgColor theme="0" tint="-0.0499893185216834"/>
        </patternFill>
      </fill>
    </dxf>
    <dxf>
      <fill>
        <patternFill>
          <bgColor theme="7" tint="0.3999450666829432"/>
        </patternFill>
      </fill>
    </dxf>
    <dxf>
      <fill>
        <patternFill>
          <bgColor rgb="FFE1AAA9"/>
        </patternFill>
      </fill>
    </dxf>
    <dxf>
      <fill>
        <patternFill patternType="solid">
          <fgColor indexed="64"/>
          <bgColor theme="6" tint="0.5999938962981048"/>
        </patternFill>
      </fill>
    </dxf>
    <dxf>
      <fill>
        <patternFill>
          <bgColor rgb="FFEEB400"/>
        </patternFill>
      </fill>
    </dxf>
    <dxf>
      <fill>
        <patternFill patternType="solid">
          <fgColor indexed="64"/>
          <bgColor theme="4" tint="0.5999938962981048"/>
        </patternFill>
      </fill>
    </dxf>
    <dxf>
      <fill>
        <patternFill>
          <bgColor rgb="FFFF9900"/>
        </patternFill>
      </fill>
    </dxf>
    <dxf>
      <fill>
        <patternFill>
          <bgColor rgb="FFEEB400"/>
        </patternFill>
      </fill>
    </dxf>
    <dxf>
      <fill>
        <patternFill patternType="solid">
          <fgColor indexed="64"/>
          <bgColor theme="4" tint="0.7999816888943144"/>
        </patternFill>
      </fill>
    </dxf>
    <dxf>
      <fill>
        <patternFill>
          <bgColor rgb="FF99BCE7"/>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ill>
        <patternFill patternType="solid">
          <fgColor indexed="64"/>
          <bgColor theme="6" tint="0.7999816888943144"/>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
        </patternFill>
      </fill>
    </dxf>
    <dxf>
      <fill>
        <patternFill>
          <bgColor rgb="FFF2DBDA"/>
        </patternFill>
      </fill>
    </dxf>
    <dxf>
      <fill>
        <patternFill patternType="solid">
          <fgColor indexed="64"/>
          <bgColor rgb="FFBA005D"/>
        </patternFill>
      </fill>
    </dxf>
    <dxf>
      <fill>
        <patternFill>
          <bgColor rgb="FFEAEB74"/>
        </patternFill>
      </fill>
    </dxf>
    <dxf>
      <fill>
        <patternFill patternType="solid">
          <fgColor indexed="64"/>
          <bgColor rgb="FFDCC97A"/>
        </patternFill>
      </fill>
    </dxf>
    <dxf>
      <fill>
        <patternFill>
          <bgColor theme="2" tint="-0.249946592608417"/>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9900"/>
        </patternFill>
      </fill>
    </dxf>
    <dxf>
      <fill>
        <patternFill>
          <bgColor theme="6" tint="0.3999450666829432"/>
        </patternFill>
      </fill>
    </dxf>
    <dxf>
      <fill>
        <patternFill>
          <bgColor rgb="FFEEB400"/>
        </patternFill>
      </fill>
    </dxf>
    <dxf>
      <fill>
        <patternFill>
          <bgColor rgb="FFEEB400"/>
        </patternFill>
      </fill>
    </dxf>
    <dxf>
      <fill>
        <patternFill>
          <bgColor theme="7" tint="0.3999450666829432"/>
        </patternFill>
      </fill>
    </dxf>
    <dxf>
      <fill>
        <patternFill>
          <bgColor rgb="FFFF0000"/>
        </patternFill>
      </fill>
    </dxf>
    <dxf>
      <fill>
        <patternFill patternType="solid">
          <fgColor indexed="64"/>
          <bgColor theme="4" tint="0.5999938962981048"/>
        </patternFill>
      </fill>
    </dxf>
    <dxf>
      <fill>
        <patternFill patternType="solid">
          <fgColor indexed="64"/>
          <bgColor rgb="FFE4E300"/>
        </patternFill>
      </fill>
    </dxf>
    <dxf>
      <fill>
        <patternFill>
          <bgColor rgb="FF99BCE7"/>
        </patternFill>
      </fill>
    </dxf>
    <dxf>
      <fill>
        <patternFill patternType="solid">
          <fgColor indexed="64"/>
          <bgColor theme="4" tint="0.7999816888943144"/>
        </patternFill>
      </fill>
    </dxf>
    <dxf>
      <fill>
        <patternFill>
          <bgColor theme="8"/>
        </patternFill>
      </fill>
    </dxf>
    <dxf>
      <fill>
        <patternFill>
          <bgColor rgb="FFBBBB59"/>
        </patternFill>
      </fill>
    </dxf>
    <dxf>
      <fill>
        <patternFill>
          <bgColor theme="8" tint="0.399945066682943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EEB400"/>
        </patternFill>
      </fill>
    </dxf>
    <dxf>
      <fill>
        <patternFill>
          <bgColor rgb="FFFF9900"/>
        </patternFill>
      </fill>
    </dxf>
    <dxf>
      <fill>
        <patternFill>
          <bgColor rgb="FF4685D2"/>
        </patternFill>
      </fill>
    </dxf>
    <dxf>
      <fill>
        <patternFill>
          <bgColor rgb="FFFF9900"/>
        </patternFill>
      </fill>
    </dxf>
    <dxf>
      <fill>
        <patternFill>
          <bgColor theme="9" tint="0.5999633777886288"/>
        </patternFill>
      </fill>
    </dxf>
    <dxf>
      <fill>
        <patternFill>
          <bgColor theme="9" tint="0.3999450666829432"/>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bgColor theme="8" tint="0.3999450666829432"/>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theme="9" tint="0.5999633777886288"/>
        </patternFill>
      </fill>
    </dxf>
    <dxf>
      <fill>
        <patternFill>
          <bgColor theme="8"/>
        </patternFill>
      </fill>
    </dxf>
    <dxf>
      <font>
        <color auto="1"/>
      </font>
      <fill>
        <patternFill>
          <bgColor rgb="FFFF6D9E"/>
        </patternFill>
      </fill>
    </dxf>
    <dxf>
      <fill>
        <patternFill patternType="solid">
          <fgColor indexed="64"/>
          <bgColor rgb="FFDCC97A"/>
        </patternFill>
      </fill>
    </dxf>
    <dxf>
      <fill>
        <patternFill>
          <bgColor rgb="FFE1AAA9"/>
        </patternFill>
      </fill>
    </dxf>
    <dxf>
      <fill>
        <patternFill>
          <bgColor theme="9" tint="0.5999633777886288"/>
        </patternFill>
      </fill>
    </dxf>
    <dxf>
      <fill>
        <patternFill>
          <bgColor theme="9" tint="0.3999450666829432"/>
        </patternFill>
      </fill>
    </dxf>
    <dxf>
      <fill>
        <patternFill>
          <bgColor rgb="FFFF9900"/>
        </patternFill>
      </fill>
    </dxf>
    <dxf>
      <fill>
        <patternFill>
          <bgColor rgb="FFFF9900"/>
        </patternFill>
      </fill>
    </dxf>
    <dxf>
      <fill>
        <patternFill patternType="solid">
          <fgColor indexed="64"/>
          <bgColor theme="6" tint="0.5999938962981048"/>
        </patternFill>
      </fill>
    </dxf>
    <dxf>
      <fill>
        <patternFill>
          <bgColor rgb="FF4685D2"/>
        </patternFill>
      </fill>
    </dxf>
    <dxf>
      <fill>
        <patternFill>
          <bgColor rgb="FFEEB400"/>
        </patternFill>
      </fill>
    </dxf>
    <dxf>
      <fill>
        <patternFill>
          <bgColor rgb="FFEEB400"/>
        </patternFill>
      </fill>
    </dxf>
    <dxf>
      <fill>
        <patternFill>
          <bgColor rgb="FFFFD44B"/>
        </patternFill>
      </fill>
    </dxf>
    <dxf>
      <fill>
        <patternFill>
          <bgColor rgb="FFFFBB57"/>
        </patternFill>
      </fill>
    </dxf>
    <dxf>
      <fill>
        <patternFill>
          <bgColor rgb="FFF2DBDA"/>
        </patternFill>
      </fill>
    </dxf>
    <dxf>
      <fill>
        <patternFill>
          <bgColor theme="7" tint="0.5999633777886288"/>
        </patternFill>
      </fill>
    </dxf>
    <dxf>
      <fill>
        <patternFill patternType="solid">
          <fgColor indexed="64"/>
          <bgColor theme="6" tint="0.7999816888943144"/>
        </patternFill>
      </fill>
    </dxf>
    <dxf>
      <fill>
        <patternFill patternType="solid">
          <fgColor indexed="64"/>
          <bgColor theme="4"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ont>
        <color auto="1"/>
      </font>
      <fill>
        <patternFill patternType="solid">
          <fgColor indexed="64"/>
          <bgColor theme="0" tint="-0.249977111117893"/>
        </patternFill>
      </fill>
    </dxf>
    <dxf>
      <fill>
        <patternFill>
          <bgColor rgb="FF99BCE7"/>
        </patternFill>
      </fill>
    </dxf>
    <dxf>
      <fill>
        <patternFill patternType="solid">
          <fgColor indexed="64"/>
          <bgColor rgb="FF9E004F"/>
        </patternFill>
      </fill>
    </dxf>
    <dxf>
      <fill>
        <patternFill>
          <bgColor theme="7" tint="0.3999450666829432"/>
        </patternFill>
      </fill>
    </dxf>
    <dxf>
      <fill>
        <patternFill patternType="solid">
          <fgColor indexed="64"/>
          <bgColor theme="4" tint="0.5999938962981048"/>
        </patternFill>
      </fill>
    </dxf>
    <dxf>
      <fill>
        <patternFill patternType="solid">
          <fgColor indexed="64"/>
          <bgColor rgb="FFE4E300"/>
        </patternFill>
      </fill>
    </dxf>
    <dxf>
      <fill>
        <patternFill patternType="solid">
          <fgColor rgb="FFFF9900"/>
          <bgColor rgb="FFFF9900"/>
        </patternFill>
      </fill>
    </dxf>
    <dxf>
      <fill>
        <patternFill patternType="solid">
          <fgColor rgb="FFB8CCE4"/>
          <bgColor rgb="FFB8CCE4"/>
        </patternFill>
      </fill>
    </dxf>
    <dxf>
      <fill>
        <patternFill patternType="solid">
          <fgColor rgb="FFD6E3BC"/>
          <bgColor rgb="FFD6E3BC"/>
        </patternFill>
      </fill>
    </dxf>
    <dxf>
      <fill>
        <patternFill patternType="solid">
          <fgColor theme="8"/>
          <bgColor theme="8"/>
        </patternFill>
      </fill>
    </dxf>
    <dxf>
      <fill>
        <patternFill patternType="solid">
          <fgColor rgb="FFFF6D9E"/>
          <bgColor rgb="FFFF6D9E"/>
        </patternFill>
      </fill>
    </dxf>
    <dxf>
      <fill>
        <patternFill patternType="solid">
          <fgColor rgb="FFE1AAA9"/>
          <bgColor rgb="FFE1AAA9"/>
        </patternFill>
      </fill>
    </dxf>
    <dxf>
      <fill>
        <patternFill patternType="solid">
          <fgColor rgb="FFEEB400"/>
          <bgColor rgb="FFEEB400"/>
        </patternFill>
      </fill>
    </dxf>
    <dxf>
      <fill>
        <patternFill patternType="solid">
          <fgColor rgb="FFF2F2F2"/>
          <bgColor rgb="FFF2F2F2"/>
        </patternFill>
      </fill>
    </dxf>
    <dxf>
      <fill>
        <patternFill patternType="solid">
          <fgColor rgb="FFB2A1C7"/>
          <bgColor rgb="FFB2A1C7"/>
        </patternFill>
      </fill>
    </dxf>
    <dxf>
      <fill>
        <patternFill patternType="solid">
          <fgColor rgb="FFFF0000"/>
          <bgColor rgb="FFFF0000"/>
        </patternFill>
      </fill>
    </dxf>
    <dxf>
      <fill>
        <patternFill patternType="solid">
          <fgColor rgb="FFF2DBDA"/>
          <bgColor rgb="FFF2DBDA"/>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9E004F"/>
          <bgColor rgb="FF9E004F"/>
        </patternFill>
      </fill>
    </dxf>
    <dxf>
      <fill>
        <patternFill patternType="solid">
          <fgColor rgb="FFE4E300"/>
          <bgColor rgb="FFE4E300"/>
        </patternFill>
      </fill>
    </dxf>
    <dxf>
      <fill>
        <patternFill patternType="solid">
          <fgColor rgb="FFBFBFBF"/>
          <bgColor rgb="FFBFBFBF"/>
        </patternFill>
      </fill>
    </dxf>
    <dxf>
      <fill>
        <patternFill patternType="solid">
          <fgColor rgb="FFFFD44B"/>
          <bgColor rgb="FFFFD44B"/>
        </patternFill>
      </fill>
    </dxf>
    <dxf>
      <fill>
        <patternFill patternType="solid">
          <fgColor rgb="FFFFBB57"/>
          <bgColor rgb="FFFFBB57"/>
        </patternFill>
      </fill>
    </dxf>
    <dxf>
      <fill>
        <patternFill patternType="solid">
          <fgColor rgb="FF92CDDC"/>
          <bgColor rgb="FF92CDDC"/>
        </patternFill>
      </fill>
    </dxf>
    <dxf>
      <fill>
        <patternFill patternType="solid">
          <fgColor rgb="FFFBD4B4"/>
          <bgColor rgb="FFFBD4B4"/>
        </patternFill>
      </fill>
    </dxf>
    <dxf>
      <fill>
        <patternFill patternType="solid">
          <fgColor rgb="FFDBE5F1"/>
          <bgColor rgb="FFDBE5F1"/>
        </patternFill>
      </fill>
    </dxf>
    <dxf>
      <fill>
        <patternFill patternType="solid">
          <fgColor rgb="FF99BCE7"/>
          <bgColor rgb="FF99BCE7"/>
        </patternFill>
      </fill>
    </dxf>
    <dxf>
      <fill>
        <patternFill patternType="solid">
          <fgColor rgb="FFEEB400"/>
          <bgColor rgb="FFEEB400"/>
        </patternFill>
      </fill>
    </dxf>
    <dxf>
      <fill>
        <patternFill patternType="solid">
          <fgColor rgb="FFEAEB74"/>
          <bgColor rgb="FFEAEB7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CCC0D9"/>
          <bgColor rgb="FFCCC0D9"/>
        </patternFill>
      </fill>
    </dxf>
    <dxf>
      <fill>
        <patternFill patternType="solid">
          <fgColor rgb="FFFABF8F"/>
          <bgColor rgb="FFFABF8F"/>
        </patternFill>
      </fill>
    </dxf>
    <dxf>
      <fill>
        <patternFill patternType="solid">
          <fgColor rgb="FFBA005D"/>
          <bgColor rgb="FFBA005D"/>
        </patternFill>
      </fill>
    </dxf>
    <dxf>
      <fill>
        <patternFill patternType="solid">
          <fgColor rgb="FFBBBB59"/>
          <bgColor rgb="FFBBBB59"/>
        </patternFill>
      </fill>
    </dxf>
    <dxf>
      <fill>
        <patternFill patternType="solid">
          <fgColor rgb="FFFF9900"/>
          <bgColor rgb="FFFF9900"/>
        </patternFill>
      </fill>
    </dxf>
    <dxf>
      <fill>
        <patternFill patternType="solid">
          <fgColor rgb="FF4685D2"/>
          <bgColor rgb="FF4685D2"/>
        </patternFill>
      </fill>
    </dxf>
    <dxf>
      <fill>
        <patternFill patternType="solid">
          <fgColor rgb="FFEAF1DD"/>
          <bgColor rgb="FFEAF1DD"/>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theme="8" tint="0.3999450666829432"/>
        </patternFill>
      </fill>
    </dxf>
    <dxf>
      <fill>
        <patternFill>
          <bgColor theme="9" tint="0.5999633777886288"/>
        </patternFill>
      </fill>
    </dxf>
    <dxf>
      <fill>
        <patternFill>
          <bgColor rgb="FF99BCE7"/>
        </patternFill>
      </fill>
    </dxf>
    <dxf>
      <fill>
        <patternFill>
          <bgColor rgb="FF99BCE7"/>
        </patternFill>
      </fill>
    </dxf>
    <dxf>
      <fill>
        <patternFill patternType="solid">
          <fgColor indexed="64"/>
          <bgColor theme="4" tint="0.7999816888943144"/>
        </patternFill>
      </fill>
    </dxf>
    <dxf>
      <fill>
        <patternFill>
          <bgColor theme="8" tint="0.3999450666829432"/>
        </patternFill>
      </fill>
    </dxf>
    <dxf>
      <fill>
        <patternFill>
          <bgColor theme="9" tint="0.5999633777886288"/>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theme="8" tint="0.3999450666829432"/>
        </patternFill>
      </fill>
    </dxf>
    <dxf>
      <fill>
        <patternFill>
          <bgColor theme="9" tint="0.5999633777886288"/>
        </patternFill>
      </fill>
    </dxf>
    <dxf>
      <fill>
        <patternFill>
          <bgColor theme="9" tint="0.5999633777886288"/>
        </patternFill>
      </fill>
    </dxf>
    <dxf>
      <fill>
        <patternFill>
          <bgColor rgb="FF99BCE7"/>
        </patternFill>
      </fill>
    </dxf>
    <dxf>
      <fill>
        <patternFill patternType="solid">
          <fgColor indexed="64"/>
          <bgColor theme="4" tint="0.7999816888943144"/>
        </patternFill>
      </fill>
    </dxf>
    <dxf>
      <fill>
        <patternFill>
          <bgColor theme="8" tint="0.3999450666829432"/>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theme="8" tint="0.3999450666829432"/>
        </patternFill>
      </fill>
    </dxf>
    <dxf>
      <fill>
        <patternFill>
          <bgColor theme="9" tint="0.5999633777886288"/>
        </patternFill>
      </fill>
    </dxf>
    <dxf>
      <fill>
        <patternFill>
          <bgColor theme="9" tint="0.5999633777886288"/>
        </patternFill>
      </fill>
    </dxf>
    <dxf>
      <fill>
        <patternFill>
          <bgColor theme="8" tint="0.3999450666829432"/>
        </patternFill>
      </fill>
    </dxf>
    <dxf>
      <fill>
        <patternFill>
          <bgColor theme="9" tint="0.5999633777886288"/>
        </patternFill>
      </fill>
    </dxf>
    <dxf>
      <fill>
        <patternFill>
          <bgColor rgb="FF99BCE7"/>
        </patternFill>
      </fill>
    </dxf>
    <dxf>
      <fill>
        <patternFill patternType="solid">
          <fgColor indexed="64"/>
          <bgColor theme="4" tint="0.7999816888943144"/>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bgColor theme="8" tint="0.3999450666829432"/>
        </patternFill>
      </fill>
    </dxf>
    <dxf>
      <fill>
        <patternFill>
          <bgColor theme="8" tint="0.3999450666829432"/>
        </patternFill>
      </fill>
    </dxf>
    <dxf>
      <fill>
        <patternFill>
          <bgColor theme="9" tint="0.5999633777886288"/>
        </patternFill>
      </fill>
    </dxf>
    <dxf>
      <fill>
        <patternFill>
          <bgColor rgb="FF99BCE7"/>
        </patternFill>
      </fill>
    </dxf>
    <dxf>
      <fill>
        <patternFill patternType="solid">
          <fgColor indexed="64"/>
          <bgColor theme="4" tint="0.7999816888943144"/>
        </patternFill>
      </fill>
    </dxf>
    <dxf>
      <fill>
        <patternFill>
          <bgColor rgb="FFEAEB74"/>
        </patternFill>
      </fill>
    </dxf>
    <dxf>
      <fill>
        <patternFill patternType="solid">
          <fgColor indexed="64"/>
          <bgColor rgb="FFE7D480"/>
        </patternFill>
      </fill>
    </dxf>
    <dxf>
      <fill>
        <patternFill>
          <bgColor rgb="FFDDE8C6"/>
        </patternFill>
      </fill>
    </dxf>
    <dxf>
      <fill>
        <patternFill patternType="solid">
          <fgColor indexed="64"/>
          <bgColor rgb="FFBA005D"/>
        </patternFill>
      </fill>
    </dxf>
    <dxf>
      <fill>
        <patternFill>
          <bgColor rgb="FFE3E0CF"/>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patternType="solid">
          <fgColor indexed="64"/>
          <bgColor rgb="FFBA005D"/>
        </patternFill>
      </fill>
    </dxf>
    <dxf>
      <fill>
        <patternFill>
          <bgColor theme="8" tint="0.3999450666829432"/>
        </patternFill>
      </fill>
    </dxf>
    <dxf>
      <fill>
        <patternFill>
          <bgColor rgb="FFE3E0CF"/>
        </patternFill>
      </fill>
    </dxf>
    <dxf>
      <fill>
        <patternFill patternType="solid">
          <fgColor indexed="64"/>
          <bgColor rgb="FFE7D480"/>
        </patternFill>
      </fill>
    </dxf>
    <dxf>
      <fill>
        <patternFill>
          <bgColor rgb="FFDDE8C6"/>
        </patternFill>
      </fill>
    </dxf>
    <dxf>
      <fill>
        <patternFill>
          <bgColor rgb="FFFFD44B"/>
        </patternFill>
      </fill>
    </dxf>
    <dxf>
      <fill>
        <patternFill>
          <bgColor rgb="FFFFBB57"/>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bgColor rgb="FFF2DBDA"/>
        </patternFill>
      </fill>
    </dxf>
    <dxf>
      <fill>
        <patternFill patternType="solid">
          <fgColor indexed="64"/>
          <bgColor theme="6" tint="0.7999816888943144"/>
        </patternFill>
      </fill>
    </dxf>
    <dxf>
      <fill>
        <patternFill>
          <bgColor theme="7" tint="0.5999633777886288"/>
        </patternFill>
      </fill>
    </dxf>
    <dxf>
      <fill>
        <patternFill>
          <bgColor rgb="FFDDE8C6"/>
        </patternFill>
      </fill>
    </dxf>
    <dxf>
      <fill>
        <patternFill>
          <bgColor rgb="FFE3E0CF"/>
        </patternFill>
      </fill>
    </dxf>
    <dxf>
      <fill>
        <patternFill patternType="solid">
          <fgColor indexed="64"/>
          <bgColor rgb="FFBA005D"/>
        </patternFill>
      </fill>
    </dxf>
    <dxf>
      <fill>
        <patternFill>
          <bgColor rgb="FFE3E0CF"/>
        </patternFill>
      </fill>
    </dxf>
    <dxf>
      <font>
        <color auto="1"/>
      </font>
      <fill>
        <patternFill patternType="solid">
          <fgColor indexed="64"/>
          <bgColor theme="0" tint="-0.1499984740745262"/>
        </patternFill>
      </fill>
    </dxf>
    <dxf>
      <fill>
        <patternFill>
          <bgColor rgb="FFDDE8C6"/>
        </patternFill>
      </fill>
    </dxf>
    <dxf>
      <fill>
        <patternFill patternType="solid">
          <fgColor indexed="64"/>
          <bgColor rgb="FFE7D480"/>
        </patternFill>
      </fill>
    </dxf>
    <dxf>
      <fill>
        <patternFill>
          <bgColor rgb="FFEAEB74"/>
        </patternFill>
      </fill>
    </dxf>
    <dxf>
      <fill>
        <patternFill patternType="solid">
          <fgColor indexed="64"/>
          <bgColor rgb="FFFBFB00"/>
        </patternFill>
      </fill>
    </dxf>
    <dxf>
      <fill>
        <patternFill>
          <bgColor rgb="FFFFBB57"/>
        </patternFill>
      </fill>
    </dxf>
    <dxf>
      <fill>
        <patternFill>
          <bgColor rgb="FFF2DBDA"/>
        </patternFill>
      </fill>
    </dxf>
    <dxf>
      <font>
        <color auto="1"/>
      </font>
      <fill>
        <patternFill>
          <bgColor rgb="FFFFC7CE"/>
        </patternFill>
      </fill>
    </dxf>
    <dxf>
      <fill>
        <patternFill>
          <bgColor rgb="FFFF6969"/>
        </patternFill>
      </fill>
    </dxf>
    <dxf>
      <fill>
        <patternFill patternType="solid">
          <fgColor indexed="64"/>
          <bgColor theme="6" tint="0.7999816888943144"/>
        </patternFill>
      </fill>
    </dxf>
    <dxf>
      <fill>
        <patternFill>
          <bgColor theme="7" tint="0.5999633777886288"/>
        </patternFill>
      </fill>
    </dxf>
    <dxf>
      <fill>
        <patternFill>
          <bgColor rgb="FFFFD44B"/>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D44B"/>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FF6969"/>
        </patternFill>
      </fill>
    </dxf>
    <dxf>
      <font>
        <color auto="1"/>
      </font>
      <fill>
        <patternFill>
          <bgColor rgb="FFFFC7CE"/>
        </patternFill>
      </fill>
    </dxf>
    <dxf>
      <fill>
        <patternFill>
          <bgColor rgb="FFFFBB57"/>
        </patternFill>
      </fill>
    </dxf>
    <dxf>
      <fill>
        <patternFill patternType="solid">
          <fgColor indexed="64"/>
          <bgColor rgb="FFBA005D"/>
        </patternFill>
      </fill>
    </dxf>
    <dxf>
      <fill>
        <patternFill>
          <bgColor rgb="FFE3E0CF"/>
        </patternFill>
      </fill>
    </dxf>
    <dxf>
      <fill>
        <patternFill>
          <bgColor rgb="FFDDE8C6"/>
        </patternFill>
      </fill>
    </dxf>
    <dxf>
      <fill>
        <patternFill>
          <bgColor rgb="FFEAEB74"/>
        </patternFill>
      </fill>
    </dxf>
    <dxf>
      <fill>
        <patternFill patternType="solid">
          <fgColor indexed="64"/>
          <bgColor rgb="FFE7D480"/>
        </patternFill>
      </fill>
    </dxf>
    <dxf>
      <fill>
        <patternFill>
          <bgColor rgb="FFFFD44B"/>
        </patternFill>
      </fill>
    </dxf>
    <dxf>
      <fill>
        <patternFill>
          <bgColor rgb="FFEAEB74"/>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ill>
        <patternFill>
          <bgColor rgb="FFFFD44B"/>
        </patternFill>
      </fill>
    </dxf>
    <dxf>
      <fill>
        <patternFill>
          <bgColor rgb="FFFFD44B"/>
        </patternFill>
      </fill>
    </dxf>
    <dxf>
      <fill>
        <patternFill patternType="solid">
          <fgColor indexed="64"/>
          <bgColor theme="6" tint="0.7999816888943144"/>
        </patternFill>
      </fill>
    </dxf>
    <dxf>
      <fill>
        <patternFill>
          <bgColor rgb="FFEAEB74"/>
        </patternFill>
      </fill>
    </dxf>
    <dxf>
      <fill>
        <patternFill>
          <bgColor rgb="FFF2DBDA"/>
        </patternFill>
      </fill>
    </dxf>
    <dxf>
      <fill>
        <patternFill>
          <bgColor theme="7" tint="0.5999633777886288"/>
        </patternFill>
      </fill>
    </dxf>
    <dxf>
      <fill>
        <patternFill>
          <bgColor rgb="FFEAEB74"/>
        </patternFill>
      </fill>
    </dxf>
    <dxf>
      <fill>
        <patternFill>
          <bgColor rgb="FFFFD44B"/>
        </patternFill>
      </fill>
    </dxf>
    <dxf>
      <fill>
        <patternFill>
          <bgColor rgb="FFF2DBDA"/>
        </patternFill>
      </fill>
    </dxf>
    <dxf>
      <fill>
        <patternFill>
          <bgColor theme="7" tint="0.5999633777886288"/>
        </patternFill>
      </fill>
    </dxf>
    <dxf>
      <fill>
        <patternFill patternType="solid">
          <fgColor indexed="64"/>
          <bgColor theme="6" tint="0.7999816888943144"/>
        </patternFill>
      </fill>
    </dxf>
    <dxf>
      <fill>
        <patternFill>
          <bgColor rgb="FFEAEB74"/>
        </patternFill>
      </fill>
    </dxf>
    <dxf>
      <fill>
        <patternFill>
          <bgColor rgb="FFF2DBDA"/>
        </patternFill>
      </fill>
    </dxf>
    <dxf>
      <fill>
        <patternFill>
          <bgColor rgb="FFFFD44B"/>
        </patternFill>
      </fill>
    </dxf>
    <dxf>
      <fill>
        <patternFill patternType="solid">
          <fgColor indexed="64"/>
          <bgColor theme="6" tint="0.7999816888943144"/>
        </patternFill>
      </fill>
    </dxf>
    <dxf>
      <fill>
        <patternFill>
          <bgColor theme="7" tint="0.5999633777886288"/>
        </patternFill>
      </fill>
    </dxf>
    <dxf>
      <fill>
        <patternFill>
          <bgColor rgb="FFEAEB74"/>
        </patternFill>
      </fill>
    </dxf>
    <dxf>
      <fill>
        <patternFill patternType="solid">
          <fgColor indexed="64"/>
          <bgColor theme="6" tint="0.7999816888943144"/>
        </patternFill>
      </fill>
    </dxf>
    <dxf>
      <fill>
        <patternFill>
          <bgColor rgb="FFFFD44B"/>
        </patternFill>
      </fill>
    </dxf>
    <dxf>
      <fill>
        <patternFill>
          <bgColor theme="7" tint="0.5999633777886288"/>
        </patternFill>
      </fill>
    </dxf>
    <dxf>
      <fill>
        <patternFill>
          <bgColor rgb="FFF2DBDA"/>
        </patternFill>
      </fill>
    </dxf>
    <dxf>
      <fill>
        <patternFill>
          <bgColor rgb="FFEAEB74"/>
        </patternFill>
      </fill>
    </dxf>
    <dxf>
      <fill>
        <patternFill>
          <bgColor theme="7" tint="0.5999633777886288"/>
        </patternFill>
      </fill>
    </dxf>
    <dxf>
      <fill>
        <patternFill patternType="solid">
          <fgColor indexed="64"/>
          <bgColor theme="6" tint="0.7999816888943144"/>
        </patternFill>
      </fill>
    </dxf>
    <dxf>
      <fill>
        <patternFill>
          <bgColor rgb="FFF2DBDA"/>
        </patternFill>
      </fill>
    </dxf>
    <dxf>
      <fill>
        <patternFill>
          <bgColor rgb="FFFFD44B"/>
        </patternFill>
      </fill>
    </dxf>
    <dxf>
      <fill>
        <patternFill>
          <bgColor rgb="FFFFD44B"/>
        </patternFill>
      </fill>
    </dxf>
    <dxf>
      <fill>
        <patternFill>
          <bgColor rgb="FFF2DBDA"/>
        </patternFill>
      </fill>
    </dxf>
    <dxf>
      <fill>
        <patternFill>
          <bgColor theme="7" tint="0.5999633777886288"/>
        </patternFill>
      </fill>
    </dxf>
    <dxf>
      <fill>
        <patternFill patternType="solid">
          <fgColor indexed="64"/>
          <bgColor theme="6" tint="0.7999816888943144"/>
        </patternFill>
      </fill>
    </dxf>
    <dxf>
      <fill>
        <patternFill>
          <bgColor rgb="FFEAEB74"/>
        </patternFill>
      </fill>
    </dxf>
    <dxf>
      <fill>
        <patternFill>
          <bgColor rgb="FFEAEB74"/>
        </patternFill>
      </fill>
    </dxf>
    <dxf>
      <fill>
        <patternFill>
          <bgColor rgb="FFEAEB74"/>
        </patternFill>
      </fill>
    </dxf>
    <dxf>
      <fill>
        <patternFill>
          <bgColor theme="7" tint="0.5999633777886288"/>
        </patternFill>
      </fill>
    </dxf>
    <dxf>
      <fill>
        <patternFill>
          <bgColor rgb="FFF2DBDA"/>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patternType="solid">
          <fgColor indexed="64"/>
          <bgColor rgb="FFFBFB00"/>
        </patternFill>
      </fill>
    </dxf>
    <dxf>
      <fill>
        <patternFill>
          <bgColor rgb="FFFFBB57"/>
        </patternFill>
      </fill>
    </dxf>
    <dxf>
      <font>
        <color auto="1"/>
      </font>
      <fill>
        <patternFill>
          <bgColor rgb="FFFFC7CE"/>
        </patternFill>
      </fill>
    </dxf>
    <dxf>
      <fill>
        <patternFill>
          <bgColor rgb="FFFF6969"/>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theme="4" tint="0.7999816888943144"/>
        </patternFill>
      </fill>
    </dxf>
    <dxf>
      <fill>
        <patternFill>
          <bgColor rgb="FF99BCE7"/>
        </patternFill>
      </fill>
    </dxf>
    <dxf>
      <fill>
        <patternFill>
          <bgColor rgb="FFFF6969"/>
        </patternFill>
      </fill>
    </dxf>
    <dxf>
      <fill>
        <patternFill patternType="solid">
          <fgColor indexed="64"/>
          <bgColor theme="6" tint="0.7999816888943144"/>
        </patternFill>
      </fill>
    </dxf>
    <dxf>
      <fill>
        <patternFill>
          <bgColor rgb="FFFFD44B"/>
        </patternFill>
      </fill>
    </dxf>
    <dxf>
      <fill>
        <patternFill>
          <bgColor rgb="FFFFBB57"/>
        </patternFill>
      </fill>
    </dxf>
    <dxf>
      <font>
        <color auto="1"/>
      </font>
      <fill>
        <patternFill>
          <bgColor rgb="FFFFC7CE"/>
        </patternFill>
      </fill>
    </dxf>
    <dxf>
      <font>
        <color auto="1"/>
      </font>
      <fill>
        <patternFill patternType="solid">
          <fgColor indexed="64"/>
          <bgColor theme="0" tint="-0.1499984740745262"/>
        </patternFill>
      </fill>
    </dxf>
    <dxf>
      <fill>
        <patternFill patternType="solid">
          <fgColor indexed="64"/>
          <bgColor rgb="FFBA005D"/>
        </patternFill>
      </fill>
    </dxf>
    <dxf>
      <fill>
        <patternFill>
          <bgColor rgb="FFEAEB74"/>
        </patternFill>
      </fill>
    </dxf>
    <dxf>
      <fill>
        <patternFill>
          <bgColor rgb="FFF2DBDA"/>
        </patternFill>
      </fill>
    </dxf>
    <dxf>
      <fill>
        <patternFill patternType="solid">
          <fgColor indexed="64"/>
          <bgColor rgb="FFFBFB00"/>
        </patternFill>
      </fill>
    </dxf>
    <dxf>
      <fill>
        <patternFill>
          <bgColor theme="7" tint="0.5999633777886288"/>
        </patternFill>
      </fill>
    </dxf>
    <dxf>
      <fill>
        <patternFill>
          <bgColor rgb="FFDDE8C6"/>
        </patternFill>
      </fill>
    </dxf>
    <dxf>
      <fill>
        <patternFill patternType="solid">
          <fgColor indexed="64"/>
          <bgColor rgb="FFE7D480"/>
        </patternFill>
      </fill>
    </dxf>
    <dxf>
      <fill>
        <patternFill>
          <bgColor rgb="FFE3E0CF"/>
        </patternFill>
      </fill>
    </dxf>
    <dxf>
      <fill>
        <patternFill>
          <bgColor rgb="FFFFD44B"/>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ont>
        <color auto="1"/>
      </font>
      <fill>
        <patternFill patternType="solid">
          <fgColor indexed="64"/>
          <bgColor theme="0" tint="-0.1499984740745262"/>
        </patternFill>
      </fill>
    </dxf>
    <dxf>
      <fill>
        <patternFill>
          <bgColor rgb="FFE3E0CF"/>
        </patternFill>
      </fill>
    </dxf>
    <dxf>
      <fill>
        <patternFill>
          <bgColor rgb="FFDDE8C6"/>
        </patternFill>
      </fill>
    </dxf>
    <dxf>
      <fill>
        <patternFill>
          <bgColor rgb="FFEAEB74"/>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ont>
        <color auto="1"/>
      </font>
      <fill>
        <patternFill>
          <bgColor rgb="FFFFC7CE"/>
        </patternFill>
      </fill>
    </dxf>
    <dxf>
      <fill>
        <patternFill>
          <bgColor rgb="FFF2DBDA"/>
        </patternFill>
      </fill>
    </dxf>
    <dxf>
      <fill>
        <patternFill>
          <bgColor theme="7" tint="0.5999633777886288"/>
        </patternFill>
      </fill>
    </dxf>
    <dxf>
      <fill>
        <patternFill patternType="solid">
          <fgColor indexed="64"/>
          <bgColor theme="6" tint="0.7999816888943144"/>
        </patternFill>
      </fill>
    </dxf>
    <dxf>
      <fill>
        <patternFill>
          <bgColor rgb="FFFF6969"/>
        </patternFill>
      </fill>
    </dxf>
    <dxf>
      <font>
        <color auto="1"/>
      </font>
      <fill>
        <patternFill patternType="solid">
          <fgColor indexed="64"/>
          <bgColor theme="0" tint="-0.1499984740745262"/>
        </patternFill>
      </fill>
    </dxf>
    <dxf>
      <fill>
        <patternFill>
          <bgColor rgb="FFFF6969"/>
        </patternFill>
      </fill>
    </dxf>
    <dxf>
      <fill>
        <patternFill>
          <bgColor rgb="FFEAEB74"/>
        </patternFill>
      </fill>
    </dxf>
    <dxf>
      <fill>
        <patternFill patternType="solid">
          <fgColor indexed="64"/>
          <bgColor rgb="FFFBFB00"/>
        </patternFill>
      </fill>
    </dxf>
    <dxf>
      <fill>
        <patternFill>
          <bgColor theme="7" tint="0.5999633777886288"/>
        </patternFill>
      </fill>
    </dxf>
    <dxf>
      <font>
        <color auto="1"/>
      </font>
      <fill>
        <patternFill patternType="solid">
          <fgColor indexed="64"/>
          <bgColor theme="0" tint="-0.1499984740745262"/>
        </patternFill>
      </fill>
    </dxf>
    <dxf>
      <fill>
        <patternFill patternType="solid">
          <fgColor indexed="64"/>
          <bgColor rgb="FFBA005D"/>
        </patternFill>
      </fill>
    </dxf>
    <dxf>
      <font>
        <color auto="1"/>
      </font>
      <fill>
        <patternFill>
          <bgColor rgb="FFFFC7CE"/>
        </patternFill>
      </fill>
    </dxf>
    <dxf>
      <fill>
        <patternFill>
          <bgColor rgb="FFE3E0CF"/>
        </patternFill>
      </fill>
    </dxf>
    <dxf>
      <fill>
        <patternFill>
          <bgColor rgb="FFDDE8C6"/>
        </patternFill>
      </fill>
    </dxf>
    <dxf>
      <fill>
        <patternFill patternType="solid">
          <fgColor indexed="64"/>
          <bgColor rgb="FFE7D480"/>
        </patternFill>
      </fill>
    </dxf>
    <dxf>
      <fill>
        <patternFill>
          <bgColor rgb="FFF2DBDA"/>
        </patternFill>
      </fill>
    </dxf>
    <dxf>
      <fill>
        <patternFill>
          <bgColor rgb="FFFFBB57"/>
        </patternFill>
      </fill>
    </dxf>
    <dxf>
      <fill>
        <patternFill patternType="solid">
          <fgColor indexed="64"/>
          <bgColor theme="6" tint="0.7999816888943144"/>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patternType="solid">
          <fgColor indexed="64"/>
          <bgColor rgb="FFFBFB00"/>
        </patternFill>
      </fill>
    </dxf>
    <dxf>
      <fill>
        <patternFill>
          <bgColor rgb="FFFFBB57"/>
        </patternFill>
      </fill>
    </dxf>
    <dxf>
      <fill>
        <patternFill>
          <bgColor rgb="FFFF6969"/>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ont>
        <color auto="1"/>
      </font>
      <fill>
        <patternFill>
          <bgColor rgb="FFFFC7CE"/>
        </patternFill>
      </fill>
    </dxf>
    <dxf>
      <fill>
        <patternFill patternType="solid">
          <fgColor rgb="FFFF0000"/>
          <bgColor rgb="FFFF00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99BCE7"/>
          <bgColor rgb="FF99BCE7"/>
        </patternFill>
      </fill>
    </dxf>
    <dxf>
      <fill>
        <patternFill patternType="solid">
          <fgColor rgb="FFFFBB57"/>
          <bgColor rgb="FFFFBB57"/>
        </patternFill>
      </fill>
    </dxf>
    <dxf>
      <fill>
        <patternFill patternType="solid">
          <fgColor rgb="FFFBD4B4"/>
          <bgColor rgb="FFFBD4B4"/>
        </patternFill>
      </fill>
    </dxf>
    <dxf>
      <fill>
        <patternFill patternType="solid">
          <fgColor rgb="FFDBE5F1"/>
          <bgColor rgb="FFDBE5F1"/>
        </patternFill>
      </fill>
    </dxf>
    <dxf>
      <fill>
        <patternFill patternType="solid">
          <fgColor rgb="FFB8CCE4"/>
          <bgColor rgb="FFB8CCE4"/>
        </patternFill>
      </fill>
    </dxf>
    <dxf>
      <fill>
        <patternFill patternType="solid">
          <fgColor rgb="FF4685D2"/>
          <bgColor rgb="FF4685D2"/>
        </patternFill>
      </fill>
    </dxf>
    <dxf>
      <fill>
        <patternFill patternType="solid">
          <fgColor rgb="FFFF6969"/>
          <bgColor rgb="FFFF6969"/>
        </patternFill>
      </fill>
    </dxf>
    <dxf>
      <fill>
        <patternFill patternType="solid">
          <fgColor rgb="FFEAEB74"/>
          <bgColor rgb="FFEAEB74"/>
        </patternFill>
      </fill>
    </dxf>
    <dxf>
      <fill>
        <patternFill patternType="solid">
          <fgColor rgb="FFFBFB00"/>
          <bgColor rgb="FFFBFB00"/>
        </patternFill>
      </fill>
    </dxf>
    <dxf>
      <fill>
        <patternFill patternType="solid">
          <fgColor rgb="FFEEB400"/>
          <bgColor rgb="FFEEB400"/>
        </patternFill>
      </fill>
    </dxf>
    <dxf>
      <fill>
        <patternFill patternType="solid">
          <fgColor rgb="FFCCC0D9"/>
          <bgColor rgb="FFCCC0D9"/>
        </patternFill>
      </fill>
    </dxf>
    <dxf>
      <fill>
        <patternFill patternType="solid">
          <fgColor rgb="FFFFD44B"/>
          <bgColor rgb="FFFFD44B"/>
        </patternFill>
      </fill>
    </dxf>
    <dxf>
      <fill>
        <patternFill patternType="solid">
          <fgColor rgb="FF92CDDC"/>
          <bgColor rgb="FF92CDDC"/>
        </patternFill>
      </fill>
    </dxf>
    <dxf>
      <fill>
        <patternFill patternType="solid">
          <fgColor rgb="FFEAF1DD"/>
          <bgColor rgb="FFEAF1DD"/>
        </patternFill>
      </fill>
    </dxf>
    <dxf>
      <fill>
        <patternFill patternType="solid">
          <fgColor rgb="FFE7D480"/>
          <bgColor rgb="FFE7D480"/>
        </patternFill>
      </fill>
    </dxf>
    <dxf>
      <fill>
        <patternFill patternType="solid">
          <fgColor rgb="FFDDE8C6"/>
          <bgColor rgb="FFDDE8C6"/>
        </patternFill>
      </fill>
    </dxf>
    <dxf>
      <fill>
        <patternFill patternType="solid">
          <fgColor rgb="FFD8D8D8"/>
          <bgColor rgb="FFD8D8D8"/>
        </patternFill>
      </fill>
    </dxf>
    <dxf>
      <fill>
        <patternFill patternType="solid">
          <fgColor rgb="FFE3E0CF"/>
          <bgColor rgb="FFE3E0CF"/>
        </patternFill>
      </fill>
    </dxf>
    <dxf>
      <fill>
        <patternFill patternType="solid">
          <fgColor rgb="FFF2DBDA"/>
          <bgColor rgb="FFF2DBDA"/>
        </patternFill>
      </fill>
    </dxf>
    <dxf>
      <fill>
        <patternFill patternType="solid">
          <fgColor rgb="FFFFC7CE"/>
          <bgColor rgb="FFFFC7CE"/>
        </patternFill>
      </fill>
    </dxf>
    <dxf>
      <fill>
        <patternFill patternType="solid">
          <fgColor rgb="FFBA005D"/>
          <bgColor rgb="FFBA005D"/>
        </patternFill>
      </fill>
    </dxf>
    <dxf>
      <fill>
        <patternFill patternType="solid">
          <fgColor rgb="FFBBBB59"/>
          <bgColor rgb="FFBBBB59"/>
        </patternFill>
      </fill>
    </dxf>
    <dxf>
      <fill>
        <patternFill patternType="solid">
          <fgColor theme="8"/>
          <bgColor theme="8"/>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D6E3BC"/>
          <bgColor rgb="FFD6E3BC"/>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EEB400"/>
          <bgColor rgb="FFEEB400"/>
        </patternFill>
      </fill>
    </dxf>
    <dxf>
      <fill>
        <patternFill patternType="solid">
          <fgColor rgb="FFF2F2F2"/>
          <bgColor rgb="FFF2F2F2"/>
        </patternFill>
      </fill>
    </dxf>
    <dxf>
      <fill>
        <patternFill>
          <bgColor rgb="FFFFD44B"/>
        </patternFill>
      </fill>
    </dxf>
    <dxf>
      <font>
        <color auto="1"/>
      </font>
      <fill>
        <patternFill patternType="solid">
          <fgColor indexed="64"/>
          <bgColor theme="0" tint="-0.1499984740745262"/>
        </patternFill>
      </fill>
    </dxf>
    <dxf>
      <fill>
        <patternFill>
          <bgColor rgb="FFEAEB74"/>
        </patternFill>
      </fill>
    </dxf>
    <dxf>
      <font>
        <color auto="1"/>
      </font>
      <fill>
        <patternFill patternType="solid">
          <fgColor indexed="64"/>
          <bgColor theme="0" tint="-0.1499984740745262"/>
        </patternFill>
      </fill>
    </dxf>
    <dxf>
      <fill>
        <patternFill patternType="solid">
          <fgColor indexed="64"/>
          <bgColor rgb="FFBA005D"/>
        </patternFill>
      </fill>
    </dxf>
    <dxf>
      <fill>
        <patternFill patternType="solid">
          <fgColor indexed="64"/>
          <bgColor rgb="FFFBFB00"/>
        </patternFill>
      </fill>
    </dxf>
    <dxf>
      <fill>
        <patternFill>
          <bgColor rgb="FFFFBB57"/>
        </patternFill>
      </fill>
    </dxf>
    <dxf>
      <font>
        <color auto="1"/>
      </font>
      <fill>
        <patternFill>
          <bgColor rgb="FFFFC7CE"/>
        </patternFill>
      </fill>
    </dxf>
    <dxf>
      <fill>
        <patternFill>
          <bgColor rgb="FFFF6969"/>
        </patternFill>
      </fill>
    </dxf>
    <dxf>
      <fill>
        <patternFill patternType="solid">
          <fgColor indexed="64"/>
          <bgColor rgb="FFE7D480"/>
        </patternFill>
      </fill>
    </dxf>
    <dxf>
      <fill>
        <patternFill>
          <bgColor rgb="FFFFD44B"/>
        </patternFill>
      </fill>
    </dxf>
    <dxf>
      <fill>
        <patternFill>
          <bgColor rgb="FFF2DBDA"/>
        </patternFill>
      </fill>
    </dxf>
    <dxf>
      <fill>
        <patternFill patternType="solid">
          <fgColor indexed="64"/>
          <bgColor theme="6" tint="0.7999816888943144"/>
        </patternFill>
      </fill>
    </dxf>
    <dxf>
      <fill>
        <patternFill>
          <bgColor theme="7" tint="0.5999633777886288"/>
        </patternFill>
      </fill>
    </dxf>
    <dxf>
      <fill>
        <patternFill>
          <bgColor rgb="FFEAEB74"/>
        </patternFill>
      </fill>
    </dxf>
    <dxf>
      <font>
        <color auto="1"/>
      </font>
      <fill>
        <patternFill patternType="solid">
          <fgColor indexed="64"/>
          <bgColor theme="0" tint="-0.1499984740745262"/>
        </patternFill>
      </fill>
    </dxf>
    <dxf>
      <fill>
        <patternFill>
          <bgColor rgb="FFFFD44B"/>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rgb="FFFFBB57"/>
        </patternFill>
      </fill>
    </dxf>
    <dxf>
      <fill>
        <patternFill>
          <bgColor rgb="FFFF6969"/>
        </patternFill>
      </fill>
    </dxf>
    <dxf>
      <font>
        <color auto="1"/>
      </font>
      <fill>
        <patternFill>
          <bgColor rgb="FFFFC7CE"/>
        </patternFill>
      </fill>
    </dxf>
    <dxf>
      <fill>
        <patternFill>
          <bgColor rgb="FFEAEB74"/>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ill>
        <patternFill>
          <bgColor rgb="FFFFD44B"/>
        </patternFill>
      </fill>
    </dxf>
    <dxf>
      <fill>
        <patternFill patternType="solid">
          <fgColor indexed="64"/>
          <bgColor rgb="FFFBFB00"/>
        </patternFill>
      </fill>
    </dxf>
    <dxf>
      <fill>
        <patternFill>
          <bgColor rgb="FFFFBB57"/>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ont>
        <color auto="1"/>
      </font>
      <fill>
        <patternFill patternType="solid">
          <fgColor indexed="64"/>
          <bgColor theme="0" tint="-0.1499984740745262"/>
        </patternFill>
      </fill>
    </dxf>
    <dxf>
      <fill>
        <patternFill>
          <bgColor rgb="FFFFBB57"/>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4" tint="0.7999816888943144"/>
        </patternFill>
      </fill>
    </dxf>
    <dxf>
      <fill>
        <patternFill>
          <bgColor rgb="FF99BCE7"/>
        </patternFill>
      </fill>
    </dxf>
    <dxf>
      <fill>
        <patternFill patternType="solid">
          <fgColor indexed="64"/>
          <bgColor rgb="FFE7D480"/>
        </patternFill>
      </fill>
    </dxf>
    <dxf>
      <fill>
        <patternFill>
          <bgColor rgb="FFDDE8C6"/>
        </patternFill>
      </fill>
    </dxf>
    <dxf>
      <fill>
        <patternFill>
          <bgColor rgb="FFE3E0CF"/>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rgb="FFBBBB59"/>
        </patternFill>
      </fill>
    </dxf>
    <dxf>
      <fill>
        <patternFill patternType="solid">
          <fgColor indexed="64"/>
          <bgColor rgb="FF9E004F"/>
        </patternFill>
      </fill>
    </dxf>
    <dxf>
      <fill>
        <patternFill>
          <bgColor theme="7" tint="0.3999450666829432"/>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8"/>
        </patternFill>
      </fill>
    </dxf>
    <dxf>
      <fill>
        <patternFill>
          <bgColor theme="6" tint="0.3999450666829432"/>
        </patternFill>
      </fill>
    </dxf>
    <dxf>
      <fill>
        <patternFill>
          <bgColor rgb="FFFF0000"/>
        </patternFill>
      </fill>
    </dxf>
    <dxf>
      <fill>
        <patternFill>
          <bgColor theme="2" tint="-0.249946592608417"/>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patternType="solid">
          <fgColor indexed="64"/>
          <bgColor rgb="FFE4E300"/>
        </patternFill>
      </fill>
    </dxf>
    <dxf>
      <font>
        <color auto="1"/>
      </font>
      <fill>
        <patternFill>
          <bgColor rgb="FFFF6D9E"/>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bgColor rgb="FFE1AAA9"/>
        </patternFill>
      </fill>
    </dxf>
    <dxf>
      <fill>
        <patternFill>
          <bgColor rgb="FFFF0000"/>
        </patternFill>
      </fill>
    </dxf>
    <dxf>
      <fill>
        <patternFill patternType="solid">
          <fgColor indexed="64"/>
          <bgColor rgb="FFE4E300"/>
        </patternFill>
      </fill>
    </dxf>
    <dxf>
      <font>
        <color auto="1"/>
      </font>
      <fill>
        <patternFill>
          <bgColor rgb="FFFF6D9E"/>
        </patternFill>
      </fill>
    </dxf>
    <dxf>
      <fill>
        <patternFill patternType="solid">
          <fgColor indexed="64"/>
          <bgColor rgb="FFE4E300"/>
        </patternFill>
      </fill>
    </dxf>
    <dxf>
      <fill>
        <patternFill>
          <bgColor rgb="FFFF0000"/>
        </patternFill>
      </fill>
    </dxf>
    <dxf>
      <font>
        <color auto="1"/>
      </font>
      <fill>
        <patternFill>
          <bgColor rgb="FFFF6D9E"/>
        </patternFill>
      </fill>
    </dxf>
    <dxf>
      <fill>
        <patternFill>
          <bgColor rgb="FFEEB400"/>
        </patternFill>
      </fill>
    </dxf>
    <dxf>
      <fill>
        <patternFill>
          <bgColor rgb="FFFF9900"/>
        </patternFill>
      </fill>
    </dxf>
    <dxf>
      <fill>
        <patternFill>
          <bgColor rgb="FFEEB400"/>
        </patternFill>
      </fill>
    </dxf>
    <dxf>
      <fill>
        <patternFill>
          <bgColor theme="8"/>
        </patternFill>
      </fill>
    </dxf>
    <dxf>
      <fill>
        <patternFill>
          <bgColor rgb="FFFF9900"/>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patternType="solid">
          <fgColor indexed="64"/>
          <bgColor theme="0" tint="-0.0499893185216834"/>
        </patternFill>
      </fill>
    </dxf>
    <dxf>
      <fill>
        <patternFill>
          <bgColor theme="9" tint="0.3999450666829432"/>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8"/>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rgb="FFDCC97A"/>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E1AAA9"/>
        </patternFill>
      </fill>
    </dxf>
    <dxf>
      <fill>
        <patternFill>
          <bgColor theme="7" tint="0.3999450666829432"/>
        </patternFill>
      </fill>
    </dxf>
    <dxf>
      <font>
        <color auto="1"/>
      </font>
      <fill>
        <patternFill>
          <bgColor rgb="FFFF6D9E"/>
        </patternFill>
      </fill>
    </dxf>
    <dxf>
      <fill>
        <patternFill>
          <bgColor rgb="FFEEB400"/>
        </patternFill>
      </fill>
    </dxf>
    <dxf>
      <fill>
        <patternFill>
          <bgColor rgb="FFFF0000"/>
        </patternFill>
      </fill>
    </dxf>
    <dxf>
      <fill>
        <patternFill patternType="solid">
          <fgColor indexed="64"/>
          <bgColor rgb="FFE4E300"/>
        </patternFill>
      </fill>
    </dxf>
    <dxf>
      <fill>
        <patternFill>
          <bgColor theme="6" tint="0.3999450666829432"/>
        </patternFill>
      </fill>
    </dxf>
    <dxf>
      <fill>
        <patternFill>
          <bgColor theme="2" tint="-0.249946592608417"/>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EEB400"/>
        </patternFill>
      </fill>
    </dxf>
    <dxf>
      <fill>
        <patternFill>
          <bgColor rgb="FFFF9900"/>
        </patternFill>
      </fill>
    </dxf>
    <dxf>
      <font>
        <color auto="1"/>
      </font>
      <fill>
        <patternFill>
          <bgColor rgb="FFFF6D9E"/>
        </patternFill>
      </fill>
    </dxf>
    <dxf>
      <fill>
        <patternFill>
          <bgColor rgb="FFFF9900"/>
        </patternFill>
      </fill>
    </dxf>
    <dxf>
      <fill>
        <patternFill>
          <bgColor theme="8"/>
        </patternFill>
      </fill>
    </dxf>
    <dxf>
      <fill>
        <patternFill>
          <bgColor rgb="FFBBBB59"/>
        </patternFill>
      </fill>
    </dxf>
    <dxf>
      <font>
        <color auto="1"/>
      </font>
      <fill>
        <patternFill patternType="solid">
          <fgColor indexed="64"/>
          <bgColor theme="0" tint="-0.249977111117893"/>
        </patternFill>
      </fill>
    </dxf>
    <dxf>
      <fill>
        <patternFill>
          <bgColor rgb="FFEEB400"/>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9900"/>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theme="9" tint="0.3999450666829432"/>
        </patternFill>
      </fill>
    </dxf>
    <dxf>
      <fill>
        <patternFill>
          <bgColor rgb="FF4685D2"/>
        </patternFill>
      </fill>
    </dxf>
    <dxf>
      <fill>
        <patternFill>
          <bgColor rgb="FFEEB400"/>
        </patternFill>
      </fill>
    </dxf>
    <dxf>
      <fill>
        <patternFill patternType="solid">
          <fgColor indexed="64"/>
          <bgColor theme="4" tint="0.5999938962981048"/>
        </patternFill>
      </fill>
    </dxf>
    <dxf>
      <fill>
        <patternFill>
          <bgColor theme="8"/>
        </patternFill>
      </fill>
    </dxf>
    <dxf>
      <fill>
        <patternFill>
          <bgColor rgb="FFBBBB59"/>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patternType="solid">
          <fgColor indexed="64"/>
          <bgColor theme="6" tint="0.5999938962981048"/>
        </patternFill>
      </fill>
    </dxf>
    <dxf>
      <fill>
        <patternFill patternType="solid">
          <fgColor indexed="64"/>
          <bgColor rgb="FFE4E300"/>
        </patternFill>
      </fill>
    </dxf>
    <dxf>
      <fill>
        <patternFill>
          <bgColor rgb="FFFF0000"/>
        </patternFill>
      </fill>
    </dxf>
    <dxf>
      <font>
        <color auto="1"/>
      </font>
      <fill>
        <patternFill patternType="solid">
          <fgColor indexed="64"/>
          <bgColor theme="0" tint="-0.249977111117893"/>
        </patternFill>
      </fill>
    </dxf>
    <dxf>
      <fill>
        <patternFill>
          <bgColor theme="7" tint="0.3999450666829432"/>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rgb="FFBBBB59"/>
        </patternFill>
      </fill>
    </dxf>
    <dxf>
      <fill>
        <patternFill>
          <bgColor rgb="FFFF9900"/>
        </patternFill>
      </fill>
    </dxf>
    <dxf>
      <fill>
        <patternFill>
          <bgColor rgb="FFEEB400"/>
        </patternFill>
      </fill>
    </dxf>
    <dxf>
      <fill>
        <patternFill>
          <bgColor rgb="FFFF9900"/>
        </patternFill>
      </fill>
    </dxf>
    <dxf>
      <fill>
        <patternFill patternType="solid">
          <fgColor indexed="64"/>
          <bgColor theme="4" tint="0.5999938962981048"/>
        </patternFill>
      </fill>
    </dxf>
    <dxf>
      <fill>
        <patternFill>
          <bgColor rgb="FF4685D2"/>
        </patternFill>
      </fill>
    </dxf>
    <dxf>
      <fill>
        <patternFill patternType="solid">
          <fgColor indexed="64"/>
          <bgColor theme="0" tint="-0.0499893185216834"/>
        </patternFill>
      </fill>
    </dxf>
    <dxf>
      <fill>
        <patternFill patternType="solid">
          <fgColor indexed="64"/>
          <bgColor rgb="FFE4E300"/>
        </patternFill>
      </fill>
    </dxf>
    <dxf>
      <fill>
        <patternFill>
          <bgColor rgb="FFEEB400"/>
        </patternFill>
      </fill>
    </dxf>
    <dxf>
      <font>
        <color auto="1"/>
      </font>
      <fill>
        <patternFill>
          <bgColor rgb="FFFF6D9E"/>
        </patternFill>
      </fill>
    </dxf>
    <dxf>
      <fill>
        <patternFill>
          <bgColor theme="6" tint="0.3999450666829432"/>
        </patternFill>
      </fill>
    </dxf>
    <dxf>
      <fill>
        <patternFill>
          <bgColor theme="2" tint="-0.249946592608417"/>
        </patternFill>
      </fill>
    </dxf>
    <dxf>
      <font>
        <color auto="1"/>
      </font>
      <fill>
        <patternFill patternType="solid">
          <fgColor indexed="64"/>
          <bgColor theme="0" tint="-0.249977111117893"/>
        </patternFill>
      </fill>
    </dxf>
    <dxf>
      <fill>
        <patternFill patternType="solid">
          <fgColor indexed="64"/>
          <bgColor rgb="FFDCC97A"/>
        </patternFill>
      </fill>
    </dxf>
    <dxf>
      <fill>
        <patternFill patternType="solid">
          <fgColor indexed="64"/>
          <bgColor theme="6" tint="0.5999938962981048"/>
        </patternFill>
      </fill>
    </dxf>
    <dxf>
      <fill>
        <patternFill>
          <bgColor rgb="FFE1AAA9"/>
        </patternFill>
      </fill>
    </dxf>
    <dxf>
      <fill>
        <patternFill>
          <bgColor theme="7" tint="0.3999450666829432"/>
        </patternFill>
      </fill>
    </dxf>
    <dxf>
      <fill>
        <patternFill>
          <bgColor rgb="FFFF0000"/>
        </patternFill>
      </fill>
    </dxf>
    <dxf>
      <font>
        <color auto="1"/>
      </font>
      <fill>
        <patternFill patternType="solid">
          <fgColor indexed="64"/>
          <bgColor theme="0" tint="-0.249977111117893"/>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0" tint="-0.0499893185216834"/>
        </patternFill>
      </fill>
    </dxf>
    <dxf>
      <fill>
        <patternFill>
          <bgColor rgb="FFBBBB59"/>
        </patternFill>
      </fill>
    </dxf>
    <dxf>
      <font>
        <color auto="1"/>
      </font>
      <fill>
        <patternFill>
          <bgColor rgb="FFFF6D9E"/>
        </patternFill>
      </fill>
    </dxf>
    <dxf>
      <fill>
        <patternFill patternType="solid">
          <fgColor indexed="64"/>
          <bgColor rgb="FF9E004F"/>
        </patternFill>
      </fill>
    </dxf>
    <dxf>
      <fill>
        <patternFill patternType="solid">
          <fgColor indexed="64"/>
          <bgColor theme="4" tint="0.5999938962981048"/>
        </patternFill>
      </fill>
    </dxf>
    <dxf>
      <fill>
        <patternFill>
          <bgColor rgb="FFFF9900"/>
        </patternFill>
      </fill>
    </dxf>
    <dxf>
      <fill>
        <patternFill>
          <bgColor rgb="FFFF9900"/>
        </patternFill>
      </fill>
    </dxf>
    <dxf>
      <fill>
        <patternFill>
          <bgColor theme="8"/>
        </patternFill>
      </fill>
    </dxf>
    <dxf>
      <fill>
        <patternFill>
          <bgColor rgb="FFEEB400"/>
        </patternFill>
      </fill>
    </dxf>
    <dxf>
      <fill>
        <patternFill>
          <bgColor rgb="FF4685D2"/>
        </patternFill>
      </fill>
    </dxf>
    <dxf>
      <fill>
        <patternFill>
          <bgColor theme="9" tint="0.3999450666829432"/>
        </patternFill>
      </fill>
    </dxf>
    <dxf>
      <fill>
        <patternFill>
          <bgColor rgb="FFEEB400"/>
        </patternFill>
      </fill>
    </dxf>
    <dxf>
      <fill>
        <patternFill patternType="solid">
          <fgColor indexed="64"/>
          <bgColor rgb="FFE4E300"/>
        </patternFill>
      </fill>
    </dxf>
    <dxf>
      <font>
        <color auto="1"/>
      </font>
      <fill>
        <patternFill>
          <bgColor rgb="FFFF6D9E"/>
        </patternFill>
      </fill>
    </dxf>
    <dxf>
      <fill>
        <patternFill>
          <bgColor rgb="FFFF0000"/>
        </patternFill>
      </fill>
    </dxf>
    <dxf>
      <fill>
        <patternFill patternType="solid">
          <fgColor indexed="64"/>
          <bgColor rgb="FFE4E300"/>
        </patternFill>
      </fill>
    </dxf>
    <dxf>
      <fill>
        <patternFill>
          <bgColor rgb="FFFF0000"/>
        </patternFill>
      </fill>
    </dxf>
    <dxf>
      <font>
        <color auto="1"/>
      </font>
      <fill>
        <patternFill>
          <bgColor rgb="FFFF6D9E"/>
        </patternFill>
      </fill>
    </dxf>
    <dxf>
      <font>
        <color auto="1"/>
      </font>
      <fill>
        <patternFill>
          <bgColor rgb="FFFF6D9E"/>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theme="6" tint="0.5999938962981048"/>
        </patternFill>
      </fill>
    </dxf>
    <dxf>
      <fill>
        <patternFill>
          <bgColor rgb="FF4685D2"/>
        </patternFill>
      </fill>
    </dxf>
    <dxf>
      <fill>
        <patternFill>
          <bgColor rgb="FFFF9900"/>
        </patternFill>
      </fill>
    </dxf>
    <dxf>
      <fill>
        <patternFill>
          <bgColor rgb="FFFF9900"/>
        </patternFill>
      </fill>
    </dxf>
    <dxf>
      <fill>
        <patternFill>
          <bgColor theme="8"/>
        </patternFill>
      </fill>
    </dxf>
    <dxf>
      <fill>
        <patternFill>
          <bgColor rgb="FFBBBB59"/>
        </patternFill>
      </fill>
    </dxf>
    <dxf>
      <font>
        <color auto="1"/>
      </font>
      <fill>
        <patternFill>
          <bgColor rgb="FFFF6D9E"/>
        </patternFill>
      </fill>
    </dxf>
    <dxf>
      <font>
        <color auto="1"/>
      </font>
      <fill>
        <patternFill patternType="solid">
          <fgColor indexed="64"/>
          <bgColor theme="0" tint="-0.249977111117893"/>
        </patternFill>
      </fill>
    </dxf>
    <dxf>
      <fill>
        <patternFill>
          <bgColor theme="9" tint="0.3999450666829432"/>
        </patternFill>
      </fill>
    </dxf>
    <dxf>
      <fill>
        <patternFill patternType="solid">
          <fgColor indexed="64"/>
          <bgColor theme="4" tint="0.5999938962981048"/>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bgColor rgb="FFEEB400"/>
        </patternFill>
      </fill>
    </dxf>
    <dxf>
      <fill>
        <patternFill>
          <bgColor rgb="FFEEB400"/>
        </patternFill>
      </fill>
    </dxf>
    <dxf>
      <fill>
        <patternFill patternType="solid">
          <fgColor indexed="64"/>
          <bgColor rgb="FFE4E300"/>
        </patternFill>
      </fill>
    </dxf>
    <dxf>
      <fill>
        <patternFill>
          <bgColor rgb="FF4685D2"/>
        </patternFill>
      </fill>
    </dxf>
    <dxf>
      <fill>
        <patternFill patternType="solid">
          <fgColor indexed="64"/>
          <bgColor theme="4" tint="0.5999938962981048"/>
        </patternFill>
      </fill>
    </dxf>
    <dxf>
      <fill>
        <patternFill patternType="solid">
          <fgColor indexed="64"/>
          <bgColor theme="0" tint="-0.0499893185216834"/>
        </patternFill>
      </fill>
    </dxf>
    <dxf>
      <fill>
        <patternFill>
          <bgColor rgb="FFFF0000"/>
        </patternFill>
      </fill>
    </dxf>
    <dxf>
      <fill>
        <patternFill patternType="solid">
          <fgColor indexed="64"/>
          <bgColor rgb="FF9E004F"/>
        </patternFill>
      </fill>
    </dxf>
    <dxf>
      <fill>
        <patternFill>
          <bgColor theme="7" tint="0.3999450666829432"/>
        </patternFill>
      </fill>
    </dxf>
    <dxf>
      <fill>
        <patternFill>
          <bgColor rgb="FFE1AAA9"/>
        </patternFill>
      </fill>
    </dxf>
    <dxf>
      <fill>
        <patternFill patternType="solid">
          <fgColor indexed="64"/>
          <bgColor rgb="FFDCC97A"/>
        </patternFill>
      </fill>
    </dxf>
    <dxf>
      <fill>
        <patternFill>
          <bgColor theme="2" tint="-0.249946592608417"/>
        </patternFill>
      </fill>
    </dxf>
    <dxf>
      <fill>
        <patternFill>
          <bgColor theme="9" tint="0.3999450666829432"/>
        </patternFill>
      </fill>
    </dxf>
    <dxf>
      <fill>
        <patternFill>
          <bgColor theme="6" tint="0.3999450666829432"/>
        </patternFill>
      </fill>
    </dxf>
    <dxf>
      <fill>
        <patternFill>
          <bgColor rgb="FFFF9900"/>
        </patternFill>
      </fill>
    </dxf>
    <dxf>
      <font>
        <color auto="1"/>
      </font>
      <fill>
        <patternFill>
          <bgColor rgb="FFFF6D9E"/>
        </patternFill>
      </fill>
    </dxf>
    <dxf>
      <fill>
        <patternFill>
          <bgColor rgb="FFBBBB59"/>
        </patternFill>
      </fill>
    </dxf>
    <dxf>
      <font>
        <color auto="1"/>
      </font>
      <fill>
        <patternFill patternType="solid">
          <fgColor indexed="64"/>
          <bgColor theme="0" tint="-0.249977111117893"/>
        </patternFill>
      </fill>
    </dxf>
    <dxf>
      <fill>
        <patternFill>
          <bgColor rgb="FFFF9900"/>
        </patternFill>
      </fill>
    </dxf>
    <dxf>
      <fill>
        <patternFill>
          <bgColor theme="8"/>
        </patternFill>
      </fill>
    </dxf>
    <dxf>
      <fill>
        <patternFill>
          <bgColor rgb="FFEEB400"/>
        </patternFill>
      </fill>
    </dxf>
    <dxf>
      <fill>
        <patternFill>
          <bgColor rgb="FFEEB400"/>
        </patternFill>
      </fill>
    </dxf>
    <dxf>
      <fill>
        <patternFill patternType="solid">
          <fgColor indexed="64"/>
          <bgColor theme="6" tint="0.5999938962981048"/>
        </patternFill>
      </fill>
    </dxf>
    <dxf>
      <fill>
        <patternFill>
          <bgColor rgb="FFFF0000"/>
        </patternFill>
      </fill>
    </dxf>
    <dxf>
      <fill>
        <patternFill patternType="solid">
          <fgColor indexed="64"/>
          <bgColor rgb="FFE4E300"/>
        </patternFill>
      </fill>
    </dxf>
    <dxf>
      <fill>
        <patternFill patternType="solid">
          <fgColor indexed="64"/>
          <bgColor rgb="FFE4E300"/>
        </patternFill>
      </fill>
    </dxf>
    <dxf>
      <fill>
        <patternFill>
          <bgColor theme="7" tint="0.3999450666829432"/>
        </patternFill>
      </fill>
    </dxf>
    <dxf>
      <fill>
        <patternFill patternType="solid">
          <fgColor indexed="64"/>
          <bgColor rgb="FFDCC97A"/>
        </patternFill>
      </fill>
    </dxf>
    <dxf>
      <fill>
        <patternFill patternType="solid">
          <fgColor indexed="64"/>
          <bgColor rgb="FF9E004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ont>
        <color auto="1"/>
      </font>
      <fill>
        <patternFill patternType="solid">
          <fgColor indexed="64"/>
          <bgColor theme="0" tint="-0.249977111117893"/>
        </patternFill>
      </fill>
    </dxf>
    <dxf>
      <fill>
        <patternFill>
          <bgColor rgb="FFEEB400"/>
        </patternFill>
      </fill>
    </dxf>
    <dxf>
      <font>
        <color auto="1"/>
      </font>
      <fill>
        <patternFill>
          <bgColor rgb="FFFF6D9E"/>
        </patternFill>
      </fill>
    </dxf>
    <dxf>
      <fill>
        <patternFill>
          <bgColor rgb="FFBBBB59"/>
        </patternFill>
      </fill>
    </dxf>
    <dxf>
      <fill>
        <patternFill>
          <bgColor rgb="FFEEB400"/>
        </patternFill>
      </fill>
    </dxf>
    <dxf>
      <fill>
        <patternFill>
          <bgColor theme="8"/>
        </patternFill>
      </fill>
    </dxf>
    <dxf>
      <fill>
        <patternFill patternType="solid">
          <fgColor indexed="64"/>
          <bgColor rgb="FFE4E300"/>
        </patternFill>
      </fill>
    </dxf>
    <dxf>
      <fill>
        <patternFill>
          <bgColor rgb="FFE1AAA9"/>
        </patternFill>
      </fill>
    </dxf>
    <dxf>
      <fill>
        <patternFill>
          <bgColor theme="6" tint="0.3999450666829432"/>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bgColor rgb="FFEEB400"/>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patternType="solid">
          <fgColor indexed="64"/>
          <bgColor rgb="FFE4E300"/>
        </patternFill>
      </fill>
    </dxf>
    <dxf>
      <fill>
        <patternFill>
          <bgColor rgb="FFE1AAA9"/>
        </patternFill>
      </fill>
    </dxf>
    <dxf>
      <fill>
        <patternFill>
          <bgColor theme="8"/>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rgb="FFE1AAA9"/>
        </patternFill>
      </fill>
    </dxf>
    <dxf>
      <fill>
        <patternFill>
          <bgColor rgb="FFBBBB59"/>
        </patternFill>
      </fill>
    </dxf>
    <dxf>
      <fill>
        <patternFill>
          <bgColor theme="7" tint="0.3999450666829432"/>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ill>
        <patternFill>
          <bgColor theme="8"/>
        </patternFill>
      </fill>
    </dxf>
    <dxf>
      <font>
        <color auto="1"/>
      </font>
      <fill>
        <patternFill>
          <bgColor rgb="FFFF6D9E"/>
        </patternFill>
      </fill>
    </dxf>
    <dxf>
      <fill>
        <patternFill>
          <bgColor rgb="FFFF0000"/>
        </patternFill>
      </fill>
    </dxf>
    <dxf>
      <fill>
        <patternFill patternType="solid">
          <fgColor indexed="64"/>
          <bgColor rgb="FFDCC97A"/>
        </patternFill>
      </fill>
    </dxf>
    <dxf>
      <fill>
        <patternFill>
          <bgColor theme="2" tint="-0.249946592608417"/>
        </patternFill>
      </fill>
    </dxf>
    <dxf>
      <fill>
        <patternFill>
          <bgColor theme="6" tint="0.3999450666829432"/>
        </patternFill>
      </fill>
    </dxf>
    <dxf>
      <fill>
        <patternFill>
          <bgColor rgb="FFFF0000"/>
        </patternFill>
      </fill>
    </dxf>
    <dxf>
      <font>
        <color auto="1"/>
      </font>
      <fill>
        <patternFill>
          <bgColor rgb="FFFF6D9E"/>
        </patternFill>
      </fill>
    </dxf>
    <dxf>
      <fill>
        <patternFill patternType="solid">
          <fgColor indexed="64"/>
          <bgColor theme="0" tint="-0.0499893185216834"/>
        </patternFill>
      </fill>
    </dxf>
    <dxf>
      <fill>
        <patternFill>
          <bgColor rgb="FFE1AAA9"/>
        </patternFill>
      </fill>
    </dxf>
    <dxf>
      <fill>
        <patternFill>
          <bgColor theme="7" tint="0.3999450666829432"/>
        </patternFill>
      </fill>
    </dxf>
    <dxf>
      <fill>
        <patternFill patternType="solid">
          <fgColor indexed="64"/>
          <bgColor theme="6" tint="0.5999938962981048"/>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
        </patternFill>
      </fill>
    </dxf>
    <dxf>
      <fill>
        <patternFill>
          <bgColor rgb="FF4685D2"/>
        </patternFill>
      </fill>
    </dxf>
    <dxf>
      <fill>
        <patternFill>
          <bgColor theme="9" tint="0.3999450666829432"/>
        </patternFill>
      </fill>
    </dxf>
    <dxf>
      <fill>
        <patternFill patternType="solid">
          <fgColor indexed="64"/>
          <bgColor rgb="FF9E004F"/>
        </patternFill>
      </fill>
    </dxf>
    <dxf>
      <fill>
        <patternFill>
          <bgColor rgb="FFFF0000"/>
        </patternFill>
      </fill>
    </dxf>
    <dxf>
      <fill>
        <patternFill>
          <bgColor rgb="FFBBBB59"/>
        </patternFill>
      </fill>
    </dxf>
    <dxf>
      <font>
        <color auto="1"/>
      </font>
      <fill>
        <patternFill>
          <bgColor rgb="FFFF6D9E"/>
        </patternFill>
      </fill>
    </dxf>
    <dxf>
      <fill>
        <patternFill>
          <bgColor theme="8"/>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patternType="solid">
          <fgColor indexed="64"/>
          <bgColor rgb="FFDCC97A"/>
        </patternFill>
      </fill>
    </dxf>
    <dxf>
      <fill>
        <patternFill>
          <bgColor rgb="FFEEB400"/>
        </patternFill>
      </fill>
    </dxf>
    <dxf>
      <fill>
        <patternFill patternType="solid">
          <fgColor indexed="64"/>
          <bgColor rgb="FF9E004F"/>
        </patternFill>
      </fill>
    </dxf>
    <dxf>
      <fill>
        <patternFill>
          <bgColor rgb="FFE1AAA9"/>
        </patternFill>
      </fill>
    </dxf>
    <dxf>
      <fill>
        <patternFill>
          <bgColor rgb="FFEEB400"/>
        </patternFill>
      </fill>
    </dxf>
    <dxf>
      <fill>
        <patternFill>
          <bgColor theme="7" tint="0.3999450666829432"/>
        </patternFill>
      </fill>
    </dxf>
    <dxf>
      <fill>
        <patternFill patternType="solid">
          <fgColor indexed="64"/>
          <bgColor rgb="FFE4E300"/>
        </patternFill>
      </fill>
    </dxf>
    <dxf>
      <fill>
        <patternFill>
          <bgColor theme="2" tint="-0.249946592608417"/>
        </patternFill>
      </fill>
    </dxf>
    <dxf>
      <fill>
        <patternFill>
          <bgColor theme="6" tint="0.3999450666829432"/>
        </patternFill>
      </fill>
    </dxf>
    <dxf>
      <font>
        <color auto="1"/>
      </font>
      <fill>
        <patternFill patternType="solid">
          <fgColor indexed="64"/>
          <bgColor theme="0" tint="-0.249977111117893"/>
        </patternFill>
      </fill>
    </dxf>
    <dxf>
      <fill>
        <patternFill>
          <bgColor rgb="FFEEB400"/>
        </patternFill>
      </fill>
    </dxf>
    <dxf>
      <fill>
        <patternFill>
          <bgColor rgb="FFFF9900"/>
        </patternFill>
      </fill>
    </dxf>
    <dxf>
      <fill>
        <patternFill>
          <bgColor rgb="FFFF9900"/>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patternType="solid">
          <fgColor indexed="64"/>
          <bgColor theme="0" tint="-0.0499893185216834"/>
        </patternFill>
      </fill>
    </dxf>
    <dxf>
      <fill>
        <patternFill>
          <bgColor theme="9" tint="0.3999450666829432"/>
        </patternFill>
      </fill>
    </dxf>
    <dxf>
      <fill>
        <patternFill>
          <bgColor rgb="FFE1AAA9"/>
        </patternFill>
      </fill>
    </dxf>
    <dxf>
      <fill>
        <patternFill>
          <bgColor rgb="FFEEB400"/>
        </patternFill>
      </fill>
    </dxf>
    <dxf>
      <fill>
        <patternFill>
          <bgColor theme="7" tint="0.3999450666829432"/>
        </patternFill>
      </fill>
    </dxf>
    <dxf>
      <fill>
        <patternFill>
          <bgColor theme="8"/>
        </patternFill>
      </fill>
    </dxf>
    <dxf>
      <font>
        <color auto="1"/>
      </font>
      <fill>
        <patternFill patternType="solid">
          <fgColor indexed="64"/>
          <bgColor theme="0" tint="-0.249977111117893"/>
        </patternFill>
      </fill>
    </dxf>
    <dxf>
      <fill>
        <patternFill>
          <bgColor rgb="FFBBBB59"/>
        </patternFill>
      </fill>
    </dxf>
    <dxf>
      <font>
        <color auto="1"/>
      </font>
      <fill>
        <patternFill>
          <bgColor rgb="FFFF6D9E"/>
        </patternFill>
      </fill>
    </dxf>
    <dxf>
      <fill>
        <patternFill patternType="solid">
          <fgColor indexed="64"/>
          <bgColor rgb="FFDCC97A"/>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bgColor theme="7" tint="0.3999450666829432"/>
        </patternFill>
      </fill>
    </dxf>
    <dxf>
      <fill>
        <patternFill patternType="solid">
          <fgColor indexed="64"/>
          <bgColor theme="0" tint="-0.0499893185216834"/>
        </patternFill>
      </fill>
    </dxf>
    <dxf>
      <fill>
        <patternFill>
          <bgColor rgb="FFFF0000"/>
        </patternFill>
      </fill>
    </dxf>
    <dxf>
      <fill>
        <patternFill>
          <bgColor theme="8"/>
        </patternFill>
      </fill>
    </dxf>
    <dxf>
      <fill>
        <patternFill>
          <bgColor theme="2" tint="-0.249946592608417"/>
        </patternFill>
      </fill>
    </dxf>
    <dxf>
      <fill>
        <patternFill>
          <bgColor theme="6" tint="0.3999450666829432"/>
        </patternFill>
      </fill>
    </dxf>
    <dxf>
      <font>
        <color auto="1"/>
      </font>
      <fill>
        <patternFill>
          <bgColor rgb="FFFF6D9E"/>
        </patternFill>
      </fill>
    </dxf>
    <dxf>
      <fill>
        <patternFill patternType="solid">
          <fgColor indexed="64"/>
          <bgColor rgb="FFE4E300"/>
        </patternFill>
      </fill>
    </dxf>
    <dxf>
      <fill>
        <patternFill patternType="solid">
          <fgColor indexed="64"/>
          <bgColor theme="0" tint="-0.0499893185216834"/>
        </patternFill>
      </fill>
    </dxf>
    <dxf>
      <fill>
        <patternFill>
          <bgColor theme="2" tint="-0.249946592608417"/>
        </patternFill>
      </fill>
    </dxf>
    <dxf>
      <fill>
        <patternFill patternType="solid">
          <fgColor indexed="64"/>
          <bgColor theme="6" tint="0.5999938962981048"/>
        </patternFill>
      </fill>
    </dxf>
    <dxf>
      <fill>
        <patternFill>
          <bgColor theme="6" tint="0.3999450666829432"/>
        </patternFill>
      </fill>
    </dxf>
    <dxf>
      <fill>
        <patternFill>
          <bgColor rgb="FFEEB400"/>
        </patternFill>
      </fill>
    </dxf>
    <dxf>
      <fill>
        <patternFill patternType="solid">
          <fgColor indexed="64"/>
          <bgColor rgb="FFDCC97A"/>
        </patternFill>
      </fill>
    </dxf>
    <dxf>
      <fill>
        <patternFill>
          <bgColor theme="8"/>
        </patternFill>
      </fill>
    </dxf>
    <dxf>
      <fill>
        <patternFill>
          <bgColor theme="7" tint="0.3999450666829432"/>
        </patternFill>
      </fill>
    </dxf>
    <dxf>
      <fill>
        <patternFill>
          <bgColor rgb="FF4685D2"/>
        </patternFill>
      </fill>
    </dxf>
    <dxf>
      <fill>
        <patternFill>
          <bgColor rgb="FFE1AAA9"/>
        </patternFill>
      </fill>
    </dxf>
    <dxf>
      <fill>
        <patternFill patternType="solid">
          <fgColor indexed="64"/>
          <bgColor rgb="FF9E004F"/>
        </patternFill>
      </fill>
    </dxf>
    <dxf>
      <fill>
        <patternFill patternType="solid">
          <fgColor indexed="64"/>
          <bgColor theme="4" tint="0.5999938962981048"/>
        </patternFill>
      </fill>
    </dxf>
    <dxf>
      <fill>
        <patternFill>
          <bgColor theme="9" tint="0.3999450666829432"/>
        </patternFill>
      </fill>
    </dxf>
    <dxf>
      <font>
        <color auto="1"/>
      </font>
      <fill>
        <patternFill patternType="solid">
          <fgColor indexed="64"/>
          <bgColor theme="0" tint="-0.249977111117893"/>
        </patternFill>
      </fill>
    </dxf>
    <dxf>
      <fill>
        <patternFill>
          <bgColor rgb="FFFF9900"/>
        </patternFill>
      </fill>
    </dxf>
    <dxf>
      <fill>
        <patternFill>
          <bgColor rgb="FFFF9900"/>
        </patternFill>
      </fill>
    </dxf>
    <dxf>
      <fill>
        <patternFill>
          <bgColor rgb="FFBBBB59"/>
        </patternFill>
      </fill>
    </dxf>
    <dxf>
      <fill>
        <patternFill>
          <bgColor rgb="FFEEB400"/>
        </patternFill>
      </fill>
    </dxf>
    <dxf>
      <fill>
        <patternFill>
          <bgColor rgb="FFFF0000"/>
        </patternFill>
      </fill>
    </dxf>
    <dxf>
      <fill>
        <patternFill patternType="solid">
          <fgColor indexed="64"/>
          <bgColor rgb="FFE4E300"/>
        </patternFill>
      </fill>
    </dxf>
    <dxf>
      <fill>
        <patternFill>
          <bgColor theme="8"/>
        </patternFill>
      </fill>
    </dxf>
    <dxf>
      <font>
        <color auto="1"/>
      </font>
      <fill>
        <patternFill>
          <bgColor rgb="FFFF6D9E"/>
        </patternFill>
      </fill>
    </dxf>
    <dxf>
      <fill>
        <patternFill>
          <bgColor rgb="FFBBBB59"/>
        </patternFill>
      </fill>
    </dxf>
    <dxf>
      <fill>
        <patternFill>
          <bgColor theme="7" tint="0.3999450666829432"/>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BBBB59"/>
        </patternFill>
      </fill>
    </dxf>
    <dxf>
      <fill>
        <patternFill patternType="solid">
          <fgColor indexed="64"/>
          <bgColor theme="0" tint="-0.0499893185216834"/>
        </patternFill>
      </fill>
    </dxf>
    <dxf>
      <fill>
        <patternFill>
          <bgColor theme="8"/>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1AAA9"/>
        </patternFill>
      </fill>
    </dxf>
    <dxf>
      <fill>
        <patternFill>
          <bgColor theme="8"/>
        </patternFill>
      </fill>
    </dxf>
    <dxf>
      <fill>
        <patternFill>
          <bgColor rgb="FFEEB400"/>
        </patternFill>
      </fill>
    </dxf>
    <dxf>
      <font>
        <color auto="1"/>
      </font>
      <fill>
        <patternFill patternType="solid">
          <fgColor indexed="64"/>
          <bgColor theme="0" tint="-0.249977111117893"/>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patternType="solid">
          <fgColor indexed="64"/>
          <bgColor theme="0" tint="-0.0499893185216834"/>
        </patternFill>
      </fill>
    </dxf>
    <dxf>
      <fill>
        <patternFill>
          <bgColor rgb="FFFF9900"/>
        </patternFill>
      </fill>
    </dxf>
    <dxf>
      <fill>
        <patternFill>
          <bgColor rgb="FFFF9900"/>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rgb="FFEEB400"/>
        </patternFill>
      </fill>
    </dxf>
    <dxf>
      <fill>
        <patternFill>
          <bgColor theme="9" tint="0.3999450666829432"/>
        </patternFill>
      </fill>
    </dxf>
    <dxf>
      <fill>
        <patternFill>
          <bgColor rgb="FFFF0000"/>
        </patternFill>
      </fill>
    </dxf>
    <dxf>
      <fill>
        <patternFill patternType="solid">
          <fgColor indexed="64"/>
          <bgColor rgb="FFE4E300"/>
        </patternFill>
      </fill>
    </dxf>
    <dxf>
      <font>
        <color auto="1"/>
      </font>
      <fill>
        <patternFill>
          <bgColor rgb="FFFF6D9E"/>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4685D2"/>
        </patternFill>
      </fill>
    </dxf>
    <dxf>
      <fill>
        <patternFill patternType="solid">
          <fgColor indexed="64"/>
          <bgColor theme="0" tint="-0.0499893185216834"/>
        </patternFill>
      </fill>
    </dxf>
    <dxf>
      <fill>
        <patternFill patternType="solid">
          <fgColor indexed="64"/>
          <bgColor theme="4" tint="0.5999938962981048"/>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tc={0D8C0B2D-4BE7-4E4D-96F0-2AF320E7A92B}</author>
    <author>tc={A7721605-971E-4945-9D63-93330CB04AE8}</author>
    <author>tc={3ADEF18E-5F3C-024C-B43C-76509BD9EEE5}</author>
    <author>tc={7E6E649C-BEE1-9948-A51B-43B69E2ADAD9}</author>
    <author>tc={F95644C7-01AD-F547-94B2-72E91E8DB93F}</author>
    <author>tc={29D3AC89-D866-A94C-A94A-7E3AF0956C2B}</author>
    <author>tc={A98083C7-B262-E642-89A5-871069B1003B}</author>
    <author>tc={0FF1D855-EF27-8749-9D0F-D508BCB12A91}</author>
    <author>tc={1A04833C-C756-DB4B-82F2-A6B7E3167DC3}</author>
    <author>tc={7572C379-B843-3A47-8398-34D7F92C588A}</author>
    <author>tc={1B387929-0AEF-8649-A7DD-DFC1D6B7A444}</author>
    <author>tc={7E87D776-139E-694D-894D-2E086FE3466E}</author>
    <author>tc={AC4C34AF-022F-FC41-80F5-30553AE65396}</author>
    <author>tc={74DEE8DE-2411-234E-82CA-DC076DD418A6}</author>
    <author>tc={205B2ACF-1D75-4A45-AB6C-650916D4E6D1}</author>
    <author>tc={0E9FAE46-C3A5-3540-84B4-6D9ACB592AF9}</author>
    <author>tc={7F0F3E13-9195-ED46-942C-E3873D6A5D17}</author>
    <author>tc={7566A898-9969-134F-942C-632C82F7D618}</author>
    <author>tc={B4965F68-FD97-2547-BC0E-9CE6CAD5955B}</author>
    <author>tc={AD3927D5-15D3-3442-9972-7C3182019731}</author>
    <author>tc={2F5D1E0F-CF8F-674C-97D5-0F7E87B3C26A}</author>
    <author>tc={537ACD51-0ED9-7541-B3FC-591E8A056C92}</author>
    <author>tc={6537F56F-9646-8248-9157-1B7C1A84C3AF}</author>
    <author>tc={032C8DEC-7B66-B648-9D64-D18736D0A225}</author>
    <author>tc={0DEDDB0C-C37E-B145-BF8B-579DFE3CC397}</author>
    <author>tc={3F98DB2C-8F09-484B-984A-DD595743FBB3}</author>
    <author>tc={E482A896-D8BF-2544-BC72-6A24C4F99B8E}</author>
    <author>tc={57314953-5831-DA45-BCC3-75D62FE5457E}</author>
    <author>tc={A7F47C26-E69E-6F45-ABF7-6009BE08405B}</author>
    <author>tc={62D26E3A-F9B2-4F48-9729-E1EA1042E408}</author>
    <author>tc={F4B97B89-87B8-2B4D-9BC3-17D241EA2E3A}</author>
    <author>tc={B4DD40BB-0E63-CE46-83D9-2E0906A7CADF}</author>
    <author>tc={F863C4F9-37C3-1F4E-8FB7-B90FC7C3EADB}</author>
    <author>tc={0F5C0887-B4F0-514B-832A-7CCCE69E0548}</author>
    <author>tc={F7D77867-A0B7-1744-B395-83449A3A728B}</author>
    <author>tc={072B1DFD-B3F2-074A-84F1-8B36654C88A4}</author>
    <author>tc={057B473A-E1D0-9F4C-82A5-DF7EFD083EFB}</author>
    <author>tc={3699B2F9-0581-C04A-B5FC-19D89CFDC630}</author>
    <author>tc={32844A7D-9D80-9446-8DD5-31CF76E25389}</author>
    <author>tc={BEDD6303-A36D-7D42-A658-4C77CC1F8483}</author>
    <author>tc={E184F0E3-72BB-AA41-9D91-89DCBE677DC3}</author>
    <author>tc={7B98ACC8-2D06-2440-B336-ADAA28F264A0}</author>
    <author>tc={A64366C2-FEED-D54A-881A-9652D4A35701}</author>
    <author>tc={2DCB48D3-0393-DD4A-A574-0CDAC118BFDF}</author>
    <author>tc={BC4F1385-3511-564D-B1D0-0933A76E93AC}</author>
    <author>tc={92867036-44FB-1A4B-8298-A82B69CB192F}</author>
    <author>tc={C9EF6C13-2AF4-644B-A916-65C6A98686FF}</author>
    <author>tc={D813C319-21CE-4243-A495-5C14C95D7095}</author>
    <author>tc={D59DEEF1-B5C2-6846-944D-5D36B561E7BB}</author>
    <author>tc={2D252E33-29B0-CB45-8134-D1877F319948}</author>
    <author>tc={E1D4766B-FA14-B44E-8602-289A37FF5512}</author>
    <author>tc={A6142CD1-AC19-C148-8DB8-722499615153}</author>
    <author>tc={2B1F7BA8-045E-844E-B60A-38BD79E9B7D8}</author>
    <author>tc={4563D373-8D73-3F4D-85F8-94F81400FB07}</author>
    <author>tc={AC43CD91-CBCF-6C4E-902C-80FE42D5BCAE}</author>
    <author>tc={E9C6EAD8-9AD3-954D-A6D5-9E9967644DA4}</author>
    <author>tc={9E902092-CCD0-7443-99C6-746ABB8CB15F}</author>
    <author>tc={EE4EE1E1-39E5-754A-89B7-A28118428D59}</author>
    <author>tc={0664BCF7-78FD-CA47-AA49-58E9A4269F24}</author>
    <author>tc={4C562160-4903-4346-9CB1-1D1BAEEC4289}</author>
    <author>tc={A74EA499-0967-9A41-854F-1E0E992F375B}</author>
    <author>tc={63709563-CC82-2540-90EC-15A81B27E210}</author>
    <author>tc={3B7B8FEB-C05F-8F46-9059-978060D7DD01}</author>
    <author>tc={A0983C25-04C5-7748-983F-45A594005AA8}</author>
    <author>tc={0FBA0C93-027A-BC4C-A184-3931AFB676D9}</author>
    <author>tc={03613F2C-2042-0A42-8110-18668CAF1A2B}</author>
    <author>tc={63B8086A-6082-6349-B3CA-339FA2074F96}</author>
    <author>tc={419020C1-EB56-CD45-ACB3-A5E296042951}</author>
    <author>tc={FE3751B7-CA0D-5941-B8A6-BB1208B4E3DE}</author>
    <author>tc={2E1321D4-0CA5-3B45-B621-5E4D94BF56D8}</author>
    <author>tc={AE942759-696F-F443-BDBF-6305EA675EA8}</author>
    <author>tc={59C7FE19-D640-7444-B72D-978EF1A148B5}</author>
    <author>tc={B25397D1-9C53-6849-99B5-081FAE932239}</author>
    <author>tc={7F3BA9F2-5E23-F841-9E23-71BBAB11947B}</author>
    <author>tc={8183DF87-D6A2-0748-A269-17B03F605260}</author>
    <author>tc={C35BC682-8D42-FE4A-8339-45D1AAA7433F}</author>
    <author>tc={D4F80EAF-5C9A-A343-8B24-2B328C8A9268}</author>
    <author>tc={1CF05DA2-7438-5448-93F6-C70C163F5791}</author>
    <author>tc={AFF2248D-FA2C-EE44-AC73-4882CDF92A40}</author>
    <author>tc={F8EFD473-BC38-AD4F-ADB2-5C5D743F3253}</author>
    <author>tc={BA53CE6C-27A6-2E46-8319-1059C6EEED0F}</author>
    <author>tc={CA7DABC8-23FA-E046-88E1-38CEB883068A}</author>
    <author>tc={2376245E-813D-6846-9E82-4A48AE119814}</author>
    <author>tc={82BE3684-2BC1-2649-9AB4-56CC4990F209}</author>
    <author>tc={A43F2D72-485B-C145-8943-162D5FCC6580}</author>
    <author>tc={F059E121-6C5D-AF4D-B9C8-C1609EBE0055}</author>
    <author>tc={8D05E1E5-75EE-0D49-9D48-0621072FE592}</author>
    <author>tc={29C091A6-3F05-EF4F-8AFE-0647C2FEE192}</author>
    <author>tc={AE367BBC-06C5-6542-9542-015A4249F74A}</author>
    <author>tc={A800C405-6BCC-624B-AB49-ED4059C47630}</author>
    <author>tc={CE9A7F8F-B594-E449-93AE-BAB657EDDBD1}</author>
    <author>tc={C99840EB-0622-4F4D-836E-25957CBF0F5C}</author>
    <author>tc={A0DD03F9-AD7B-EC4F-98C9-4FC78C5D76D0}</author>
    <author>tc={798C2575-C691-AA47-A1B8-1AA0BF75BA08}</author>
    <author>tc={5550F184-B581-1B4C-9E52-37136EA440B0}</author>
    <author>tc={86298CFA-9AAF-E343-8AD6-BB4DF267E03C}</author>
    <author>tc={06F637F2-A6A9-194D-80A0-9A4EB3428CC0}</author>
    <author>tc={6423436B-6ED0-124A-A6C8-D03163C82B18}</author>
    <author>tc={2CF04C2D-5F04-B24F-A0BC-030AADC3230E}</author>
    <author>tc={41509269-CF9A-8348-943C-398301A68EB7}</author>
    <author>tc={FC0B0536-B63F-3341-ACD2-6A8C798072D9}</author>
    <author>tc={9531ED9F-DBE5-4046-BF68-FBE3947ABF57}</author>
    <author>tc={4E69645A-993A-774E-B8C5-1B49F660B53A}</author>
    <author>tc={B9C9CD77-C44D-F74C-BE65-935E56811191}</author>
    <author>tc={76C6723F-BCD9-AC42-BC4E-1F74EC8E00CA}</author>
    <author>tc={4D186670-6330-394D-A211-098ABAB6E888}</author>
    <author>tc={2F916BCF-9667-FE4C-9F0B-092512469D16}</author>
    <author>tc={C002199A-7D57-C743-9748-12250B7D8280}</author>
    <author>tc={351B5871-4272-764D-9D2A-EA2E99AF43CA}</author>
    <author>tc={721CD8FD-0FF9-D141-82EF-57623EDD79E1}</author>
    <author>tc={97F5D59B-1E73-D04A-B886-7831545A0F3B}</author>
    <author>tc={AEAAA23F-F49B-6240-849C-D9EEACFE5F80}</author>
    <author>tc={1789414A-5971-6546-9054-9CC1E7D106ED}</author>
    <author>tc={43889473-6575-7B4A-B087-D5F7E1C8C21B}</author>
    <author>tc={4081A3C7-8AF8-DA46-86EA-7886FC7FD0D6}</author>
    <author>tc={E7A80C91-599A-724B-A31C-38874C0BA372}</author>
    <author>tc={BA7E74CF-C789-AC44-A194-94753D1B1176}</author>
    <author>tc={91CE2980-5021-A14B-AB2B-A99D3A26E4A1}</author>
    <author>tc={36835494-EE21-9C42-BF5D-838BC9182C2D}</author>
  </authors>
  <commentList>
    <comment ref="F13" authorId="0" shapeId="0">
      <text>
        <t>[Threaded comment]
Your version of Excel allows you to read this threaded comment; however, any edits to it will get removed if the file is opened in a newer version of Excel. Learn more: https://go.microsoft.com/fwlink/?linkid=870924
Comment:
    Update based on start and end question of interest.</t>
      </text>
    </comment>
    <comment ref="C16" authorId="1" shapeId="0">
      <text>
        <t>[Threaded comment]
Your version of Excel allows you to read this threaded comment; however, any edits to it will get removed if the file is opened in a newer version of Excel. Learn more: https://go.microsoft.com/fwlink/?linkid=870924
Comment:
    PHILIPPINES ONLY:
Change “ConnectEd” to “mEducation”</t>
      </text>
    </comment>
    <comment ref="D20" authorId="2" shapeId="0">
      <text>
        <t>[Threaded comment]
Your version of Excel allows you to read this threaded comment; however, any edits to it will get removed if the file is opened in a newer version of Excel. Learn more: https://go.microsoft.com/fwlink/?linkid=870924
Comment:
    Change to “facilitator” if direct delivery.</t>
      </text>
    </comment>
    <comment ref="F21" authorId="3"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A27" authorId="4" shapeId="0">
      <text>
        <t>[Threaded comment]
Your version of Excel allows you to read this threaded comment; however, any edits to it will get removed if the file is opened in a newer version of Excel. Learn more: https://go.microsoft.com/fwlink/?linkid=870924
Comment:
    In “CHOICES” tab: 
(1) add the specific dates (ex: date start of week 1 to last day of week 1 calls)
(2) adjust no. of weeks depending on the context.</t>
      </text>
    </comment>
    <comment ref="N44" authorId="5"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J45" authorId="6" shapeId="0">
      <text>
        <t>[Threaded comment]
Your version of Excel allows you to read this threaded comment; however, any edits to it will get removed if the file is opened in a newer version of Excel. Learn more: https://go.microsoft.com/fwlink/?linkid=870924
Comment:
    Input “yes” if there is NO national/employee ID to disable the calculation.</t>
      </text>
    </comment>
    <comment ref="N45" authorId="7" shapeId="0">
      <text>
        <t>[Threaded comment]
Your version of Excel allows you to read this threaded comment; however, any edits to it will get removed if the file is opened in a newer version of Excel. Learn more: https://go.microsoft.com/fwlink/?linkid=870924
Comment:
    Change to reflect the: 
1. Country-specific facilitator database
2. National/employee ID variable (for example: fac_EMIS for Philippines, fac_omang for Botswana)
*DISABLE* if there is no national/employee ID.</t>
      </text>
    </comment>
    <comment ref="N46" authorId="8"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N47" authorId="9"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N51" authorId="10" shapeId="0">
      <text>
        <t>[Threaded comment]
Your version of Excel allows you to read this threaded comment; however, any edits to it will get removed if the file is opened in a newer version of Excel. Learn more: https://go.microsoft.com/fwlink/?linkid=870924
Comment:
    Starting from here until before the group “phonecall”:
Change to reflect the country-specific server/cases dataset</t>
      </text>
    </comment>
    <comment ref="J52" authorId="11" shapeId="0">
      <text>
        <t>[Threaded comment]
Your version of Excel allows you to read this threaded comment; however, any edits to it will get removed if the file is opened in a newer version of Excel. Learn more: https://go.microsoft.com/fwlink/?linkid=870924
Comment:
    Disable if there is NO government-issued student ID.</t>
      </text>
    </comment>
    <comment ref="C104" authorId="12" shapeId="0">
      <text>
        <t>[Threaded comment]
Your version of Excel allows you to read this threaded comment; however, any edits to it will get removed if the file is opened in a newer version of Excel. Learn more: https://go.microsoft.com/fwlink/?linkid=870924
Comment:
    Replace ID: ${hhid} if there is NO got-issued student ID.</t>
      </text>
    </comment>
    <comment ref="C112" authorId="13" shapeId="0">
      <text>
        <t>[Threaded comment]
Your version of Excel allows you to read this threaded comment; however, any edits to it will get removed if the file is opened in a newer version of Excel. Learn more: https://go.microsoft.com/fwlink/?linkid=870924
Comment:
    Replace ID: ${hhid} if there is NO got-issued student ID.</t>
      </text>
    </comment>
    <comment ref="C113" authorId="14" shapeId="0">
      <text>
        <t>[Threaded comment]
Your version of Excel allows you to read this threaded comment; however, any edits to it will get removed if the file is opened in a newer version of Excel. Learn more: https://go.microsoft.com/fwlink/?linkid=870924
Comment:
    In the script: replace “Youth Impact” with relevant organization.
For example, in the Philippines: it’s “DepEd.”</t>
      </text>
    </comment>
    <comment ref="J116" authorId="15" shapeId="0">
      <text>
        <t>[Threaded comment]
Your version of Excel allows you to read this threaded comment; however, any edits to it will get removed if the file is opened in a newer version of Excel. Learn more: https://go.microsoft.com/fwlink/?linkid=870924
Comment:
    Input “yes” if not interested in why call is not answered.
NOTE: Ethiopia asked this q in previous pilot due to widespread network issues (has implications on # of attempts and which areas to support).</t>
      </text>
    </comment>
    <comment ref="J117" authorId="16" shapeId="0">
      <text>
        <t>[Threaded comment]
Your version of Excel allows you to read this threaded comment; however, any edits to it will get removed if the file is opened in a newer version of Excel. Learn more: https://go.microsoft.com/fwlink/?linkid=870924
Comment:
    Input “yes” if “phone_call_notanswered” is disabled.</t>
      </text>
    </comment>
    <comment ref="C125" authorId="17" shapeId="0">
      <text>
        <t>[Threaded comment]
Your version of Excel allows you to read this threaded comment; however, any edits to it will get removed if the file is opened in a newer version of Excel. Learn more: https://go.microsoft.com/fwlink/?linkid=870924
Comment:
    FOR PHILIPPINES:
Change ConnectEd to mEducation</t>
      </text>
    </comment>
    <comment ref="I126" authorId="18" shapeId="0">
      <text>
        <t>[Threaded comment]
Your version of Excel allows you to read this threaded comment; however, any edits to it will get removed if the file is opened in a newer version of Excel. Learn more: https://go.microsoft.com/fwlink/?linkid=870924
Comment:
    Ask only during the first week of implementation, so as not to be annoying.</t>
      </text>
    </comment>
    <comment ref="C142" authorId="19" shapeId="0">
      <text>
        <t>[Threaded comment]
Your version of Excel allows you to read this threaded comment; however, any edits to it will get removed if the file is opened in a newer version of Excel. Learn more: https://go.microsoft.com/fwlink/?linkid=870924
Comment:
    Adjust no. of weeks of implementation if needed.</t>
      </text>
    </comment>
    <comment ref="I150" authorId="20" shapeId="0">
      <text>
        <t>[Threaded comment]
Your version of Excel allows you to read this threaded comment; however, any edits to it will get removed if the file is opened in a newer version of Excel. Learn more: https://go.microsoft.com/fwlink/?linkid=870924
Comment:
    Ask only during the first week of implementation, so as not to be annoying.</t>
      </text>
    </comment>
    <comment ref="J155" authorId="21" shapeId="0">
      <text>
        <t>[Threaded comment]
Your version of Excel allows you to read this threaded comment; however, any edits to it will get removed if the file is opened in a newer version of Excel. Learn more: https://go.microsoft.com/fwlink/?linkid=870924
Comment:
    DISABLE if facilitator/teacher who sensitized is NOT the same person who is teaching at implementation.</t>
      </text>
    </comment>
    <comment ref="I163" authorId="22" shapeId="0">
      <text>
        <t>[Threaded comment]
Your version of Excel allows you to read this threaded comment; however, any edits to it will get removed if the file is opened in a newer version of Excel. Learn more: https://go.microsoft.com/fwlink/?linkid=870924
Comment:
    Ask only during the first week of implementation, so as not to be annoying.</t>
      </text>
    </comment>
    <comment ref="I278" authorId="23" shapeId="0">
      <text>
        <t>[Threaded comment]
Your version of Excel allows you to read this threaded comment; however, any edits to it will get removed if the file is opened in a newer version of Excel. Learn more: https://go.microsoft.com/fwlink/?linkid=870924
Comment:
    PHILIPPINES ONLY.
Confirm w/ Mariel — is this only during week 1?</t>
      </text>
    </comment>
    <comment ref="C312" authorId="24" shapeId="0">
      <text>
        <t>[Threaded comment]
Your version of Excel allows you to read this threaded comment; however, any edits to it will get removed if the file is opened in a newer version of Excel. Learn more: https://go.microsoft.com/fwlink/?linkid=870924
Comment:
    See the content bank for Botswana DD for word problems.</t>
      </text>
    </comment>
    <comment ref="J312" authorId="25" shapeId="0">
      <text>
        <t>[Threaded comment]
Your version of Excel allows you to read this threaded comment; however, any edits to it will get removed if the file is opened in a newer version of Excel. Learn more: https://go.microsoft.com/fwlink/?linkid=870924
Comment:
    Input “yes” to disable if there is no practice problem 2.</t>
      </text>
    </comment>
    <comment ref="A313" authorId="2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14" authorId="2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15" authorId="28"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16" authorId="29"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17" authorId="30"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18" authorId="31"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19" authorId="32"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20" authorId="33"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21" authorId="3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22" authorId="3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23" authorId="3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24" authorId="3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25" authorId="38"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26" authorId="39"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C331" authorId="40" shapeId="0">
      <text>
        <t>[Threaded comment]
Your version of Excel allows you to read this threaded comment; however, any edits to it will get removed if the file is opened in a newer version of Excel. Learn more: https://go.microsoft.com/fwlink/?linkid=870924
Comment:
    See the content bank for Botswana DD for word problems.</t>
      </text>
    </comment>
    <comment ref="J331" authorId="41" shapeId="0">
      <text>
        <t>[Threaded comment]
Your version of Excel allows you to read this threaded comment; however, any edits to it will get removed if the file is opened in a newer version of Excel. Learn more: https://go.microsoft.com/fwlink/?linkid=870924
Comment:
    Input “yes” to disable if there is no practice problem 2.</t>
      </text>
    </comment>
    <comment ref="A332" authorId="42"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33" authorId="43"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34" authorId="4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35" authorId="4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36" authorId="4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37" authorId="4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38" authorId="48"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39" authorId="49"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40" authorId="50"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41" authorId="51"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42" authorId="52"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43" authorId="53"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44" authorId="5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45" authorId="5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C350" authorId="56" shapeId="0">
      <text>
        <t>[Threaded comment]
Your version of Excel allows you to read this threaded comment; however, any edits to it will get removed if the file is opened in a newer version of Excel. Learn more: https://go.microsoft.com/fwlink/?linkid=870924
Comment:
    See the content bank for Botswana DD for word problems.
Reply:
    Also — change currency and name depending on context.</t>
      </text>
    </comment>
    <comment ref="J350" authorId="57" shapeId="0">
      <text>
        <t>[Threaded comment]
Your version of Excel allows you to read this threaded comment; however, any edits to it will get removed if the file is opened in a newer version of Excel. Learn more: https://go.microsoft.com/fwlink/?linkid=870924
Comment:
    Input “yes” to disable if there is no practice problem 2.</t>
      </text>
    </comment>
    <comment ref="A351" authorId="58"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52" authorId="59"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53" authorId="60"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54" authorId="61"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55" authorId="62"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56" authorId="63"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57" authorId="6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58" authorId="6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59" authorId="6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60" authorId="6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61" authorId="68"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62" authorId="69"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63" authorId="70"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64" authorId="71"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C369" authorId="72" shapeId="0">
      <text>
        <t>[Threaded comment]
Your version of Excel allows you to read this threaded comment; however, any edits to it will get removed if the file is opened in a newer version of Excel. Learn more: https://go.microsoft.com/fwlink/?linkid=870924
Comment:
    See the content bank for Botswana DD for word problems.
Reply:
    Also — change currency and name depending on context.</t>
      </text>
    </comment>
    <comment ref="J369" authorId="73" shapeId="0">
      <text>
        <t>[Threaded comment]
Your version of Excel allows you to read this threaded comment; however, any edits to it will get removed if the file is opened in a newer version of Excel. Learn more: https://go.microsoft.com/fwlink/?linkid=870924
Comment:
    Input “yes” to disable if there is no practice problem 2.</t>
      </text>
    </comment>
    <comment ref="A370" authorId="7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1" authorId="7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2" authorId="7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3" authorId="7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4" authorId="78"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5" authorId="79"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6" authorId="80"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7" authorId="81"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8" authorId="82"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79" authorId="83"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80" authorId="8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81" authorId="8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82" authorId="8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383" authorId="8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J385" authorId="88" shapeId="0">
      <text>
        <t>[Threaded comment]
Your version of Excel allows you to read this threaded comment; however, any edits to it will get removed if the file is opened in a newer version of Excel. Learn more: https://go.microsoft.com/fwlink/?linkid=870924
Comment:
    Input “yes” to disable if there is no practice problem 2.</t>
      </text>
    </comment>
    <comment ref="B391" authorId="89" shapeId="0">
      <text>
        <t>[Threaded comment]
Your version of Excel allows you to read this threaded comment; however, any edits to it will get removed if the file is opened in a newer version of Excel. Learn more: https://go.microsoft.com/fwlink/?linkid=870924
Comment:
    Disabled as PH wanted this automated.</t>
      </text>
    </comment>
    <comment ref="A400" authorId="90"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01" authorId="91"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02" authorId="92"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03" authorId="93"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04" authorId="9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05" authorId="9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06" authorId="9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10" authorId="9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11" authorId="98"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12" authorId="99"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13" authorId="100"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14" authorId="101"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15" authorId="102"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16" authorId="103"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20" authorId="10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21" authorId="10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22" authorId="10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23" authorId="10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24" authorId="108"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25" authorId="109"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26" authorId="110"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30" authorId="111"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31" authorId="112"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32" authorId="113"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33" authorId="114"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34" authorId="115"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35" authorId="116"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A436" authorId="117" shapeId="0">
      <text>
        <t>[Threaded comment]
Your version of Excel allows you to read this threaded comment; however, any edits to it will get removed if the file is opened in a newer version of Excel. Learn more: https://go.microsoft.com/fwlink/?linkid=870924
Comment:
    Add problems for weeks 2 onwards here.</t>
      </text>
    </comment>
    <comment ref="C469" authorId="118" shapeId="0">
      <text>
        <t>[Threaded comment]
Your version of Excel allows you to read this threaded comment; however, any edits to it will get removed if the file is opened in a newer version of Excel. Learn more: https://go.microsoft.com/fwlink/?linkid=870924
Comment:
    FOR PHILIPPINES:
Change ConnectEd to mEducation</t>
      </text>
    </comment>
  </commentList>
</comments>
</file>

<file path=xl/comments/comment2.xml><?xml version="1.0" encoding="utf-8"?>
<comments xmlns="http://schemas.openxmlformats.org/spreadsheetml/2006/main">
  <authors>
    <author>tc={7F2B029E-BE98-F74C-9500-093CBAB36735}</author>
    <author>tc={1BF858E5-44BB-A24C-BCAC-602E9DD8F910}</author>
  </authors>
  <commentList>
    <comment ref="A2" authorId="0" shapeId="0">
      <text>
        <t>[Threaded comment]
Your version of Excel allows you to read this threaded comment; however, any edits to it will get removed if the file is opened in a newer version of Excel. Learn more: https://go.microsoft.com/fwlink/?linkid=870924
Comment:
    Specify 2-digit country code here.
For example:
*Implementation: ConnectEd GOV, ET 2025*
***
PHILIPPINES ONLY:
Change program name to “mEduc”
For example:
*Implementation: mEduc GOV, PH 2025*</t>
      </text>
    </comment>
    <comment ref="B2" authorId="1" shapeId="0">
      <text>
        <t>[Threaded comment]
Your version of Excel allows you to read this threaded comment; however, any edits to it will get removed if the file is opened in a newer version of Excel. Learn more: https://go.microsoft.com/fwlink/?linkid=870924
Comment:
    Edit:
- term and year (ttyyyy = t12025)
- country code (cc = ph)
***
PHILIPPINES ONLY:
Change program name to “mEduc”
For example:
*mEduc_impl_t12025_ph*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docs.surveycto.com/02-designing-forms/01-core-concepts/" TargetMode="External" Id="rId1"/><Relationship Type="http://schemas.openxmlformats.org/officeDocument/2006/relationships/hyperlink" Target="https://docs.surveycto.com/02-designing-forms/02-additional-topics/07.translating.html" TargetMode="External" Id="rId2"/><Relationship Type="http://schemas.openxmlformats.org/officeDocument/2006/relationships/hyperlink" Target="https://docs.surveycto.com/02-designing-forms/02-additional-topics/07.translating.html" TargetMode="External" Id="rId3"/><Relationship Type="http://schemas.openxmlformats.org/officeDocument/2006/relationships/hyperlink" Target="https://docs.surveycto.com/02-designing-forms/03-advanced-topics/03.preloading.html" TargetMode="External" Id="rId4"/><Relationship Type="http://schemas.openxmlformats.org/officeDocument/2006/relationships/hyperlink" Target="https://docs.surveycto.com/02-designing-forms/01-core-concepts/07.constraints.html" TargetMode="External" Id="rId5"/><Relationship Type="http://schemas.openxmlformats.org/officeDocument/2006/relationships/hyperlink" Target="https://docs.surveycto.com/02-designing-forms/01-core-concepts/07.constraints.html" TargetMode="External" Id="rId6"/><Relationship Type="http://schemas.openxmlformats.org/officeDocument/2006/relationships/hyperlink" Target="https://docs.surveycto.com/02-designing-forms/01-core-concepts/08.relevance.html" TargetMode="External" Id="rId7"/><Relationship Type="http://schemas.openxmlformats.org/officeDocument/2006/relationships/hyperlink" Target="https://docs.surveycto.com/02-designing-forms/01-core-concepts/05.other-columns.html" TargetMode="External" Id="rId8"/><Relationship Type="http://schemas.openxmlformats.org/officeDocument/2006/relationships/hyperlink" Target="https://docs.surveycto.com/02-designing-forms/01-core-concepts/05.other-columns.html" TargetMode="External" Id="rId9"/><Relationship Type="http://schemas.openxmlformats.org/officeDocument/2006/relationships/hyperlink" Target="https://docs.surveycto.com/02-designing-forms/01-core-concepts/05.other-columns.html" TargetMode="External" Id="rId10"/><Relationship Type="http://schemas.openxmlformats.org/officeDocument/2006/relationships/hyperlink" Target="https://docs.surveycto.com/02-designing-forms/01-core-concepts/05.other-columns.html" TargetMode="External" Id="rId11"/><Relationship Type="http://schemas.openxmlformats.org/officeDocument/2006/relationships/hyperlink" Target="https://docs.surveycto.com/02-designing-forms/01-core-concepts/03zb.field-types-calculate.html" TargetMode="External" Id="rId12"/><Relationship Type="http://schemas.openxmlformats.org/officeDocument/2006/relationships/hyperlink" Target="https://docs.surveycto.com/02-designing-forms/01-core-concepts/06.groups.html" TargetMode="External" Id="rId13"/><Relationship Type="http://schemas.openxmlformats.org/officeDocument/2006/relationships/hyperlink" Target="https://docs.surveycto.com/02-designing-forms/04-sample-forms/04.images.html" TargetMode="External" Id="rId14"/><Relationship Type="http://schemas.openxmlformats.org/officeDocument/2006/relationships/hyperlink" Target="https://docs.surveycto.com/02-designing-forms/01-core-concepts/05.other-columns.html" TargetMode="External" Id="rId15"/><Relationship Type="http://schemas.openxmlformats.org/officeDocument/2006/relationships/hyperlink" Target="https://docs.surveycto.com/02-designing-forms/01-core-concepts/05.other-columns.html" TargetMode="External" Id="rId16"/><Relationship Type="http://schemas.openxmlformats.org/officeDocument/2006/relationships/hyperlink" Target="https://docs.surveycto.com/02-designing-forms/02-additional-topics/07.translating.html" TargetMode="External" Id="rId17"/><Relationship Type="http://schemas.openxmlformats.org/officeDocument/2006/relationships/hyperlink" Target="https://docs.surveycto.com/02-designing-forms/02-additional-topics/07.translating.html" TargetMode="External" Id="rId18"/><Relationship Type="http://schemas.openxmlformats.org/officeDocument/2006/relationships/hyperlink" Target="https://docs.surveycto.com/02-designing-forms/02-additional-topics/07.translating.html" TargetMode="External" Id="rId19"/><Relationship Type="http://schemas.openxmlformats.org/officeDocument/2006/relationships/hyperlink" Target="https://docs.surveycto.com/02-designing-forms/03-advanced-topics/02.cascading-selects.html" TargetMode="External" Id="rId20"/><Relationship Type="http://schemas.openxmlformats.org/officeDocument/2006/relationships/hyperlink" Target="https://docs.surveycto.com/02-designing-forms/02-additional-topics/04.printable-copies.html" TargetMode="External" Id="rId21"/><Relationship Type="http://schemas.openxmlformats.org/officeDocument/2006/relationships/hyperlink" Target="https://docs.surveycto.com/02-designing-forms/02-additional-topics/04.printable-copies.html" TargetMode="External" Id="rId22"/><Relationship Type="http://schemas.openxmlformats.org/officeDocument/2006/relationships/hyperlink" Target="https://docs.surveycto.com/02-designing-forms/02-additional-topics/06.encrypting.html" TargetMode="External" Id="rId23"/><Relationship Type="http://schemas.openxmlformats.org/officeDocument/2006/relationships/hyperlink" Target="https://docs.surveycto.com/04-monitoring-and-management/02-managing-for-quality/01.collecting-high-quality-data.html" TargetMode="External" Id="rId24"/><Relationship Type="http://schemas.openxmlformats.org/officeDocument/2006/relationships/hyperlink" Target="https://docs.surveycto.com/02-designing-forms/01-core-concepts/03zh.field-types-enumerator.html" TargetMode="External" Id="rId25"/><Relationship Type="http://schemas.openxmlformats.org/officeDocument/2006/relationships/hyperlink" Target="https://docs.surveycto.com/02-designing-forms/01-core-concepts/03zh.field-types-enumerator.html" TargetMode="External" Id="rId26"/><Relationship Type="http://schemas.openxmlformats.org/officeDocument/2006/relationships/hyperlink" Target="https://docs.surveycto.com/02-designing-forms/01-core-concepts/03zh.field-types-enumerator.html" TargetMode="External" Id="rId27"/><Relationship Type="http://schemas.openxmlformats.org/officeDocument/2006/relationships/hyperlink" Target="https://docs.surveycto.com/02-designing-forms/01-core-concepts/03zh.field-types-enumerator.html" TargetMode="External" Id="rId28"/><Relationship Type="http://schemas.openxmlformats.org/officeDocument/2006/relationships/hyperlink" Target="https://docs.surveycto.com/02-designing-forms/01-core-concepts/03a.field-types-text.html" TargetMode="External" Id="rId29"/><Relationship Type="http://schemas.openxmlformats.org/officeDocument/2006/relationships/hyperlink" Target="https://docs.surveycto.com/02-designing-forms/01-core-concepts/03a.field-types-text.html" TargetMode="External" Id="rId30"/><Relationship Type="http://schemas.openxmlformats.org/officeDocument/2006/relationships/hyperlink" Target="https://docs.surveycto.com/02-designing-forms/01-core-concepts/03f.field-types-integer.html" TargetMode="External" Id="rId31"/><Relationship Type="http://schemas.openxmlformats.org/officeDocument/2006/relationships/hyperlink" Target="https://docs.surveycto.com/02-designing-forms/01-core-concepts/03g.field-types-decimal.html" TargetMode="External" Id="rId32"/><Relationship Type="http://schemas.openxmlformats.org/officeDocument/2006/relationships/hyperlink" Target="https://docs.surveycto.com/02-designing-forms/01-core-concepts/03h.field-types-select-one.html" TargetMode="External" Id="rId33"/><Relationship Type="http://schemas.openxmlformats.org/officeDocument/2006/relationships/hyperlink" Target="https://docs.surveycto.com/02-designing-forms/01-core-concepts/03h.field-types-select-one.html" TargetMode="External" Id="rId34"/><Relationship Type="http://schemas.openxmlformats.org/officeDocument/2006/relationships/hyperlink" Target="https://docs.surveycto.com/02-designing-forms/01-core-concepts/03h.field-types-select-one.html" TargetMode="External" Id="rId35"/><Relationship Type="http://schemas.openxmlformats.org/officeDocument/2006/relationships/hyperlink" Target="https://docs.surveycto.com/02-designing-forms/01-core-concepts/03h.field-types-select-one.html" TargetMode="External" Id="rId36"/><Relationship Type="http://schemas.openxmlformats.org/officeDocument/2006/relationships/hyperlink" Target="https://docs.surveycto.com/02-designing-forms/01-core-concepts/03h.field-types-select-one.html" TargetMode="External" Id="rId37"/><Relationship Type="http://schemas.openxmlformats.org/officeDocument/2006/relationships/hyperlink" Target="https://docs.surveycto.com/02-designing-forms/01-core-concepts/03h.field-types-select-one.html" TargetMode="External" Id="rId38"/><Relationship Type="http://schemas.openxmlformats.org/officeDocument/2006/relationships/hyperlink" Target="https://docs.surveycto.com/02-designing-forms/01-core-concepts/03h.field-types-select-one.html" TargetMode="External" Id="rId39"/><Relationship Type="http://schemas.openxmlformats.org/officeDocument/2006/relationships/hyperlink" Target="https://docs.surveycto.com/02-designing-forms/01-core-concepts/03h.field-types-select-one.html" TargetMode="External" Id="rId40"/><Relationship Type="http://schemas.openxmlformats.org/officeDocument/2006/relationships/hyperlink" Target="https://docs.surveycto.com/02-designing-forms/01-core-concepts/03h.field-types-select-one.html" TargetMode="External" Id="rId41"/><Relationship Type="http://schemas.openxmlformats.org/officeDocument/2006/relationships/hyperlink" Target="https://docs.surveycto.com/02-designing-forms/01-core-concepts/03h.field-types-select-one.html" TargetMode="External" Id="rId42"/><Relationship Type="http://schemas.openxmlformats.org/officeDocument/2006/relationships/hyperlink" Target="https://docs.surveycto.com/02-designing-forms/01-core-concepts/03h.field-types-select-one.html" TargetMode="External" Id="rId43"/><Relationship Type="http://schemas.openxmlformats.org/officeDocument/2006/relationships/hyperlink" Target="https://docs.surveycto.com/02-designing-forms/01-core-concepts/03h.field-types-select-one.html" TargetMode="External" Id="rId44"/><Relationship Type="http://schemas.openxmlformats.org/officeDocument/2006/relationships/hyperlink" Target="https://docs.surveycto.com/02-designing-forms/01-core-concepts/03h.field-types-select-one.html" TargetMode="External" Id="rId45"/><Relationship Type="http://schemas.openxmlformats.org/officeDocument/2006/relationships/hyperlink" Target="https://docs.surveycto.com/02-designing-forms/01-core-concepts/03h.field-types-select-one.html" TargetMode="External" Id="rId46"/><Relationship Type="http://schemas.openxmlformats.org/officeDocument/2006/relationships/hyperlink" Target="https://docs.surveycto.com/02-designing-forms/01-core-concepts/03h.field-types-select-one.html" TargetMode="External" Id="rId47"/><Relationship Type="http://schemas.openxmlformats.org/officeDocument/2006/relationships/hyperlink" Target="https://docs.surveycto.com/02-designing-forms/01-core-concepts/03i.field-types-select-multiple.html" TargetMode="External" Id="rId48"/><Relationship Type="http://schemas.openxmlformats.org/officeDocument/2006/relationships/hyperlink" Target="https://docs.surveycto.com/02-designing-forms/01-core-concepts/03i.field-types-select-multiple.html" TargetMode="External" Id="rId49"/><Relationship Type="http://schemas.openxmlformats.org/officeDocument/2006/relationships/hyperlink" Target="https://docs.surveycto.com/02-designing-forms/01-core-concepts/03i.field-types-select-multiple.html" TargetMode="External" Id="rId50"/><Relationship Type="http://schemas.openxmlformats.org/officeDocument/2006/relationships/hyperlink" Target="https://docs.surveycto.com/02-designing-forms/01-core-concepts/03i.field-types-select-multiple.html" TargetMode="External" Id="rId51"/><Relationship Type="http://schemas.openxmlformats.org/officeDocument/2006/relationships/hyperlink" Target="https://docs.surveycto.com/02-designing-forms/01-core-concepts/03i.field-types-select-multiple.html" TargetMode="External" Id="rId52"/><Relationship Type="http://schemas.openxmlformats.org/officeDocument/2006/relationships/hyperlink" Target="https://docs.surveycto.com/02-designing-forms/01-core-concepts/03i.field-types-select-multiple.html" TargetMode="External" Id="rId53"/><Relationship Type="http://schemas.openxmlformats.org/officeDocument/2006/relationships/hyperlink" Target="https://docs.surveycto.com/02-designing-forms/01-core-concepts/03i.field-types-select-multiple.html" TargetMode="External" Id="rId54"/><Relationship Type="http://schemas.openxmlformats.org/officeDocument/2006/relationships/hyperlink" Target="https://docs.surveycto.com/02-designing-forms/01-core-concepts/03i.field-types-select-multiple.html" TargetMode="External" Id="rId55"/><Relationship Type="http://schemas.openxmlformats.org/officeDocument/2006/relationships/hyperlink" Target="https://docs.surveycto.com/02-designing-forms/01-core-concepts/03i.field-types-select-multiple.html" TargetMode="External" Id="rId56"/><Relationship Type="http://schemas.openxmlformats.org/officeDocument/2006/relationships/hyperlink" Target="https://docs.surveycto.com/02-designing-forms/01-core-concepts/03j.field-types-geopoint.html" TargetMode="External" Id="rId57"/><Relationship Type="http://schemas.openxmlformats.org/officeDocument/2006/relationships/hyperlink" Target="https://docs.surveycto.com/02-designing-forms/01-core-concepts/03j2.field-types-geoshape.html" TargetMode="External" Id="rId58"/><Relationship Type="http://schemas.openxmlformats.org/officeDocument/2006/relationships/hyperlink" Target="https://docs.surveycto.com/02-designing-forms/01-core-concepts/03j3.field-types-geotrace.html" TargetMode="External" Id="rId59"/><Relationship Type="http://schemas.openxmlformats.org/officeDocument/2006/relationships/hyperlink" Target="https://docs.surveycto.com/02-designing-forms/01-core-concepts/03k.field-types-barcode.html" TargetMode="External" Id="rId60"/><Relationship Type="http://schemas.openxmlformats.org/officeDocument/2006/relationships/hyperlink" Target="https://docs.surveycto.com/02-designing-forms/01-core-concepts/03l.field-types-datetime.html" TargetMode="External" Id="rId61"/><Relationship Type="http://schemas.openxmlformats.org/officeDocument/2006/relationships/hyperlink" Target="https://docs.surveycto.com/02-designing-forms/01-core-concepts/03l.field-types-datetime.html" TargetMode="External" Id="rId62"/><Relationship Type="http://schemas.openxmlformats.org/officeDocument/2006/relationships/hyperlink" Target="https://docs.surveycto.com/02-designing-forms/01-core-concepts/03l.field-types-datetime.html" TargetMode="External" Id="rId63"/><Relationship Type="http://schemas.openxmlformats.org/officeDocument/2006/relationships/hyperlink" Target="https://docs.surveycto.com/02-designing-forms/01-core-concepts/03l.field-types-datetime.html" TargetMode="External" Id="rId64"/><Relationship Type="http://schemas.openxmlformats.org/officeDocument/2006/relationships/hyperlink" Target="https://docs.surveycto.com/02-designing-forms/01-core-concepts/03l.field-types-datetime.html" TargetMode="External" Id="rId65"/><Relationship Type="http://schemas.openxmlformats.org/officeDocument/2006/relationships/hyperlink" Target="https://docs.surveycto.com/02-designing-forms/01-core-concepts/03m.field-types-image.html" TargetMode="External" Id="rId66"/><Relationship Type="http://schemas.openxmlformats.org/officeDocument/2006/relationships/hyperlink" Target="https://docs.surveycto.com/02-designing-forms/01-core-concepts/03m.field-types-image.html" TargetMode="External" Id="rId67"/><Relationship Type="http://schemas.openxmlformats.org/officeDocument/2006/relationships/hyperlink" Target="https://docs.surveycto.com/02-designing-forms/01-core-concepts/03m.field-types-image.html" TargetMode="External" Id="rId68"/><Relationship Type="http://schemas.openxmlformats.org/officeDocument/2006/relationships/hyperlink" Target="https://docs.surveycto.com/02-designing-forms/01-core-concepts/03m.field-types-image.html" TargetMode="External" Id="rId69"/><Relationship Type="http://schemas.openxmlformats.org/officeDocument/2006/relationships/hyperlink" Target="https://docs.surveycto.com/02-designing-forms/01-core-concepts/03n.field-types-audio.html" TargetMode="External" Id="rId70"/><Relationship Type="http://schemas.openxmlformats.org/officeDocument/2006/relationships/hyperlink" Target="https://docs.surveycto.com/02-designing-forms/01-core-concepts/03o.field-types-video.html" TargetMode="External" Id="rId71"/><Relationship Type="http://schemas.openxmlformats.org/officeDocument/2006/relationships/hyperlink" Target="https://docs.surveycto.com/02-designing-forms/01-core-concepts/03o2.field-types-file.html" TargetMode="External" Id="rId72"/><Relationship Type="http://schemas.openxmlformats.org/officeDocument/2006/relationships/hyperlink" Target="https://docs.surveycto.com/02-designing-forms/01-core-concepts/03p.field-types-note.html" TargetMode="External" Id="rId73"/><Relationship Type="http://schemas.openxmlformats.org/officeDocument/2006/relationships/hyperlink" Target="https://docs.surveycto.com/02-designing-forms/01-core-concepts/03q.field-types-start.html" TargetMode="External" Id="rId74"/><Relationship Type="http://schemas.openxmlformats.org/officeDocument/2006/relationships/hyperlink" Target="https://docs.surveycto.com/02-designing-forms/01-core-concepts/03r.field-types-end.html" TargetMode="External" Id="rId75"/><Relationship Type="http://schemas.openxmlformats.org/officeDocument/2006/relationships/hyperlink" Target="https://docs.surveycto.com/02-designing-forms/01-core-concepts/03s.field-types-deviceid.html" TargetMode="External" Id="rId76"/><Relationship Type="http://schemas.openxmlformats.org/officeDocument/2006/relationships/hyperlink" Target="https://docs.surveycto.com/02-designing-forms/01-core-concepts/03u.field-types-subscriberid.html" TargetMode="External" Id="rId77"/><Relationship Type="http://schemas.openxmlformats.org/officeDocument/2006/relationships/hyperlink" Target="https://docs.surveycto.com/02-designing-forms/01-core-concepts/03v.field-types-simserial.html" TargetMode="External" Id="rId78"/><Relationship Type="http://schemas.openxmlformats.org/officeDocument/2006/relationships/hyperlink" Target="https://docs.surveycto.com/02-designing-forms/01-core-concepts/03y.field-types-caseid.html" TargetMode="External" Id="rId79"/><Relationship Type="http://schemas.openxmlformats.org/officeDocument/2006/relationships/hyperlink" Target="https://docs.surveycto.com/02-designing-forms/01-core-concepts/03w.field-types-phonenumber.html" TargetMode="External" Id="rId80"/><Relationship Type="http://schemas.openxmlformats.org/officeDocument/2006/relationships/hyperlink" Target="https://docs.surveycto.com/02-designing-forms/01-core-concepts/03za.field-types-comments.html" TargetMode="External" Id="rId81"/><Relationship Type="http://schemas.openxmlformats.org/officeDocument/2006/relationships/hyperlink" Target="https://docs.surveycto.com/02-designing-forms/01-core-concepts/03zb.field-types-calculate.html" TargetMode="External" Id="rId82"/><Relationship Type="http://schemas.openxmlformats.org/officeDocument/2006/relationships/hyperlink" Target="https://docs.surveycto.com/02-designing-forms/01-core-concepts/03zb.field-types-calculate.html" TargetMode="External" Id="rId83"/><Relationship Type="http://schemas.openxmlformats.org/officeDocument/2006/relationships/hyperlink" Target="https://docs.surveycto.com/02-designing-forms/01-core-concepts/03zd.field-types-text-audit.html" TargetMode="External" Id="rId84"/><Relationship Type="http://schemas.openxmlformats.org/officeDocument/2006/relationships/hyperlink" Target="https://docs.surveycto.com/02-designing-forms/01-core-concepts/03ze.field-types-audio-audit.html" TargetMode="External" Id="rId85"/><Relationship Type="http://schemas.openxmlformats.org/officeDocument/2006/relationships/hyperlink" Target="https://docs.surveycto.com/02-designing-forms/01-core-concepts/03ze.field-types-audio-audit.html" TargetMode="External" Id="rId86"/><Relationship Type="http://schemas.openxmlformats.org/officeDocument/2006/relationships/hyperlink" Target="https://docs.surveycto.com/02-designing-forms/01-core-concepts/03ze.field-types-audio-audit.html" TargetMode="External" Id="rId87"/><Relationship Type="http://schemas.openxmlformats.org/officeDocument/2006/relationships/hyperlink" Target="https://docs.surveycto.com/02-designing-forms/01-core-concepts/06.groups.html" TargetMode="External" Id="rId88"/><Relationship Type="http://schemas.openxmlformats.org/officeDocument/2006/relationships/hyperlink" Target="https://docs.surveycto.com/02-designing-forms/01-core-concepts/06.groups.html" TargetMode="External" Id="rId89"/><Relationship Type="http://schemas.openxmlformats.org/officeDocument/2006/relationships/hyperlink" Target="https://docs.surveycto.com/02-designing-forms/01-core-concepts/06.groups.html" TargetMode="External" Id="rId90"/><Relationship Type="http://schemas.openxmlformats.org/officeDocument/2006/relationships/hyperlink" Target="https://docs.surveycto.com/02-designing-forms/01-core-concepts/03zc.field-types-speed-violations.html" TargetMode="External" Id="rId91"/><Relationship Type="http://schemas.openxmlformats.org/officeDocument/2006/relationships/hyperlink" Target="https://docs.surveycto.com/02-designing-forms/01-core-concepts/03zc.field-types-speed-violations.html" TargetMode="External" Id="rId92"/><Relationship Type="http://schemas.openxmlformats.org/officeDocument/2006/relationships/hyperlink" Target="https://docs.surveycto.com/02-designing-forms/01-core-concepts/03zc.field-types-speed-violations.html" TargetMode="External" Id="rId93"/><Relationship Type="http://schemas.openxmlformats.org/officeDocument/2006/relationships/hyperlink" Target="https://docs.surveycto.com/02-designing-forms/01-core-concepts/03zg.field-types-sensor-stream.html" TargetMode="External" Id="rId94"/><Relationship Type="http://schemas.openxmlformats.org/officeDocument/2006/relationships/hyperlink" Target="https://docs.surveycto.com/02-designing-forms/01-core-concepts/03zf.field-types-sensor-statistic.html" TargetMode="External" Id="rId95"/><Relationship Type="http://schemas.openxmlformats.org/officeDocument/2006/relationships/hyperlink" Target="https://docs.surveycto.com/02-designing-forms/01-core-concepts/09.expressions.html" TargetMode="External" Id="rId96"/></Relationships>
</file>

<file path=xl/worksheets/_rels/sheet5.xml.rels><Relationships xmlns="http://schemas.openxmlformats.org/package/2006/relationships"><Relationship Type="http://schemas.openxmlformats.org/officeDocument/2006/relationships/hyperlink" Target="https://docs.surveycto.com/02-designing-forms/01-core-concepts/03h.field-types-select-one.html" TargetMode="External" Id="rId1"/><Relationship Type="http://schemas.openxmlformats.org/officeDocument/2006/relationships/hyperlink" Target="https://docs.surveycto.com/02-designing-forms/01-core-concepts/03i.field-types-select-multiple.html" TargetMode="External" Id="rId2"/><Relationship Type="http://schemas.openxmlformats.org/officeDocument/2006/relationships/hyperlink" Target="https://docs.surveycto.com/02-designing-forms/04-sample-forms/12.search-and-select.html" TargetMode="External" Id="rId3"/><Relationship Type="http://schemas.openxmlformats.org/officeDocument/2006/relationships/hyperlink" Target="https://docs.surveycto.com/02-designing-forms/02-additional-topics/07.translating.html" TargetMode="External" Id="rId4"/><Relationship Type="http://schemas.openxmlformats.org/officeDocument/2006/relationships/hyperlink" Target="https://docs.surveycto.com/02-designing-forms/04-sample-forms/04.images.html" TargetMode="External" Id="rId5"/><Relationship Type="http://schemas.openxmlformats.org/officeDocument/2006/relationships/hyperlink" Target="https://docs.surveycto.com/02-designing-forms/03-advanced-topics/02.cascading-selects.html" TargetMode="External" Id="rId6"/></Relationships>
</file>

<file path=xl/worksheets/_rels/sheet6.xml.rels><Relationships xmlns="http://schemas.openxmlformats.org/package/2006/relationships"><Relationship Type="http://schemas.openxmlformats.org/officeDocument/2006/relationships/hyperlink" Target="https://docs.surveycto.com/02-designing-forms/02-additional-topics/08.hiding-test-forms.html" TargetMode="External" Id="rId1"/><Relationship Type="http://schemas.openxmlformats.org/officeDocument/2006/relationships/hyperlink" Target="https://docs.surveycto.com/02-designing-forms/01-core-concepts/10.updating.html" TargetMode="External" Id="rId2"/><Relationship Type="http://schemas.openxmlformats.org/officeDocument/2006/relationships/hyperlink" Target="https://docs.surveycto.com/02-designing-forms/02-additional-topics/06.encrypting.html" TargetMode="External" Id="rId3"/><Relationship Type="http://schemas.openxmlformats.org/officeDocument/2006/relationships/hyperlink" Target="https://docs.surveycto.com/02-designing-forms/02-additional-topics/06.encrypting.html" TargetMode="External" Id="rId4"/><Relationship Type="http://schemas.openxmlformats.org/officeDocument/2006/relationships/hyperlink" Target="https://docs.surveycto.com/02-designing-forms/02-additional-topics/07.translating.html" TargetMode="External" Id="rId5"/></Relationships>
</file>

<file path=xl/worksheets/sheet1.xml><?xml version="1.0" encoding="utf-8"?>
<worksheet xmlns="http://schemas.openxmlformats.org/spreadsheetml/2006/main">
  <sheetPr>
    <outlinePr summaryBelow="1" summaryRight="1"/>
    <pageSetUpPr/>
  </sheetPr>
  <dimension ref="A1:X488"/>
  <sheetViews>
    <sheetView tabSelected="1" zoomScaleNormal="100" workbookViewId="0">
      <pane ySplit="1" topLeftCell="A2" activePane="bottomLeft" state="frozen"/>
      <selection pane="bottomLeft" activeCell="C1" sqref="C1"/>
      <selection pane="bottomLeft" activeCell="A2" sqref="A2"/>
      <selection pane="bottomRight" activeCell="F22" sqref="F22"/>
    </sheetView>
  </sheetViews>
  <sheetFormatPr baseColWidth="10" defaultColWidth="11" defaultRowHeight="16"/>
  <cols>
    <col width="16" customWidth="1" style="76" min="1" max="1"/>
    <col width="26" customWidth="1" style="76" min="2" max="2"/>
    <col width="42" bestFit="1" customWidth="1" style="81" min="3" max="3"/>
    <col width="42" bestFit="1" customWidth="1" style="75" min="4" max="4"/>
    <col width="12" bestFit="1" customWidth="1" style="76" min="5" max="5"/>
    <col width="18" bestFit="1" customWidth="1" style="75" min="6" max="6"/>
    <col width="42" bestFit="1" customWidth="1" style="75" min="7" max="7"/>
    <col width="42" customWidth="1" style="75" min="8" max="8"/>
    <col width="42" bestFit="1" customWidth="1" style="76" min="9" max="9"/>
    <col width="10" bestFit="1" customWidth="1" style="76" min="10" max="10"/>
    <col width="10" bestFit="1" customWidth="1" style="76" min="11" max="11"/>
    <col width="42" customWidth="1" style="76" min="12" max="12"/>
    <col width="10" bestFit="1" customWidth="1" style="76" min="13" max="13"/>
    <col width="42" customWidth="1" style="76" min="14" max="14"/>
    <col width="12" customWidth="1" style="76" min="15" max="15"/>
    <col width="14" bestFit="1" customWidth="1" style="76" min="16" max="16"/>
    <col width="14" bestFit="1" customWidth="1" style="76" min="17" max="17"/>
    <col width="14" bestFit="1" customWidth="1" style="76" min="18" max="18"/>
    <col width="42" customWidth="1" style="76" min="19" max="19"/>
    <col width="20" customWidth="1" style="76" min="20" max="20"/>
    <col width="42" customWidth="1" style="76" min="21" max="22"/>
    <col width="42" customWidth="1" min="22" max="22"/>
    <col width="12" bestFit="1" customWidth="1" style="76" min="23" max="23"/>
    <col width="14" bestFit="1" customWidth="1" style="76" min="24" max="24"/>
    <col width="11" customWidth="1" style="2" min="25" max="16384"/>
  </cols>
  <sheetData>
    <row r="1" ht="20" customFormat="1" customHeight="1" s="3">
      <c r="A1" s="117" t="inlineStr">
        <is>
          <t>type</t>
        </is>
      </c>
      <c r="B1" s="117" t="inlineStr">
        <is>
          <t>name</t>
        </is>
      </c>
      <c r="C1" s="118" t="inlineStr">
        <is>
          <t>label</t>
        </is>
      </c>
      <c r="D1" s="117" t="inlineStr">
        <is>
          <t>hint</t>
        </is>
      </c>
      <c r="E1" s="117" t="inlineStr">
        <is>
          <t>default</t>
        </is>
      </c>
      <c r="F1" s="117" t="inlineStr">
        <is>
          <t>appearance</t>
        </is>
      </c>
      <c r="G1" s="117" t="inlineStr">
        <is>
          <t>constraint</t>
        </is>
      </c>
      <c r="H1" s="117" t="inlineStr">
        <is>
          <t>constraint message</t>
        </is>
      </c>
      <c r="I1" s="117" t="inlineStr">
        <is>
          <t>relevance</t>
        </is>
      </c>
      <c r="J1" s="117" t="inlineStr">
        <is>
          <t>disabled</t>
        </is>
      </c>
      <c r="K1" s="117" t="inlineStr">
        <is>
          <t>required</t>
        </is>
      </c>
      <c r="L1" s="117" t="inlineStr">
        <is>
          <t>required message</t>
        </is>
      </c>
      <c r="M1" s="117" t="inlineStr">
        <is>
          <t>read only</t>
        </is>
      </c>
      <c r="N1" s="117" t="inlineStr">
        <is>
          <t>calculation</t>
        </is>
      </c>
      <c r="O1" s="117" t="inlineStr">
        <is>
          <t>repeat_count</t>
        </is>
      </c>
      <c r="P1" s="117" t="inlineStr">
        <is>
          <t>media:image</t>
        </is>
      </c>
      <c r="Q1" s="117" t="inlineStr">
        <is>
          <t>media:audio</t>
        </is>
      </c>
      <c r="R1" s="117" t="inlineStr">
        <is>
          <t>media:video</t>
        </is>
      </c>
      <c r="S1" s="117" t="inlineStr">
        <is>
          <t>label_stata</t>
        </is>
      </c>
      <c r="T1" s="117" t="inlineStr">
        <is>
          <t>choice_filter</t>
        </is>
      </c>
      <c r="U1" s="117" t="inlineStr">
        <is>
          <t>note</t>
        </is>
      </c>
      <c r="V1" s="117" t="inlineStr">
        <is>
          <t>response_note</t>
        </is>
      </c>
      <c r="W1" s="117" t="inlineStr">
        <is>
          <t>publishable</t>
        </is>
      </c>
      <c r="X1" s="117" t="inlineStr">
        <is>
          <t>minimum_seconds</t>
        </is>
      </c>
    </row>
    <row r="2">
      <c r="A2" s="119" t="inlineStr">
        <is>
          <t>start</t>
        </is>
      </c>
      <c r="B2" s="119" t="inlineStr">
        <is>
          <t>starttime</t>
        </is>
      </c>
      <c r="C2" s="120" t="n"/>
      <c r="D2" s="120" t="n"/>
      <c r="E2" s="121" t="n"/>
      <c r="F2" s="121" t="n"/>
      <c r="G2" s="120" t="n"/>
      <c r="H2" s="120" t="n"/>
      <c r="I2" s="122" t="n"/>
      <c r="J2" s="119" t="n"/>
      <c r="K2" s="121" t="n"/>
      <c r="L2" s="120" t="n"/>
      <c r="M2" s="121" t="n"/>
      <c r="N2" s="120" t="n"/>
      <c r="O2" s="121" t="n"/>
      <c r="P2" s="121" t="n"/>
      <c r="Q2" s="121" t="n"/>
      <c r="R2" s="121" t="n"/>
      <c r="S2" s="120" t="n"/>
      <c r="T2" s="121" t="n"/>
      <c r="U2" s="120" t="n"/>
      <c r="V2" s="120" t="n"/>
      <c r="W2" s="121" t="n"/>
      <c r="X2" s="121" t="n"/>
    </row>
    <row r="3" ht="16" customHeight="1">
      <c r="A3" s="119" t="inlineStr">
        <is>
          <t>end</t>
        </is>
      </c>
      <c r="B3" s="119" t="inlineStr">
        <is>
          <t>endtime</t>
        </is>
      </c>
      <c r="C3" s="120" t="n"/>
      <c r="D3" s="120" t="n"/>
      <c r="E3" s="121" t="n"/>
      <c r="F3" s="121" t="n"/>
      <c r="G3" s="120" t="n"/>
      <c r="H3" s="120" t="n"/>
      <c r="I3" s="120" t="n"/>
      <c r="J3" s="121" t="n"/>
      <c r="K3" s="121" t="n"/>
      <c r="L3" s="120" t="n"/>
      <c r="M3" s="121" t="n"/>
      <c r="N3" s="120" t="n"/>
      <c r="O3" s="121" t="n"/>
      <c r="P3" s="121" t="n"/>
      <c r="Q3" s="121" t="n"/>
      <c r="R3" s="121" t="n"/>
      <c r="S3" s="120" t="n"/>
      <c r="T3" s="121" t="n"/>
      <c r="U3" s="120" t="n"/>
      <c r="V3" s="120" t="n"/>
      <c r="W3" s="121" t="n"/>
      <c r="X3" s="121" t="n"/>
    </row>
    <row r="4">
      <c r="A4" s="119" t="inlineStr">
        <is>
          <t>deviceid</t>
        </is>
      </c>
      <c r="B4" s="119" t="inlineStr">
        <is>
          <t>deviceid</t>
        </is>
      </c>
      <c r="C4" s="120" t="n"/>
      <c r="D4" s="120" t="n"/>
      <c r="E4" s="121" t="n"/>
      <c r="F4" s="121" t="n"/>
      <c r="G4" s="120" t="n"/>
      <c r="H4" s="120" t="n"/>
      <c r="I4" s="122" t="n"/>
      <c r="J4" s="119" t="n"/>
      <c r="K4" s="121" t="n"/>
      <c r="L4" s="120" t="n"/>
      <c r="M4" s="121" t="n"/>
      <c r="N4" s="120" t="n"/>
      <c r="O4" s="121" t="n"/>
      <c r="P4" s="121" t="n"/>
      <c r="Q4" s="121" t="n"/>
      <c r="R4" s="121" t="n"/>
      <c r="S4" s="120" t="n"/>
      <c r="T4" s="121" t="n"/>
      <c r="U4" s="120" t="n"/>
      <c r="V4" s="120" t="n"/>
      <c r="W4" s="121" t="n"/>
      <c r="X4" s="121" t="n"/>
    </row>
    <row r="5">
      <c r="A5" s="119" t="inlineStr">
        <is>
          <t>phonenumber</t>
        </is>
      </c>
      <c r="B5" s="119" t="inlineStr">
        <is>
          <t>devicephonenum</t>
        </is>
      </c>
      <c r="C5" s="120" t="n"/>
      <c r="D5" s="120" t="n"/>
      <c r="E5" s="121" t="n"/>
      <c r="F5" s="121" t="n"/>
      <c r="G5" s="120" t="n"/>
      <c r="H5" s="120" t="n"/>
      <c r="I5" s="122" t="n"/>
      <c r="J5" s="119" t="n"/>
      <c r="K5" s="121" t="n"/>
      <c r="L5" s="120" t="n"/>
      <c r="M5" s="121" t="n"/>
      <c r="N5" s="120" t="n"/>
      <c r="O5" s="121" t="n"/>
      <c r="P5" s="121" t="n"/>
      <c r="Q5" s="121" t="n"/>
      <c r="R5" s="121" t="n"/>
      <c r="S5" s="120" t="n"/>
      <c r="T5" s="121" t="n"/>
      <c r="U5" s="120" t="n"/>
      <c r="V5" s="120" t="n"/>
      <c r="W5" s="121" t="n"/>
      <c r="X5" s="121" t="n"/>
    </row>
    <row r="6">
      <c r="A6" s="119" t="inlineStr">
        <is>
          <t>username</t>
        </is>
      </c>
      <c r="B6" s="119" t="inlineStr">
        <is>
          <t>username</t>
        </is>
      </c>
      <c r="C6" s="120" t="n"/>
      <c r="D6" s="120" t="n"/>
      <c r="E6" s="121" t="n"/>
      <c r="F6" s="121" t="n"/>
      <c r="G6" s="120" t="n"/>
      <c r="H6" s="120" t="n"/>
      <c r="I6" s="122" t="n"/>
      <c r="J6" s="119" t="n"/>
      <c r="K6" s="121" t="n"/>
      <c r="L6" s="120" t="n"/>
      <c r="M6" s="121" t="n"/>
      <c r="N6" s="120" t="n"/>
      <c r="O6" s="121" t="n"/>
      <c r="P6" s="121" t="n"/>
      <c r="Q6" s="121" t="n"/>
      <c r="R6" s="121" t="n"/>
      <c r="S6" s="120" t="n"/>
      <c r="T6" s="121" t="n"/>
      <c r="U6" s="120" t="n"/>
      <c r="V6" s="120" t="n"/>
      <c r="W6" s="121" t="n"/>
      <c r="X6" s="121" t="n"/>
    </row>
    <row r="7">
      <c r="A7" s="119" t="inlineStr">
        <is>
          <t>calculate</t>
        </is>
      </c>
      <c r="B7" s="119" t="inlineStr">
        <is>
          <t>device_info</t>
        </is>
      </c>
      <c r="C7" s="120" t="n"/>
      <c r="D7" s="120" t="n"/>
      <c r="E7" s="121" t="n"/>
      <c r="F7" s="121" t="n"/>
      <c r="G7" s="120" t="n"/>
      <c r="H7" s="120" t="n"/>
      <c r="I7" s="122" t="n"/>
      <c r="J7" s="119" t="n"/>
      <c r="K7" s="121" t="n"/>
      <c r="L7" s="120" t="n"/>
      <c r="M7" s="121" t="n"/>
      <c r="N7" s="122" t="inlineStr">
        <is>
          <t>device-info()</t>
        </is>
      </c>
      <c r="O7" s="121" t="n"/>
      <c r="P7" s="121" t="n"/>
      <c r="Q7" s="121" t="n"/>
      <c r="R7" s="121" t="n"/>
      <c r="S7" s="120" t="n"/>
      <c r="T7" s="121" t="n"/>
      <c r="U7" s="120" t="n"/>
      <c r="V7" s="120" t="n"/>
      <c r="W7" s="121" t="n"/>
      <c r="X7" s="121" t="n"/>
    </row>
    <row r="8" ht="17" customHeight="1">
      <c r="A8" s="119" t="inlineStr">
        <is>
          <t>calculate</t>
        </is>
      </c>
      <c r="B8" s="119" t="inlineStr">
        <is>
          <t>instance_time_i</t>
        </is>
      </c>
      <c r="C8" s="123" t="inlineStr">
        <is>
          <t>The time and date of the current call attempt for use as the instance_name.</t>
        </is>
      </c>
      <c r="D8" s="120" t="n"/>
      <c r="E8" s="121" t="n"/>
      <c r="F8" s="121" t="n"/>
      <c r="G8" s="120" t="n"/>
      <c r="H8" s="120" t="n"/>
      <c r="I8" s="122" t="n"/>
      <c r="J8" s="119" t="n"/>
      <c r="K8" s="121" t="n"/>
      <c r="L8" s="120" t="n"/>
      <c r="M8" s="121" t="n"/>
      <c r="N8" s="122" t="inlineStr">
        <is>
          <t xml:space="preserve">once(format-date-time(now(), '%Y-%m-%d %H:%M'))	 	 </t>
        </is>
      </c>
      <c r="O8" s="121" t="n"/>
      <c r="P8" s="121" t="n"/>
      <c r="Q8" s="121" t="n"/>
      <c r="R8" s="121" t="n"/>
      <c r="S8" s="120" t="n"/>
      <c r="T8" s="121" t="n"/>
      <c r="U8" s="120" t="n"/>
      <c r="V8" s="120" t="n"/>
      <c r="W8" s="121" t="n"/>
      <c r="X8" s="121" t="n"/>
    </row>
    <row r="9" ht="17" customHeight="1">
      <c r="A9" s="119" t="inlineStr">
        <is>
          <t>calculate</t>
        </is>
      </c>
      <c r="B9" s="119" t="inlineStr">
        <is>
          <t>duration_i</t>
        </is>
      </c>
      <c r="C9" s="123" t="inlineStr">
        <is>
          <t>Returns the total amount of time spent, in seconds, filling or editing the current form submission.</t>
        </is>
      </c>
      <c r="D9" s="120" t="n"/>
      <c r="E9" s="121" t="n"/>
      <c r="F9" s="121" t="n"/>
      <c r="G9" s="120" t="n"/>
      <c r="H9" s="120" t="n"/>
      <c r="I9" s="122" t="n"/>
      <c r="J9" s="119" t="n"/>
      <c r="K9" s="121" t="n"/>
      <c r="L9" s="120" t="n"/>
      <c r="M9" s="121" t="n"/>
      <c r="N9" s="122" t="inlineStr">
        <is>
          <t>duration()</t>
        </is>
      </c>
      <c r="O9" s="121" t="n"/>
      <c r="P9" s="121" t="n"/>
      <c r="Q9" s="121" t="n"/>
      <c r="R9" s="121" t="n"/>
      <c r="S9" s="120" t="n"/>
      <c r="T9" s="121" t="n"/>
      <c r="U9" s="120" t="n"/>
      <c r="V9" s="120" t="n"/>
      <c r="W9" s="121" t="n"/>
      <c r="X9" s="121" t="n"/>
    </row>
    <row r="10" ht="17" customHeight="1">
      <c r="A10" s="119" t="inlineStr">
        <is>
          <t>calculate</t>
        </is>
      </c>
      <c r="B10" s="119" t="inlineStr">
        <is>
          <t>duration_call_i</t>
        </is>
      </c>
      <c r="C10" s="123" t="inlineStr">
        <is>
          <t>Returns the total number of seconds spent on a phone call during the form.</t>
        </is>
      </c>
      <c r="D10" s="120" t="n"/>
      <c r="E10" s="121" t="n"/>
      <c r="F10" s="121" t="n"/>
      <c r="G10" s="120" t="n"/>
      <c r="H10" s="120" t="n"/>
      <c r="I10" s="122" t="n"/>
      <c r="J10" s="119" t="n"/>
      <c r="K10" s="121" t="n"/>
      <c r="L10" s="120" t="n"/>
      <c r="M10" s="121" t="n"/>
      <c r="N10" s="122" t="inlineStr">
        <is>
          <t>phone-call-duration()</t>
        </is>
      </c>
      <c r="O10" s="121" t="n"/>
      <c r="P10" s="121" t="n"/>
      <c r="Q10" s="121" t="n"/>
      <c r="R10" s="121" t="n"/>
      <c r="S10" s="120" t="n"/>
      <c r="T10" s="121" t="n"/>
      <c r="U10" s="120" t="n"/>
      <c r="V10" s="120" t="n"/>
      <c r="W10" s="121" t="n"/>
      <c r="X10" s="121" t="n"/>
    </row>
    <row r="11" ht="17" customHeight="1">
      <c r="A11" s="119" t="inlineStr">
        <is>
          <t>calculate</t>
        </is>
      </c>
      <c r="B11" s="119" t="inlineStr">
        <is>
          <t>duration_true_i</t>
        </is>
      </c>
      <c r="C11" s="123" t="inlineStr">
        <is>
          <t>Returns the total amount of time spent, in seconds, to complete the survey.</t>
        </is>
      </c>
      <c r="D11" s="120" t="n"/>
      <c r="E11" s="121" t="n"/>
      <c r="F11" s="121" t="n"/>
      <c r="G11" s="120" t="n"/>
      <c r="H11" s="120" t="n"/>
      <c r="I11" s="122" t="n"/>
      <c r="J11" s="119" t="n"/>
      <c r="K11" s="121" t="n"/>
      <c r="L11" s="120" t="n"/>
      <c r="M11" s="121" t="n"/>
      <c r="N11" s="122" t="inlineStr">
        <is>
          <t>${survey_end_ts} - ${survey_start_ts}</t>
        </is>
      </c>
      <c r="O11" s="121" t="n"/>
      <c r="P11" s="121" t="n"/>
      <c r="Q11" s="121" t="n"/>
      <c r="R11" s="121" t="n"/>
      <c r="S11" s="120" t="n"/>
      <c r="T11" s="121" t="n"/>
      <c r="U11" s="120" t="n"/>
      <c r="V11" s="120" t="n"/>
      <c r="W11" s="121" t="n"/>
      <c r="X11" s="121" t="n"/>
    </row>
    <row r="12">
      <c r="A12" s="121" t="n"/>
      <c r="B12" s="121" t="n"/>
      <c r="C12" s="120" t="n"/>
      <c r="D12" s="120" t="n"/>
      <c r="E12" s="121" t="n"/>
      <c r="F12" s="121" t="n"/>
      <c r="G12" s="120" t="n"/>
      <c r="H12" s="120" t="n"/>
      <c r="I12" s="122" t="n"/>
      <c r="J12" s="119" t="n"/>
      <c r="K12" s="121" t="n"/>
      <c r="L12" s="120" t="n"/>
      <c r="M12" s="121" t="n"/>
      <c r="N12" s="120" t="n"/>
      <c r="O12" s="121" t="n"/>
      <c r="P12" s="121" t="n"/>
      <c r="Q12" s="121" t="n"/>
      <c r="R12" s="121" t="n"/>
      <c r="S12" s="120" t="n"/>
      <c r="T12" s="121" t="n"/>
      <c r="U12" s="120" t="n"/>
      <c r="V12" s="120" t="n"/>
      <c r="W12" s="121" t="n"/>
      <c r="X12" s="121" t="n"/>
    </row>
    <row r="13">
      <c r="A13" s="119" t="inlineStr">
        <is>
          <t>audio audit</t>
        </is>
      </c>
      <c r="B13" s="119" t="inlineStr">
        <is>
          <t>audio_audit_i</t>
        </is>
      </c>
      <c r="C13" s="120" t="n"/>
      <c r="D13" s="120" t="n"/>
      <c r="E13" s="121" t="n"/>
      <c r="F13" s="119" t="inlineStr">
        <is>
          <t>p=100;s=phone_select;d=call_status_i</t>
        </is>
      </c>
      <c r="G13" s="120" t="n"/>
      <c r="H13" s="120" t="n"/>
      <c r="I13" s="122" t="n"/>
      <c r="J13" s="119" t="n"/>
      <c r="K13" s="121" t="n"/>
      <c r="L13" s="120" t="n"/>
      <c r="M13" s="121" t="n"/>
      <c r="N13" s="120" t="n"/>
      <c r="O13" s="121" t="n"/>
      <c r="P13" s="121" t="n"/>
      <c r="Q13" s="121" t="n"/>
      <c r="R13" s="121" t="n"/>
      <c r="S13" s="120" t="n"/>
      <c r="T13" s="121" t="n"/>
      <c r="U13" s="120" t="n"/>
      <c r="V13" s="120" t="n"/>
      <c r="W13" s="121" t="n"/>
      <c r="X13" s="121" t="n"/>
    </row>
    <row r="14">
      <c r="A14" s="119" t="inlineStr">
        <is>
          <t>text audit</t>
        </is>
      </c>
      <c r="B14" s="119" t="inlineStr">
        <is>
          <t>text_audit_i</t>
        </is>
      </c>
      <c r="C14" s="120" t="n"/>
      <c r="D14" s="120" t="n"/>
      <c r="E14" s="121" t="n"/>
      <c r="F14" s="119" t="inlineStr">
        <is>
          <t>p=100</t>
        </is>
      </c>
      <c r="G14" s="120" t="n"/>
      <c r="H14" s="120" t="n"/>
      <c r="I14" s="122" t="n"/>
      <c r="J14" s="119" t="n"/>
      <c r="K14" s="121" t="n"/>
      <c r="L14" s="120" t="n"/>
      <c r="M14" s="121" t="n"/>
      <c r="N14" s="120" t="n"/>
      <c r="O14" s="121" t="n"/>
      <c r="P14" s="121" t="n"/>
      <c r="Q14" s="121" t="n"/>
      <c r="R14" s="121" t="n"/>
      <c r="S14" s="120" t="n"/>
      <c r="T14" s="121" t="n"/>
      <c r="U14" s="120" t="n"/>
      <c r="V14" s="120" t="n"/>
      <c r="W14" s="121" t="n"/>
      <c r="X14" s="121" t="n"/>
    </row>
    <row r="15">
      <c r="A15" s="121" t="n"/>
      <c r="B15" s="121" t="n"/>
      <c r="C15" s="120" t="n"/>
      <c r="D15" s="120" t="n"/>
      <c r="E15" s="121" t="n"/>
      <c r="F15" s="121" t="n"/>
      <c r="G15" s="120" t="n"/>
      <c r="H15" s="120" t="n"/>
      <c r="I15" s="122" t="n"/>
      <c r="J15" s="119" t="n"/>
      <c r="K15" s="121" t="n"/>
      <c r="L15" s="120" t="n"/>
      <c r="M15" s="121" t="n"/>
      <c r="N15" s="120" t="n"/>
      <c r="O15" s="121" t="n"/>
      <c r="P15" s="121" t="n"/>
      <c r="Q15" s="121" t="n"/>
      <c r="R15" s="121" t="n"/>
      <c r="S15" s="120" t="n"/>
      <c r="T15" s="121" t="n"/>
      <c r="U15" s="120" t="n"/>
      <c r="V15" s="120" t="n"/>
      <c r="W15" s="121" t="n"/>
      <c r="X15" s="121" t="n"/>
    </row>
    <row r="16" ht="372" customHeight="1">
      <c r="A16" s="119" t="inlineStr">
        <is>
          <t>note</t>
        </is>
      </c>
      <c r="B16" s="119" t="inlineStr">
        <is>
          <t>note_intro</t>
        </is>
      </c>
      <c r="C16" s="123" t="inlineStr">
        <is>
          <t>&lt;p style="font-weight:bold;"&gt;Welcome to the mEducation Implementation Form!&lt;/p&gt;
&lt;br&gt;
Before you begin your call, please read the following instructions carefully:
&lt;br&gt;&lt;br&gt;
&lt;ol&gt;
&lt;li&gt;Unless explicitly stated, read all the questions out loud.&lt;/li&gt;
&lt;li&gt;Unless explicitly stated, do &lt;b&gt;&lt;u&gt;not&lt;/u&gt;&lt;/b&gt; read choices/answer options out loud.&lt;/li&gt;
&lt;li&gt;Surveys are considered completed when one of the following happens:&lt;/li&gt;
&lt;ul&gt;
&lt;li&gt;You have successfully reached a household &lt;b&gt;&lt;u&gt;and&lt;/u&gt;&lt;/b&gt; tutored the enrolled child.&lt;/li&gt;
&lt;li&gt;The household withdraws consent to participate.&lt;/li&gt;
&lt;li&gt;You have made &lt;font color="red"&gt;&lt;b&gt;&lt;u&gt;SEVEN (7) CALL ATTEMPTS&lt;/u&gt;&lt;/b&gt;&lt;/font&gt; over a few days and at different times per day.&lt;/li&gt;
&lt;/ul&gt;
&lt;/ol&gt;
&lt;br&gt;&lt;br&gt;
When you're ready, swipe left on the screen to move forward.</t>
        </is>
      </c>
      <c r="D16" s="120" t="n"/>
      <c r="E16" s="121" t="n"/>
      <c r="F16" s="119" t="inlineStr">
        <is>
          <t>intro</t>
        </is>
      </c>
      <c r="G16" s="120" t="n"/>
      <c r="H16" s="120" t="n"/>
      <c r="I16" s="122" t="n"/>
      <c r="J16" s="119" t="n"/>
      <c r="K16" s="121" t="n"/>
      <c r="L16" s="120" t="n"/>
      <c r="M16" s="121" t="n"/>
      <c r="N16" s="120" t="n"/>
      <c r="O16" s="121" t="n"/>
      <c r="P16" s="121" t="n"/>
      <c r="Q16" s="121" t="n"/>
      <c r="R16" s="121" t="n"/>
      <c r="S16" s="120" t="n"/>
      <c r="T16" s="121" t="n"/>
      <c r="U16" s="120" t="n"/>
      <c r="V16" s="120" t="n"/>
      <c r="W16" s="121" t="n"/>
      <c r="X16" s="121" t="n"/>
    </row>
    <row r="17" ht="187" customHeight="1">
      <c r="A17" s="119" t="inlineStr">
        <is>
          <t>note</t>
        </is>
      </c>
      <c r="B17" s="119" t="inlineStr">
        <is>
          <t>warning_notweb</t>
        </is>
      </c>
      <c r="C17" s="123" t="inlineStr">
        <is>
          <t>&lt;p&gt;&lt;span style="color: #ff0000;"&gt;&lt;strong&gt;WARNING!&lt;/strong&gt;&lt;/span&gt;&lt;br /&gt; &lt;br /&gt;&lt;span style="color: #ff0000;"&gt;&lt;/p&gt;
&lt;p&gt;&lt;span style="color: #ff0000;"&gt;Please use the SurveyCTO Collect app to submit data.&lt;/span&gt;&lt;br /&gt; &lt;br /&gt;&lt;span style="color: #ff0000;"&gt;&lt;/p&gt;
&lt;p&gt;&lt;span style="color: #ff0000;"&gt;If you do not have it yet, go to the Google Play Store (or Apple App Store) and search for the &lt;b&gt;Collect&lt;/b&gt; app.&lt;/span&gt;&lt;br /&gt; &lt;br /&gt;&lt;span style="color: #ff0000;"&gt;&lt;/p&gt;
&lt;p&gt;&lt;span style="color: #ff0000;"&gt;Only if you have a Huawei phone, please proceed with this web survey.&lt;/span&gt;&lt;br /&gt; &lt;br /&gt;&lt;span style="color: #ff0000;"&gt;&lt;/p&gt;</t>
        </is>
      </c>
      <c r="D17" s="120" t="n"/>
      <c r="E17" s="121" t="n"/>
      <c r="F17" s="119" t="n"/>
      <c r="G17" s="120" t="n"/>
      <c r="H17" s="120" t="n"/>
      <c r="I17" s="122" t="inlineStr">
        <is>
          <t>${deviceid} = '(web)'</t>
        </is>
      </c>
      <c r="J17" s="119" t="n"/>
      <c r="K17" s="121" t="n"/>
      <c r="L17" s="120" t="n"/>
      <c r="M17" s="121" t="n"/>
      <c r="N17" s="120" t="n"/>
      <c r="O17" s="121" t="n"/>
      <c r="P17" s="121" t="n"/>
      <c r="Q17" s="121" t="n"/>
      <c r="R17" s="121" t="n"/>
      <c r="S17" s="120" t="n"/>
      <c r="T17" s="121" t="n"/>
      <c r="U17" s="120" t="n"/>
      <c r="V17" s="120" t="n"/>
      <c r="W17" s="121" t="n"/>
      <c r="X17" s="121" t="n"/>
    </row>
    <row r="18">
      <c r="A18" s="121" t="n"/>
      <c r="B18" s="121" t="n"/>
      <c r="C18" s="120" t="n"/>
      <c r="D18" s="120" t="n"/>
      <c r="E18" s="121" t="n"/>
      <c r="F18" s="119" t="n"/>
      <c r="G18" s="120" t="n"/>
      <c r="H18" s="120" t="n"/>
      <c r="I18" s="122" t="n"/>
      <c r="J18" s="119" t="n"/>
      <c r="K18" s="121" t="n"/>
      <c r="L18" s="120" t="n"/>
      <c r="M18" s="121" t="n"/>
      <c r="N18" s="120" t="n"/>
      <c r="O18" s="121" t="n"/>
      <c r="P18" s="121" t="n"/>
      <c r="Q18" s="121" t="n"/>
      <c r="R18" s="121" t="n"/>
      <c r="S18" s="120" t="n"/>
      <c r="T18" s="121" t="n"/>
      <c r="U18" s="120" t="n"/>
      <c r="V18" s="120" t="n"/>
      <c r="W18" s="121" t="n"/>
      <c r="X18" s="121" t="n"/>
    </row>
    <row r="19" ht="17" customHeight="1">
      <c r="A19" s="119" t="inlineStr">
        <is>
          <t>begin group</t>
        </is>
      </c>
      <c r="B19" s="119" t="inlineStr">
        <is>
          <t>identification</t>
        </is>
      </c>
      <c r="C19" s="122" t="inlineStr">
        <is>
          <t>Identification</t>
        </is>
      </c>
      <c r="D19" s="120" t="n"/>
      <c r="E19" s="121" t="n"/>
      <c r="F19" s="121" t="n"/>
      <c r="G19" s="120" t="n"/>
      <c r="H19" s="120" t="n"/>
      <c r="I19" s="122" t="n"/>
      <c r="J19" s="119" t="n"/>
      <c r="K19" s="121" t="n"/>
      <c r="L19" s="120" t="n"/>
      <c r="M19" s="121" t="n"/>
      <c r="N19" s="120" t="n"/>
      <c r="O19" s="121" t="n"/>
      <c r="P19" s="121" t="n"/>
      <c r="Q19" s="121" t="n"/>
      <c r="R19" s="121" t="n"/>
      <c r="S19" s="120" t="n"/>
      <c r="T19" s="121" t="n"/>
      <c r="U19" s="120" t="n"/>
      <c r="V19" s="120" t="n"/>
      <c r="W19" s="121" t="n"/>
      <c r="X19" s="121" t="n"/>
    </row>
    <row r="20" ht="68" customHeight="1">
      <c r="A20" s="119" t="inlineStr">
        <is>
          <t>text</t>
        </is>
      </c>
      <c r="B20" s="119" t="inlineStr">
        <is>
          <t>temp_search_fac</t>
        </is>
      </c>
      <c r="C20" s="122" t="inlineStr">
        <is>
          <t>Please search for your name here:</t>
        </is>
      </c>
      <c r="D20" s="122" t="inlineStr">
        <is>
          <t>To see a list of ALL teacher names, leave the search bar blank and continue to the next screen.</t>
        </is>
      </c>
      <c r="E20" s="121" t="n"/>
      <c r="F20" s="121" t="n"/>
      <c r="G20" s="120" t="n"/>
      <c r="H20" s="120" t="n"/>
      <c r="I20" s="122" t="n"/>
      <c r="J20" s="119" t="n"/>
      <c r="K20" s="121" t="n"/>
      <c r="L20" s="120" t="n"/>
      <c r="M20" s="121" t="n"/>
      <c r="N20" s="120" t="n"/>
      <c r="O20" s="121" t="n"/>
      <c r="P20" s="121" t="n"/>
      <c r="Q20" s="121" t="n"/>
      <c r="R20" s="121" t="n"/>
      <c r="S20" s="120" t="n"/>
      <c r="T20" s="121" t="n"/>
      <c r="U20" s="120" t="n"/>
      <c r="V20" s="120" t="n"/>
      <c r="W20" s="121" t="n"/>
      <c r="X20" s="121" t="n"/>
    </row>
    <row r="21" ht="34" customHeight="1">
      <c r="A21" s="119" t="inlineStr">
        <is>
          <t>select_one facilitator</t>
        </is>
      </c>
      <c r="B21" s="119" t="inlineStr">
        <is>
          <t>facilitator_id_i</t>
        </is>
      </c>
      <c r="C21" s="122" t="inlineStr">
        <is>
          <t>Please select your name:</t>
        </is>
      </c>
      <c r="D21" s="120" t="n"/>
      <c r="E21" s="121" t="n"/>
      <c r="F21" s="119" t="inlineStr">
        <is>
          <t>search('cases_facilitator_database_ph', 'contains', 'label', ${temp_search_fac}, 'mEducation', '1')</t>
        </is>
      </c>
      <c r="G21" s="120" t="n"/>
      <c r="H21" s="120" t="n"/>
      <c r="I21" s="122" t="n"/>
      <c r="J21" s="119" t="n"/>
      <c r="K21" s="119" t="inlineStr">
        <is>
          <t>yes</t>
        </is>
      </c>
      <c r="L21" s="120" t="n"/>
      <c r="M21" s="121" t="n"/>
      <c r="N21" s="120" t="n"/>
      <c r="O21" s="121" t="n"/>
      <c r="P21" s="121" t="n"/>
      <c r="Q21" s="121" t="n"/>
      <c r="R21" s="121" t="n"/>
      <c r="S21" s="120" t="n"/>
      <c r="T21" s="121" t="n"/>
      <c r="U21" s="120" t="n"/>
      <c r="V21" s="120" t="n"/>
      <c r="W21" s="121" t="n"/>
      <c r="X21" s="121" t="n"/>
    </row>
    <row r="22" ht="68" customHeight="1">
      <c r="A22" s="119" t="inlineStr">
        <is>
          <t>note</t>
        </is>
      </c>
      <c r="B22" s="119" t="inlineStr">
        <is>
          <t>note_test_fac_position</t>
        </is>
      </c>
      <c r="C22" s="122" t="inlineStr">
        <is>
          <t>DISABLE AFTER TESTING:
&lt;br&gt;
&lt;br&gt;
fac_position_i: ${fac_position_i} &lt;br&gt;&lt;br&gt;</t>
        </is>
      </c>
      <c r="D22" s="120" t="n"/>
      <c r="E22" s="121" t="n"/>
      <c r="F22" s="121" t="n"/>
      <c r="G22" s="120" t="n"/>
      <c r="H22" s="120" t="n"/>
      <c r="I22" s="122" t="n"/>
      <c r="J22" s="119" t="inlineStr">
        <is>
          <t>yes</t>
        </is>
      </c>
      <c r="K22" s="121" t="n"/>
      <c r="L22" s="120" t="n"/>
      <c r="M22" s="121" t="n"/>
      <c r="N22" s="120" t="n"/>
      <c r="O22" s="121" t="n"/>
      <c r="P22" s="121" t="n"/>
      <c r="Q22" s="121" t="n"/>
      <c r="R22" s="121" t="n"/>
      <c r="S22" s="120" t="n"/>
      <c r="T22" s="121" t="n"/>
      <c r="U22" s="120" t="n"/>
      <c r="V22" s="120" t="n"/>
      <c r="W22" s="121" t="n"/>
      <c r="X22" s="121" t="n"/>
    </row>
    <row r="23" ht="34" customHeight="1">
      <c r="A23" s="119" t="inlineStr">
        <is>
          <t>note</t>
        </is>
      </c>
      <c r="B23" s="119" t="inlineStr">
        <is>
          <t>note_volunteer</t>
        </is>
      </c>
      <c r="C23" s="122" t="inlineStr">
        <is>
          <t xml:space="preserve">You are a volunteer. Please download the implementation survey for volunteers ('Get Blank Form') in the subfolder 'Term 2 Volunteers'. </t>
        </is>
      </c>
      <c r="D23" s="120" t="n"/>
      <c r="E23" s="121" t="n"/>
      <c r="F23" s="121" t="n"/>
      <c r="G23" s="120" t="n"/>
      <c r="H23" s="120" t="n"/>
      <c r="I23" s="122" t="inlineStr">
        <is>
          <t>${fac_position_i} = 'Volunteer'</t>
        </is>
      </c>
      <c r="J23" s="119" t="n"/>
      <c r="K23" s="119" t="inlineStr">
        <is>
          <t>yes</t>
        </is>
      </c>
      <c r="L23" s="120" t="n"/>
      <c r="M23" s="121" t="n"/>
      <c r="N23" s="120" t="n"/>
      <c r="O23" s="121" t="n"/>
      <c r="P23" s="121" t="n"/>
      <c r="Q23" s="121" t="n"/>
      <c r="R23" s="121" t="n"/>
      <c r="S23" s="120" t="n"/>
      <c r="T23" s="121" t="n"/>
      <c r="U23" s="120" t="n"/>
      <c r="V23" s="120" t="n"/>
      <c r="W23" s="121" t="n"/>
      <c r="X23" s="121" t="n"/>
    </row>
    <row r="24" ht="153" customHeight="1">
      <c r="A24" s="119" t="inlineStr">
        <is>
          <t>note</t>
        </is>
      </c>
      <c r="B24" s="119" t="inlineStr">
        <is>
          <t>warning_week</t>
        </is>
      </c>
      <c r="C24" s="122" t="inlineStr">
        <is>
          <t>&lt;p&gt;&lt;span style="color: #ff0000;"&gt;&lt;strong&gt;WARNING!&lt;/strong&gt;&lt;/span&gt;&lt;br /&gt; &lt;br /&gt;&lt;span style="color: #ff0000;"&gt;&lt;/p&gt;
&lt;p&gt;&lt;span style="color: #ff0000;"&gt;Your responses do not match. You first entered &lt;u&gt;Week ${week}&lt;/u&gt;. Then, you selected &lt;u&gt;Week ${temp_confirm_week}&lt;/u&gt;.&lt;/span&gt;&lt;br /&gt; &lt;br /&gt;&lt;span style="color: #ff0000;"&gt;&lt;/p&gt;
&lt;p&gt;&lt;span style="color: #ff0000;"&gt;Please go back and select the week you are submitting data for.&lt;/span&gt;&lt;br /&gt; &lt;br /&gt;&lt;span style="color: #ff0000;"&gt;&lt;/p&gt;</t>
        </is>
      </c>
      <c r="D24" s="120" t="n"/>
      <c r="E24" s="121" t="n"/>
      <c r="F24" s="121" t="n"/>
      <c r="G24" s="120" t="n"/>
      <c r="H24" s="120" t="n"/>
      <c r="I24" s="122" t="inlineStr">
        <is>
          <t>${week} != ${temp_confirm_week}</t>
        </is>
      </c>
      <c r="J24" s="119" t="inlineStr">
        <is>
          <t>yes</t>
        </is>
      </c>
      <c r="K24" s="119" t="inlineStr">
        <is>
          <t>yes</t>
        </is>
      </c>
      <c r="L24" s="120" t="n"/>
      <c r="M24" s="121" t="n"/>
      <c r="N24" s="120" t="n"/>
      <c r="O24" s="121" t="n"/>
      <c r="P24" s="121" t="n"/>
      <c r="Q24" s="121" t="n"/>
      <c r="R24" s="121" t="n"/>
      <c r="S24" s="120" t="n"/>
      <c r="T24" s="121" t="n"/>
      <c r="U24" s="120" t="n"/>
      <c r="V24" s="120" t="n"/>
      <c r="W24" s="121" t="n"/>
      <c r="X24" s="121" t="n"/>
    </row>
    <row r="25" ht="34" customHeight="1">
      <c r="A25" s="119" t="inlineStr">
        <is>
          <t>select_one student</t>
        </is>
      </c>
      <c r="B25" s="119" t="inlineStr">
        <is>
          <t>hhid</t>
        </is>
      </c>
      <c r="C25" s="122" t="inlineStr">
        <is>
          <t>Please select the student you want to call:</t>
        </is>
      </c>
      <c r="D25" s="120" t="n"/>
      <c r="E25" s="121" t="n"/>
      <c r="F25" s="119" t="inlineStr">
        <is>
          <t>search('cases_connected_ph', 'contains', 'school_id_b', ${fac_school_id_i}, 'consent_b', '1')</t>
        </is>
      </c>
      <c r="G25" s="120" t="n"/>
      <c r="H25" s="120" t="n"/>
      <c r="I25" s="122" t="n"/>
      <c r="J25" s="119" t="n"/>
      <c r="K25" s="119" t="inlineStr">
        <is>
          <t>yes</t>
        </is>
      </c>
      <c r="L25" s="120" t="n"/>
      <c r="M25" s="121" t="n"/>
      <c r="N25" s="120" t="n"/>
      <c r="O25" s="121" t="n"/>
      <c r="P25" s="121" t="n"/>
      <c r="Q25" s="121" t="n"/>
      <c r="R25" s="121" t="n"/>
      <c r="S25" s="120" t="n"/>
      <c r="T25" s="121" t="n"/>
      <c r="U25" s="120" t="n"/>
      <c r="V25" s="120" t="n"/>
      <c r="W25" s="121" t="n"/>
      <c r="X25" s="121" t="n"/>
    </row>
    <row r="26" ht="51" customHeight="1">
      <c r="A26" s="119" t="inlineStr">
        <is>
          <t>note</t>
        </is>
      </c>
      <c r="B26" s="119" t="inlineStr">
        <is>
          <t>notready_teachers</t>
        </is>
      </c>
      <c r="C26" s="122" t="inlineStr">
        <is>
          <t xml:space="preserve">Please conduct sensitization with your term 2 students first. &lt;br&gt;&lt;br&gt;
Then check back later for an updated implementation survey by downloading the most recent version ('Get Blank Form'). </t>
        </is>
      </c>
      <c r="D26" s="120" t="n"/>
      <c r="E26" s="121" t="n"/>
      <c r="F26" s="121" t="n"/>
      <c r="G26" s="120" t="n"/>
      <c r="H26" s="120" t="n"/>
      <c r="I26" s="122" t="n"/>
      <c r="J26" s="119" t="inlineStr">
        <is>
          <t>yes</t>
        </is>
      </c>
      <c r="K26" s="119" t="inlineStr">
        <is>
          <t>yes</t>
        </is>
      </c>
      <c r="L26" s="120" t="n"/>
      <c r="M26" s="121" t="n"/>
      <c r="N26" s="120" t="n"/>
      <c r="O26" s="121" t="n"/>
      <c r="P26" s="121" t="n"/>
      <c r="Q26" s="121" t="n"/>
      <c r="R26" s="121" t="n"/>
      <c r="S26" s="120" t="n"/>
      <c r="T26" s="121" t="n"/>
      <c r="U26" s="120" t="n"/>
      <c r="V26" s="120" t="n"/>
      <c r="W26" s="121" t="n"/>
      <c r="X26" s="121" t="n"/>
    </row>
    <row r="27" ht="102" customHeight="1">
      <c r="A27" s="119" t="inlineStr">
        <is>
          <t>select_one week</t>
        </is>
      </c>
      <c r="B27" s="119" t="inlineStr">
        <is>
          <t>week</t>
        </is>
      </c>
      <c r="C27" s="122" t="inlineStr">
        <is>
          <t>What week are you submitting data for?  &lt;b&gt;Reminder:&lt;/b&gt;
&lt;br&gt;&lt;br&gt;
Last week tutored: Week ${last_week_tutored} &lt;br&gt;
Suggestion for week choice: Week ${suggest_week} &lt;br&gt;</t>
        </is>
      </c>
      <c r="D27" s="120" t="n"/>
      <c r="E27" s="121" t="n"/>
      <c r="F27" s="121" t="n"/>
      <c r="G27" s="120" t="n"/>
      <c r="H27" s="120" t="n"/>
      <c r="I27" s="122" t="n"/>
      <c r="J27" s="119" t="n"/>
      <c r="K27" s="119" t="inlineStr">
        <is>
          <t>yes</t>
        </is>
      </c>
      <c r="L27" s="120" t="n"/>
      <c r="M27" s="121" t="n"/>
      <c r="N27" s="120" t="n"/>
      <c r="O27" s="121" t="n"/>
      <c r="P27" s="121" t="n"/>
      <c r="Q27" s="121" t="n"/>
      <c r="R27" s="121" t="n"/>
      <c r="S27" s="120" t="n"/>
      <c r="T27" s="121" t="n"/>
      <c r="U27" s="120" t="n"/>
      <c r="V27" s="120" t="n"/>
      <c r="W27" s="121" t="n"/>
      <c r="X27" s="121" t="n"/>
    </row>
    <row r="28" ht="17" customHeight="1">
      <c r="A28" s="119" t="inlineStr">
        <is>
          <t>select_one week</t>
        </is>
      </c>
      <c r="B28" s="119" t="inlineStr">
        <is>
          <t>temp_confirm_week</t>
        </is>
      </c>
      <c r="C28" s="122" t="inlineStr">
        <is>
          <t>Please re-enter the week you are submitting data for:</t>
        </is>
      </c>
      <c r="D28" s="120" t="n"/>
      <c r="E28" s="121" t="n"/>
      <c r="F28" s="121" t="n"/>
      <c r="G28" s="120" t="n"/>
      <c r="H28" s="120" t="n"/>
      <c r="I28" s="122" t="n"/>
      <c r="J28" s="119" t="inlineStr">
        <is>
          <t>yes</t>
        </is>
      </c>
      <c r="K28" s="119" t="inlineStr">
        <is>
          <t>yes</t>
        </is>
      </c>
      <c r="L28" s="120" t="n"/>
      <c r="M28" s="121" t="n"/>
      <c r="N28" s="120" t="n"/>
      <c r="O28" s="121" t="n"/>
      <c r="P28" s="121" t="n"/>
      <c r="Q28" s="121" t="n"/>
      <c r="R28" s="121" t="n"/>
      <c r="S28" s="120" t="n"/>
      <c r="T28" s="121" t="n"/>
      <c r="U28" s="120" t="n"/>
      <c r="V28" s="120" t="n"/>
      <c r="W28" s="121" t="n"/>
      <c r="X28" s="121" t="n"/>
    </row>
    <row r="29">
      <c r="A29" s="121" t="n"/>
      <c r="B29" s="121" t="n"/>
      <c r="C29" s="120" t="n"/>
      <c r="D29" s="120" t="n"/>
      <c r="E29" s="121" t="n"/>
      <c r="F29" s="121" t="n"/>
      <c r="G29" s="120" t="n"/>
      <c r="H29" s="120" t="n"/>
      <c r="I29" s="120" t="n"/>
      <c r="J29" s="121" t="n"/>
      <c r="K29" s="121" t="n"/>
      <c r="L29" s="120" t="n"/>
      <c r="M29" s="121" t="n"/>
      <c r="N29" s="120" t="n"/>
      <c r="O29" s="121" t="n"/>
      <c r="P29" s="121" t="n"/>
      <c r="Q29" s="121" t="n"/>
      <c r="R29" s="121" t="n"/>
      <c r="S29" s="120" t="n"/>
      <c r="T29" s="121" t="n"/>
      <c r="U29" s="120" t="n"/>
      <c r="V29" s="120" t="n"/>
      <c r="W29" s="121" t="n"/>
      <c r="X29" s="121" t="n"/>
    </row>
    <row r="30" ht="85" customHeight="1">
      <c r="A30" s="119" t="inlineStr">
        <is>
          <t>note</t>
        </is>
      </c>
      <c r="B30" s="119" t="inlineStr">
        <is>
          <t>warning_notlevelled</t>
        </is>
      </c>
      <c r="C30" s="124" t="inlineStr">
        <is>
          <t>&lt;p&gt;&lt;span style="color: #ff0000;"&gt;&lt;strong&gt;WARNING!&lt;/strong&gt;&lt;/span&gt;&lt;br /&gt; &lt;br /&gt;&lt;span style="color: #ff0000;"&gt;&lt;/p&gt;
&lt;p&gt;&lt;span style="color: #ff0000;"&gt;The student has not been assessed/levelled. Please fill out and submit the &lt;u&gt;sensitization form&lt;/u&gt; first.&lt;/span&gt;&lt;br /&gt; &lt;br /&gt;&lt;span style="color: #ff0000;"&gt;&lt;/p&gt;</t>
        </is>
      </c>
      <c r="D30" s="120" t="n"/>
      <c r="E30" s="121" t="n"/>
      <c r="F30" s="121" t="n"/>
      <c r="G30" s="120" t="n"/>
      <c r="H30" s="120" t="n"/>
      <c r="I30" s="122" t="inlineStr">
        <is>
          <t>${stud_level_num_b} = null</t>
        </is>
      </c>
      <c r="J30" s="119" t="n"/>
      <c r="K30" s="119" t="inlineStr">
        <is>
          <t>yes</t>
        </is>
      </c>
      <c r="L30" s="120" t="n"/>
      <c r="M30" s="121" t="n"/>
      <c r="N30" s="120" t="n"/>
      <c r="O30" s="121" t="n"/>
      <c r="P30" s="121" t="n"/>
      <c r="Q30" s="121" t="n"/>
      <c r="R30" s="121" t="n"/>
      <c r="S30" s="120" t="n"/>
      <c r="T30" s="121" t="n"/>
      <c r="U30" s="120" t="n"/>
      <c r="V30" s="120" t="n"/>
      <c r="W30" s="121" t="n"/>
      <c r="X30" s="121" t="n"/>
    </row>
    <row r="31" ht="85" customHeight="1">
      <c r="A31" s="119" t="inlineStr">
        <is>
          <t>note</t>
        </is>
      </c>
      <c r="B31" s="119" t="inlineStr">
        <is>
          <t>warning_prev_tutored_w1</t>
        </is>
      </c>
      <c r="C31" s="124" t="inlineStr">
        <is>
          <t>&lt;p&gt;&lt;span style="color: #ff0000;"&gt;&lt;strong&gt;WARNING!&lt;/strong&gt;&lt;/span&gt;&lt;br /&gt; &lt;br /&gt;&lt;span style="color: #ff0000;"&gt;&lt;/p&gt;
&lt;p&gt;&lt;span style="color: #ff0000;"&gt;The student was already tutored this week.&lt;/span&gt;&lt;br /&gt; &lt;br /&gt;&lt;span style="color: #ff0000;"&gt;&lt;/p&gt;</t>
        </is>
      </c>
      <c r="D31" s="120" t="n"/>
      <c r="E31" s="121" t="n"/>
      <c r="F31" s="121" t="n"/>
      <c r="G31" s="120" t="n"/>
      <c r="H31" s="120" t="n"/>
      <c r="I31" s="122" t="inlineStr">
        <is>
          <t>${tutored_w1_prev} = 1 and ${week}=1</t>
        </is>
      </c>
      <c r="J31" s="119" t="n"/>
      <c r="K31" s="119" t="inlineStr">
        <is>
          <t>yes</t>
        </is>
      </c>
      <c r="L31" s="120" t="n"/>
      <c r="M31" s="121" t="n"/>
      <c r="N31" s="120" t="n"/>
      <c r="O31" s="121" t="n"/>
      <c r="P31" s="121" t="n"/>
      <c r="Q31" s="121" t="n"/>
      <c r="R31" s="121" t="n"/>
      <c r="S31" s="120" t="n"/>
      <c r="T31" s="121" t="n"/>
      <c r="U31" s="120" t="n"/>
      <c r="V31" s="120" t="n"/>
      <c r="W31" s="121" t="n"/>
      <c r="X31" s="121" t="n"/>
    </row>
    <row r="32" ht="85" customHeight="1">
      <c r="A32" s="119" t="inlineStr">
        <is>
          <t>note</t>
        </is>
      </c>
      <c r="B32" s="119" t="inlineStr">
        <is>
          <t>warning_prev_tutored_w2</t>
        </is>
      </c>
      <c r="C32" s="124" t="inlineStr">
        <is>
          <t>&lt;p&gt;&lt;span style="color: #ff0000;"&gt;&lt;strong&gt;WARNING!&lt;/strong&gt;&lt;/span&gt;&lt;br /&gt; &lt;br /&gt;&lt;span style="color: #ff0000;"&gt;&lt;/p&gt;
&lt;p&gt;&lt;span style="color: #ff0000;"&gt;The student was already tutored this week.&lt;/span&gt;&lt;br /&gt; &lt;br /&gt;&lt;span style="color: #ff0000;"&gt;&lt;/p&gt;</t>
        </is>
      </c>
      <c r="D32" s="120" t="n"/>
      <c r="E32" s="121" t="n"/>
      <c r="F32" s="121" t="n"/>
      <c r="G32" s="120" t="n"/>
      <c r="H32" s="120" t="n"/>
      <c r="I32" s="122" t="inlineStr">
        <is>
          <t>${tutored_w2_prev} = 1 and ${week}=2</t>
        </is>
      </c>
      <c r="J32" s="119" t="n"/>
      <c r="K32" s="119" t="inlineStr">
        <is>
          <t>yes</t>
        </is>
      </c>
      <c r="L32" s="120" t="n"/>
      <c r="M32" s="121" t="n"/>
      <c r="N32" s="120" t="n"/>
      <c r="O32" s="121" t="n"/>
      <c r="P32" s="121" t="n"/>
      <c r="Q32" s="121" t="n"/>
      <c r="R32" s="121" t="n"/>
      <c r="S32" s="120" t="n"/>
      <c r="T32" s="121" t="n"/>
      <c r="U32" s="120" t="n"/>
      <c r="V32" s="120" t="n"/>
      <c r="W32" s="121" t="n"/>
      <c r="X32" s="121" t="n"/>
    </row>
    <row r="33" ht="85" customHeight="1">
      <c r="A33" s="119" t="inlineStr">
        <is>
          <t>note</t>
        </is>
      </c>
      <c r="B33" s="119" t="inlineStr">
        <is>
          <t>warning_prev_tutored_w3</t>
        </is>
      </c>
      <c r="C33" s="124" t="inlineStr">
        <is>
          <t>&lt;p&gt;&lt;span style="color: #ff0000;"&gt;&lt;strong&gt;WARNING!&lt;/strong&gt;&lt;/span&gt;&lt;br /&gt; &lt;br /&gt;&lt;span style="color: #ff0000;"&gt;&lt;/p&gt;
&lt;p&gt;&lt;span style="color: #ff0000;"&gt;The student was already tutored this week.&lt;/span&gt;&lt;br /&gt; &lt;br /&gt;&lt;span style="color: #ff0000;"&gt;&lt;/p&gt;</t>
        </is>
      </c>
      <c r="D33" s="120" t="n"/>
      <c r="E33" s="121" t="n"/>
      <c r="F33" s="121" t="n"/>
      <c r="G33" s="120" t="n"/>
      <c r="H33" s="120" t="n"/>
      <c r="I33" s="122" t="inlineStr">
        <is>
          <t>${tutored_w3_prev} = 1 and ${week}=3</t>
        </is>
      </c>
      <c r="J33" s="119" t="n"/>
      <c r="K33" s="119" t="inlineStr">
        <is>
          <t>yes</t>
        </is>
      </c>
      <c r="L33" s="120" t="n"/>
      <c r="M33" s="121" t="n"/>
      <c r="N33" s="120" t="n"/>
      <c r="O33" s="121" t="n"/>
      <c r="P33" s="121" t="n"/>
      <c r="Q33" s="121" t="n"/>
      <c r="R33" s="121" t="n"/>
      <c r="S33" s="120" t="n"/>
      <c r="T33" s="121" t="n"/>
      <c r="U33" s="120" t="n"/>
      <c r="V33" s="120" t="n"/>
      <c r="W33" s="121" t="n"/>
      <c r="X33" s="121" t="n"/>
    </row>
    <row r="34" ht="85" customHeight="1">
      <c r="A34" s="119" t="inlineStr">
        <is>
          <t>note</t>
        </is>
      </c>
      <c r="B34" s="119" t="inlineStr">
        <is>
          <t>warning_prev_tutored_w4</t>
        </is>
      </c>
      <c r="C34" s="124" t="inlineStr">
        <is>
          <t>&lt;p&gt;&lt;span style="color: #ff0000;"&gt;&lt;strong&gt;WARNING!&lt;/strong&gt;&lt;/span&gt;&lt;br /&gt; &lt;br /&gt;&lt;span style="color: #ff0000;"&gt;&lt;/p&gt;
&lt;p&gt;&lt;span style="color: #ff0000;"&gt;The student was already tutored this week.&lt;/span&gt;&lt;br /&gt; &lt;br /&gt;&lt;span style="color: #ff0000;"&gt;&lt;/p&gt;</t>
        </is>
      </c>
      <c r="D34" s="120" t="n"/>
      <c r="E34" s="121" t="n"/>
      <c r="F34" s="121" t="n"/>
      <c r="G34" s="120" t="n"/>
      <c r="H34" s="120" t="n"/>
      <c r="I34" s="122" t="inlineStr">
        <is>
          <t>${tutored_w4_prev} = 1 and ${week}=4</t>
        </is>
      </c>
      <c r="J34" s="119" t="n"/>
      <c r="K34" s="119" t="inlineStr">
        <is>
          <t>yes</t>
        </is>
      </c>
      <c r="L34" s="120" t="n"/>
      <c r="M34" s="121" t="n"/>
      <c r="N34" s="120" t="n"/>
      <c r="O34" s="121" t="n"/>
      <c r="P34" s="121" t="n"/>
      <c r="Q34" s="121" t="n"/>
      <c r="R34" s="121" t="n"/>
      <c r="S34" s="120" t="n"/>
      <c r="T34" s="121" t="n"/>
      <c r="U34" s="120" t="n"/>
      <c r="V34" s="120" t="n"/>
      <c r="W34" s="121" t="n"/>
      <c r="X34" s="121" t="n"/>
    </row>
    <row r="35" ht="85" customHeight="1">
      <c r="A35" s="119" t="inlineStr">
        <is>
          <t>note</t>
        </is>
      </c>
      <c r="B35" s="119" t="inlineStr">
        <is>
          <t>warning_prev_tutored_w5</t>
        </is>
      </c>
      <c r="C35" s="124" t="inlineStr">
        <is>
          <t>&lt;p&gt;&lt;span style="color: #ff0000;"&gt;&lt;strong&gt;WARNING!&lt;/strong&gt;&lt;/span&gt;&lt;br /&gt; &lt;br /&gt;&lt;span style="color: #ff0000;"&gt;&lt;/p&gt;
&lt;p&gt;&lt;span style="color: #ff0000;"&gt;The student was already tutored this week.&lt;/span&gt;&lt;br /&gt; &lt;br /&gt;&lt;span style="color: #ff0000;"&gt;&lt;/p&gt;</t>
        </is>
      </c>
      <c r="D35" s="120" t="n"/>
      <c r="E35" s="121" t="n"/>
      <c r="F35" s="121" t="n"/>
      <c r="G35" s="120" t="n"/>
      <c r="H35" s="120" t="n"/>
      <c r="I35" s="122" t="inlineStr">
        <is>
          <t>${tutored_w5_prev} = 1  and ${week}=5</t>
        </is>
      </c>
      <c r="J35" s="119" t="n"/>
      <c r="K35" s="119" t="inlineStr">
        <is>
          <t>yes</t>
        </is>
      </c>
      <c r="L35" s="120" t="n"/>
      <c r="M35" s="121" t="n"/>
      <c r="N35" s="120" t="n"/>
      <c r="O35" s="121" t="n"/>
      <c r="P35" s="121" t="n"/>
      <c r="Q35" s="121" t="n"/>
      <c r="R35" s="121" t="n"/>
      <c r="S35" s="120" t="n"/>
      <c r="T35" s="121" t="n"/>
      <c r="U35" s="120" t="n"/>
      <c r="V35" s="120" t="n"/>
      <c r="W35" s="121" t="n"/>
      <c r="X35" s="121" t="n"/>
    </row>
    <row r="36" ht="85" customHeight="1">
      <c r="A36" s="119" t="inlineStr">
        <is>
          <t>note</t>
        </is>
      </c>
      <c r="B36" s="119" t="inlineStr">
        <is>
          <t>warning_prev_tutored_w6</t>
        </is>
      </c>
      <c r="C36" s="124" t="inlineStr">
        <is>
          <t>&lt;p&gt;&lt;span style="color: #ff0000;"&gt;&lt;strong&gt;WARNING!&lt;/strong&gt;&lt;/span&gt;&lt;br /&gt; &lt;br /&gt;&lt;span style="color: #ff0000;"&gt;&lt;/p&gt;
&lt;p&gt;&lt;span style="color: #ff0000;"&gt;The student was already tutored this week.&lt;/span&gt;&lt;br /&gt; &lt;br /&gt;&lt;span style="color: #ff0000;"&gt;&lt;/p&gt;</t>
        </is>
      </c>
      <c r="D36" s="120" t="n"/>
      <c r="E36" s="121" t="n"/>
      <c r="F36" s="121" t="n"/>
      <c r="G36" s="120" t="n"/>
      <c r="H36" s="120" t="n"/>
      <c r="I36" s="122" t="inlineStr">
        <is>
          <t>${tutored_w6_prev} = 1 and  ${week}=6</t>
        </is>
      </c>
      <c r="J36" s="119" t="n"/>
      <c r="K36" s="119" t="inlineStr">
        <is>
          <t>yes</t>
        </is>
      </c>
      <c r="L36" s="120" t="n"/>
      <c r="M36" s="121" t="n"/>
      <c r="N36" s="120" t="n"/>
      <c r="O36" s="121" t="n"/>
      <c r="P36" s="121" t="n"/>
      <c r="Q36" s="121" t="n"/>
      <c r="R36" s="121" t="n"/>
      <c r="S36" s="120" t="n"/>
      <c r="T36" s="121" t="n"/>
      <c r="U36" s="120" t="n"/>
      <c r="V36" s="120" t="n"/>
      <c r="W36" s="121" t="n"/>
      <c r="X36" s="121" t="n"/>
    </row>
    <row r="37" ht="85" customHeight="1">
      <c r="A37" s="119" t="inlineStr">
        <is>
          <t>note</t>
        </is>
      </c>
      <c r="B37" s="119" t="inlineStr">
        <is>
          <t>warning_prev_tutored_w7</t>
        </is>
      </c>
      <c r="C37" s="124" t="inlineStr">
        <is>
          <t>&lt;p&gt;&lt;span style="color: #ff0000;"&gt;&lt;strong&gt;WARNING!&lt;/strong&gt;&lt;/span&gt;&lt;br /&gt; &lt;br /&gt;&lt;span style="color: #ff0000;"&gt;&lt;/p&gt;
&lt;p&gt;&lt;span style="color: #ff0000;"&gt;The student was already tutored this week.&lt;/span&gt;&lt;br /&gt; &lt;br /&gt;&lt;span style="color: #ff0000;"&gt;&lt;/p&gt;</t>
        </is>
      </c>
      <c r="D37" s="120" t="n"/>
      <c r="E37" s="121" t="n"/>
      <c r="F37" s="121" t="n"/>
      <c r="G37" s="120" t="n"/>
      <c r="H37" s="120" t="n"/>
      <c r="I37" s="122" t="inlineStr">
        <is>
          <t>${tutored_w7_prev} = 1 and ${week}=7</t>
        </is>
      </c>
      <c r="J37" s="119" t="n"/>
      <c r="K37" s="119" t="inlineStr">
        <is>
          <t>yes</t>
        </is>
      </c>
      <c r="L37" s="120" t="n"/>
      <c r="M37" s="121" t="n"/>
      <c r="N37" s="120" t="n"/>
      <c r="O37" s="121" t="n"/>
      <c r="P37" s="121" t="n"/>
      <c r="Q37" s="121" t="n"/>
      <c r="R37" s="121" t="n"/>
      <c r="S37" s="120" t="n"/>
      <c r="T37" s="121" t="n"/>
      <c r="U37" s="120" t="n"/>
      <c r="V37" s="120" t="n"/>
      <c r="W37" s="121" t="n"/>
      <c r="X37" s="121" t="n"/>
    </row>
    <row r="38" ht="85" customHeight="1">
      <c r="A38" s="119" t="inlineStr">
        <is>
          <t>note</t>
        </is>
      </c>
      <c r="B38" s="119" t="inlineStr">
        <is>
          <t>warning_prev_tutored_w8</t>
        </is>
      </c>
      <c r="C38" s="124" t="inlineStr">
        <is>
          <t>&lt;p&gt;&lt;span style="color: #ff0000;"&gt;&lt;strong&gt;WARNING!&lt;/strong&gt;&lt;/span&gt;&lt;br /&gt; &lt;br /&gt;&lt;span style="color: #ff0000;"&gt;&lt;/p&gt;
&lt;p&gt;&lt;span style="color: #ff0000;"&gt;The student was already tutored this week.&lt;/span&gt;&lt;br /&gt; &lt;br /&gt;&lt;span style="color: #ff0000;"&gt;&lt;/p&gt;</t>
        </is>
      </c>
      <c r="D38" s="120" t="n"/>
      <c r="E38" s="121" t="n"/>
      <c r="F38" s="121" t="n"/>
      <c r="G38" s="120" t="n"/>
      <c r="H38" s="120" t="n"/>
      <c r="I38" s="122" t="inlineStr">
        <is>
          <t>${tutored_w8_prev} = 1 and ${week}=8</t>
        </is>
      </c>
      <c r="J38" s="119" t="n"/>
      <c r="K38" s="119" t="inlineStr">
        <is>
          <t>yes</t>
        </is>
      </c>
      <c r="L38" s="120" t="n"/>
      <c r="M38" s="121" t="n"/>
      <c r="N38" s="120" t="n"/>
      <c r="O38" s="121" t="n"/>
      <c r="P38" s="121" t="n"/>
      <c r="Q38" s="121" t="n"/>
      <c r="R38" s="121" t="n"/>
      <c r="S38" s="120" t="n"/>
      <c r="T38" s="121" t="n"/>
      <c r="U38" s="120" t="n"/>
      <c r="V38" s="120" t="n"/>
      <c r="W38" s="121" t="n"/>
      <c r="X38" s="121" t="n"/>
    </row>
    <row r="39" ht="102" customHeight="1">
      <c r="A39" s="119" t="inlineStr">
        <is>
          <t>note</t>
        </is>
      </c>
      <c r="B39" s="119" t="inlineStr">
        <is>
          <t>warning_wrongno</t>
        </is>
      </c>
      <c r="C39" s="124" t="inlineStr">
        <is>
          <t>&lt;p&gt;&lt;span style="color: #ff0000;"&gt;&lt;strong&gt;WARNING!&lt;/strong&gt;&lt;/span&gt;&lt;br /&gt; &lt;br /&gt;&lt;span style="color: #ff0000;"&gt;&lt;/p&gt;
&lt;p&gt;&lt;span style="color: #ff0000;"&gt;You reported that the only available phone number to contact the student is wrong. Please select a different household to call.&lt;/span&gt;&lt;br /&gt; &lt;br /&gt;&lt;span style="color: #ff0000;"&gt;&lt;/p&gt;</t>
        </is>
      </c>
      <c r="D39" s="120" t="n"/>
      <c r="E39" s="121" t="n"/>
      <c r="F39" s="121" t="n"/>
      <c r="G39" s="120" t="n"/>
      <c r="H39" s="120" t="n"/>
      <c r="I39" s="122" t="inlineStr">
        <is>
          <t>${wrong_no_prev} = 1</t>
        </is>
      </c>
      <c r="J39" s="119" t="n"/>
      <c r="K39" s="119" t="inlineStr">
        <is>
          <t>yes</t>
        </is>
      </c>
      <c r="L39" s="120" t="n"/>
      <c r="M39" s="121" t="n"/>
      <c r="N39" s="120" t="n"/>
      <c r="O39" s="121" t="n"/>
      <c r="P39" s="121" t="n"/>
      <c r="Q39" s="121" t="n"/>
      <c r="R39" s="121" t="n"/>
      <c r="S39" s="120" t="n"/>
      <c r="T39" s="121" t="n"/>
      <c r="U39" s="120" t="n"/>
      <c r="V39" s="120" t="n"/>
      <c r="W39" s="121" t="n"/>
      <c r="X39" s="121" t="n"/>
    </row>
    <row r="40" ht="17" customHeight="1">
      <c r="A40" s="119" t="inlineStr">
        <is>
          <t>select_one reason</t>
        </is>
      </c>
      <c r="B40" s="119" t="inlineStr">
        <is>
          <t>reason_week_not_suggested</t>
        </is>
      </c>
      <c r="C40" s="122" t="inlineStr">
        <is>
          <t>Can you explain why you did not choose to enter data for Week ${suggest_week} as suggested?</t>
        </is>
      </c>
      <c r="D40" s="120" t="n"/>
      <c r="E40" s="121" t="n"/>
      <c r="F40" s="121" t="n"/>
      <c r="G40" s="120" t="n"/>
      <c r="H40" s="120" t="n"/>
      <c r="I40" s="122" t="inlineStr">
        <is>
          <t>${week}!=${suggest_week}</t>
        </is>
      </c>
      <c r="J40" s="119" t="n"/>
      <c r="K40" s="119" t="inlineStr">
        <is>
          <t>yes</t>
        </is>
      </c>
      <c r="L40" s="120" t="n"/>
      <c r="M40" s="121" t="n"/>
      <c r="N40" s="120" t="n"/>
      <c r="O40" s="121" t="n"/>
      <c r="P40" s="121" t="n"/>
      <c r="Q40" s="121" t="n"/>
      <c r="R40" s="121" t="n"/>
      <c r="S40" s="120" t="n"/>
      <c r="T40" s="121" t="n"/>
      <c r="U40" s="120" t="n"/>
      <c r="V40" s="120" t="n"/>
      <c r="W40" s="121" t="n"/>
      <c r="X40" s="121" t="n"/>
    </row>
    <row r="41" ht="17" customHeight="1">
      <c r="A41" s="119" t="inlineStr">
        <is>
          <t>note</t>
        </is>
      </c>
      <c r="B41" s="119" t="inlineStr">
        <is>
          <t>reselect_week</t>
        </is>
      </c>
      <c r="C41" s="122" t="inlineStr">
        <is>
          <t>Please go back and select the suggested week</t>
        </is>
      </c>
      <c r="D41" s="120" t="n"/>
      <c r="E41" s="121" t="n"/>
      <c r="F41" s="121" t="n"/>
      <c r="G41" s="120" t="n"/>
      <c r="H41" s="120" t="n"/>
      <c r="I41" s="122" t="inlineStr">
        <is>
          <t>${reason_week_not_suggested}=2</t>
        </is>
      </c>
      <c r="J41" s="119" t="n"/>
      <c r="K41" s="119" t="inlineStr">
        <is>
          <t>yes</t>
        </is>
      </c>
      <c r="L41" s="120" t="n"/>
      <c r="M41" s="121" t="n"/>
      <c r="N41" s="120" t="n"/>
      <c r="O41" s="121" t="n"/>
      <c r="P41" s="121" t="n"/>
      <c r="Q41" s="121" t="n"/>
      <c r="R41" s="121" t="n"/>
      <c r="S41" s="120" t="n"/>
      <c r="T41" s="121" t="n"/>
      <c r="U41" s="120" t="n"/>
      <c r="V41" s="120" t="n"/>
      <c r="W41" s="121" t="n"/>
      <c r="X41" s="121" t="n"/>
    </row>
    <row r="42">
      <c r="A42" s="119" t="inlineStr">
        <is>
          <t>end group</t>
        </is>
      </c>
      <c r="B42" s="119" t="inlineStr">
        <is>
          <t>identification</t>
        </is>
      </c>
      <c r="C42" s="122" t="n"/>
      <c r="D42" s="120" t="n"/>
      <c r="E42" s="121" t="n"/>
      <c r="F42" s="121" t="n"/>
      <c r="G42" s="120" t="n"/>
      <c r="H42" s="120" t="n"/>
      <c r="I42" s="122" t="n"/>
      <c r="J42" s="119" t="n"/>
      <c r="K42" s="121" t="n"/>
      <c r="L42" s="120" t="n"/>
      <c r="M42" s="121" t="n"/>
      <c r="N42" s="120" t="n"/>
      <c r="O42" s="121" t="n"/>
      <c r="P42" s="121" t="n"/>
      <c r="Q42" s="121" t="n"/>
      <c r="R42" s="121" t="n"/>
      <c r="S42" s="120" t="n"/>
      <c r="T42" s="121" t="n"/>
      <c r="U42" s="120" t="n"/>
      <c r="V42" s="120" t="n"/>
      <c r="W42" s="121" t="n"/>
      <c r="X42" s="121" t="n"/>
    </row>
    <row r="43">
      <c r="A43" s="121" t="n"/>
      <c r="B43" s="121" t="n"/>
      <c r="C43" s="120" t="n"/>
      <c r="D43" s="120" t="n"/>
      <c r="E43" s="121" t="n"/>
      <c r="F43" s="119" t="n"/>
      <c r="G43" s="120" t="n"/>
      <c r="H43" s="120" t="n"/>
      <c r="I43" s="122" t="n"/>
      <c r="J43" s="119" t="n"/>
      <c r="K43" s="121" t="n"/>
      <c r="L43" s="120" t="n"/>
      <c r="M43" s="121" t="n"/>
      <c r="N43" s="120" t="n"/>
      <c r="O43" s="121" t="n"/>
      <c r="P43" s="121" t="n"/>
      <c r="Q43" s="121" t="n"/>
      <c r="R43" s="121" t="n"/>
      <c r="S43" s="120" t="n"/>
      <c r="T43" s="121" t="n"/>
      <c r="U43" s="120" t="n"/>
      <c r="V43" s="120" t="n"/>
      <c r="W43" s="121" t="n"/>
      <c r="X43" s="121" t="n"/>
    </row>
    <row r="44" ht="17" customHeight="1">
      <c r="A44" s="119" t="inlineStr">
        <is>
          <t>calculate</t>
        </is>
      </c>
      <c r="B44" s="119" t="inlineStr">
        <is>
          <t>facilitator_i</t>
        </is>
      </c>
      <c r="C44" s="122" t="inlineStr">
        <is>
          <t>Pulls the name of the facilitator/teacher from the facilitator database</t>
        </is>
      </c>
      <c r="D44" s="120" t="n"/>
      <c r="E44" s="121" t="n"/>
      <c r="F44" s="121" t="n"/>
      <c r="G44" s="120" t="n"/>
      <c r="H44" s="120" t="n"/>
      <c r="I44" s="122" t="n"/>
      <c r="J44" s="119" t="n"/>
      <c r="K44" s="121" t="n"/>
      <c r="L44" s="120" t="n"/>
      <c r="M44" s="121" t="n"/>
      <c r="N44" s="122" t="inlineStr">
        <is>
          <t>pulldata('cases_facilitator_database_ph', 'label', 'id', ${facilitator_id_i})</t>
        </is>
      </c>
      <c r="O44" s="121" t="n"/>
      <c r="P44" s="121" t="n"/>
      <c r="Q44" s="121" t="n"/>
      <c r="R44" s="121" t="n"/>
      <c r="S44" s="120" t="n"/>
      <c r="T44" s="121" t="n"/>
      <c r="U44" s="120" t="n"/>
      <c r="V44" s="120" t="n"/>
      <c r="W44" s="121" t="n"/>
      <c r="X44" s="121" t="n"/>
    </row>
    <row r="45" ht="17" customHeight="1">
      <c r="A45" s="119" t="inlineStr">
        <is>
          <t>calculate</t>
        </is>
      </c>
      <c r="B45" s="119" t="inlineStr">
        <is>
          <t>fac_natl_id_i</t>
        </is>
      </c>
      <c r="C45" s="122" t="inlineStr">
        <is>
          <t>Pulls the national/employee ID of the facilitator/teacher from the facilitator database</t>
        </is>
      </c>
      <c r="D45" s="120" t="n"/>
      <c r="E45" s="121" t="n"/>
      <c r="F45" s="121" t="n"/>
      <c r="G45" s="120" t="n"/>
      <c r="H45" s="120" t="n"/>
      <c r="I45" s="122" t="n"/>
      <c r="J45" s="119" t="n"/>
      <c r="K45" s="121" t="n"/>
      <c r="L45" s="120" t="n"/>
      <c r="M45" s="121" t="n"/>
      <c r="N45" s="122" t="inlineStr">
        <is>
          <t>pulldata('cases_facilitator_database_ph', 'fac_EMIS', 'id', ${facilitator_id_i})</t>
        </is>
      </c>
      <c r="O45" s="121" t="n"/>
      <c r="P45" s="121" t="n"/>
      <c r="Q45" s="121" t="n"/>
      <c r="R45" s="121" t="n"/>
      <c r="S45" s="120" t="n"/>
      <c r="T45" s="121" t="n"/>
      <c r="U45" s="120" t="n"/>
      <c r="V45" s="120" t="n"/>
      <c r="W45" s="121" t="n"/>
      <c r="X45" s="121" t="n"/>
    </row>
    <row r="46" ht="17" customHeight="1">
      <c r="A46" s="119" t="inlineStr">
        <is>
          <t>calculate</t>
        </is>
      </c>
      <c r="B46" s="119" t="inlineStr">
        <is>
          <t>fac_school_i</t>
        </is>
      </c>
      <c r="C46" s="122" t="inlineStr">
        <is>
          <t>Pulls the name of the school from the facilitator database</t>
        </is>
      </c>
      <c r="D46" s="120" t="n"/>
      <c r="E46" s="121" t="n"/>
      <c r="F46" s="121" t="n"/>
      <c r="G46" s="120" t="n"/>
      <c r="H46" s="120" t="n"/>
      <c r="I46" s="122" t="n"/>
      <c r="J46" s="119" t="n"/>
      <c r="K46" s="121" t="n"/>
      <c r="L46" s="120" t="n"/>
      <c r="M46" s="121" t="n"/>
      <c r="N46" s="122" t="inlineStr">
        <is>
          <t>pulldata('cases_facilitator_database_ph', 'program_school_name', 'id', ${facilitator_id_i})</t>
        </is>
      </c>
      <c r="O46" s="121" t="n"/>
      <c r="P46" s="121" t="n"/>
      <c r="Q46" s="121" t="n"/>
      <c r="R46" s="121" t="n"/>
      <c r="S46" s="120" t="n"/>
      <c r="T46" s="121" t="n"/>
      <c r="U46" s="120" t="n"/>
      <c r="V46" s="120" t="n"/>
      <c r="W46" s="121" t="n"/>
      <c r="X46" s="121" t="n"/>
    </row>
    <row r="47" ht="17" customHeight="1">
      <c r="A47" s="119" t="inlineStr">
        <is>
          <t>calculate</t>
        </is>
      </c>
      <c r="B47" s="119" t="inlineStr">
        <is>
          <t>fac_school_id_i</t>
        </is>
      </c>
      <c r="C47" s="122" t="inlineStr">
        <is>
          <t>Pulls the school ID from the facilitator database</t>
        </is>
      </c>
      <c r="D47" s="120" t="n"/>
      <c r="E47" s="121" t="n"/>
      <c r="F47" s="121" t="n"/>
      <c r="G47" s="120" t="n"/>
      <c r="H47" s="120" t="n"/>
      <c r="I47" s="122" t="n"/>
      <c r="J47" s="119" t="n"/>
      <c r="K47" s="121" t="n"/>
      <c r="L47" s="120" t="n"/>
      <c r="M47" s="121" t="n"/>
      <c r="N47" s="122" t="inlineStr">
        <is>
          <t>pulldata('cases_facilitator_database_ph', 'program_school_id', 'id', ${facilitator_id_i})</t>
        </is>
      </c>
      <c r="O47" s="121" t="n"/>
      <c r="P47" s="121" t="n"/>
      <c r="Q47" s="121" t="n"/>
      <c r="R47" s="121" t="n"/>
      <c r="S47" s="120" t="n"/>
      <c r="T47" s="121" t="n"/>
      <c r="U47" s="120" t="n"/>
      <c r="V47" s="120" t="n"/>
      <c r="W47" s="121" t="n"/>
      <c r="X47" s="121" t="n"/>
    </row>
    <row r="48" ht="17" customHeight="1">
      <c r="A48" s="119" t="inlineStr">
        <is>
          <t>calculate</t>
        </is>
      </c>
      <c r="B48" s="119" t="inlineStr">
        <is>
          <t>fac_region_i</t>
        </is>
      </c>
      <c r="C48" s="122" t="inlineStr">
        <is>
          <t>Pulls the name of the region from the facilitator database</t>
        </is>
      </c>
      <c r="D48" s="120" t="n"/>
      <c r="E48" s="121" t="n"/>
      <c r="F48" s="121" t="n"/>
      <c r="G48" s="120" t="n"/>
      <c r="H48" s="120" t="n"/>
      <c r="I48" s="122" t="n"/>
      <c r="J48" s="119" t="n"/>
      <c r="K48" s="121" t="n"/>
      <c r="L48" s="120" t="n"/>
      <c r="M48" s="121" t="n"/>
      <c r="N48" s="122" t="inlineStr">
        <is>
          <t>pulldata('cases_facilitator_database_ph', 'program_region', 'id', ${facilitator_id_i})</t>
        </is>
      </c>
      <c r="O48" s="121" t="n"/>
      <c r="P48" s="121" t="n"/>
      <c r="Q48" s="121" t="n"/>
      <c r="R48" s="121" t="n"/>
      <c r="S48" s="120" t="n"/>
      <c r="T48" s="121" t="n"/>
      <c r="U48" s="120" t="n"/>
      <c r="V48" s="120" t="n"/>
      <c r="W48" s="121" t="n"/>
      <c r="X48" s="121" t="n"/>
    </row>
    <row r="49" ht="17" customHeight="1">
      <c r="A49" s="119" t="inlineStr">
        <is>
          <t>calculate</t>
        </is>
      </c>
      <c r="B49" s="119" t="inlineStr">
        <is>
          <t>fac_position_i</t>
        </is>
      </c>
      <c r="C49" s="122" t="inlineStr">
        <is>
          <t>Pulls the position of the facilitator from the facilitator database (teacher vs. volunteer)</t>
        </is>
      </c>
      <c r="D49" s="120" t="n"/>
      <c r="E49" s="121" t="n"/>
      <c r="F49" s="121" t="n"/>
      <c r="G49" s="120" t="n"/>
      <c r="H49" s="120" t="n"/>
      <c r="I49" s="122" t="n"/>
      <c r="J49" s="119" t="n"/>
      <c r="K49" s="121" t="n"/>
      <c r="L49" s="120" t="n"/>
      <c r="M49" s="121" t="n"/>
      <c r="N49" s="122" t="inlineStr">
        <is>
          <t>pulldata('cases_facilitator_database_ph', 'fac_position', 'id', ${facilitator_id_i})</t>
        </is>
      </c>
      <c r="O49" s="121" t="n"/>
      <c r="P49" s="121" t="n"/>
      <c r="Q49" s="121" t="n"/>
      <c r="R49" s="121" t="n"/>
      <c r="S49" s="120" t="n"/>
      <c r="T49" s="121" t="n"/>
      <c r="U49" s="120" t="n"/>
      <c r="V49" s="120" t="n"/>
      <c r="W49" s="121" t="n"/>
      <c r="X49" s="121" t="n"/>
    </row>
    <row r="50">
      <c r="A50" s="121" t="n"/>
      <c r="B50" s="121" t="n"/>
      <c r="C50" s="120" t="n"/>
      <c r="D50" s="120" t="n"/>
      <c r="E50" s="121" t="n"/>
      <c r="F50" s="121" t="n"/>
      <c r="G50" s="120" t="n"/>
      <c r="H50" s="120" t="n"/>
      <c r="I50" s="120" t="n"/>
      <c r="J50" s="121" t="n"/>
      <c r="K50" s="121" t="n"/>
      <c r="L50" s="120" t="n"/>
      <c r="M50" s="121" t="n"/>
      <c r="N50" s="120" t="n"/>
      <c r="O50" s="121" t="n"/>
      <c r="P50" s="121" t="n"/>
      <c r="Q50" s="121" t="n"/>
      <c r="R50" s="121" t="n"/>
      <c r="S50" s="120" t="n"/>
      <c r="T50" s="121" t="n"/>
      <c r="U50" s="120" t="n"/>
      <c r="V50" s="120" t="n"/>
      <c r="W50" s="121" t="n"/>
      <c r="X50" s="121" t="n"/>
    </row>
    <row r="51" ht="17" customHeight="1">
      <c r="A51" s="119" t="inlineStr">
        <is>
          <t>calculate</t>
        </is>
      </c>
      <c r="B51" s="119" t="inlineStr">
        <is>
          <t>stud_name</t>
        </is>
      </c>
      <c r="C51" s="122" t="inlineStr">
        <is>
          <t>Pulls student name from cases_students dataset</t>
        </is>
      </c>
      <c r="D51" s="120" t="n"/>
      <c r="E51" s="121" t="n"/>
      <c r="F51" s="121" t="n"/>
      <c r="G51" s="120" t="n"/>
      <c r="H51" s="120" t="n"/>
      <c r="I51" s="122" t="n"/>
      <c r="J51" s="119" t="n"/>
      <c r="K51" s="121" t="n"/>
      <c r="L51" s="120" t="n"/>
      <c r="M51" s="121" t="n"/>
      <c r="N51" s="122" t="inlineStr">
        <is>
          <t>pulldata('cases_connected_ph', 'stud_name_b', 'hhid', ${hhid})</t>
        </is>
      </c>
      <c r="O51" s="121" t="n"/>
      <c r="P51" s="121" t="n"/>
      <c r="Q51" s="121" t="n"/>
      <c r="R51" s="121" t="n"/>
      <c r="S51" s="120" t="n"/>
      <c r="T51" s="121" t="n"/>
      <c r="U51" s="120" t="n"/>
      <c r="V51" s="120" t="n"/>
      <c r="W51" s="121" t="n"/>
      <c r="X51" s="121" t="n"/>
    </row>
    <row r="52" ht="17" customHeight="1">
      <c r="A52" s="119" t="inlineStr">
        <is>
          <t>calculate</t>
        </is>
      </c>
      <c r="B52" s="119" t="inlineStr">
        <is>
          <t>learner_id</t>
        </is>
      </c>
      <c r="C52" s="122" t="inlineStr">
        <is>
          <t>Pulls govt-issued student ID from cases_students dataset</t>
        </is>
      </c>
      <c r="D52" s="120" t="n"/>
      <c r="E52" s="121" t="n"/>
      <c r="F52" s="121" t="n"/>
      <c r="G52" s="120" t="n"/>
      <c r="H52" s="120" t="n"/>
      <c r="I52" s="122" t="n"/>
      <c r="J52" s="119" t="n"/>
      <c r="K52" s="121" t="n"/>
      <c r="L52" s="120" t="n"/>
      <c r="M52" s="121" t="n"/>
      <c r="N52" s="122" t="inlineStr">
        <is>
          <t>pulldata('cases_connected_ph', 'learner_id', 'hhid', ${hhid})</t>
        </is>
      </c>
      <c r="O52" s="121" t="n"/>
      <c r="P52" s="121" t="n"/>
      <c r="Q52" s="121" t="n"/>
      <c r="R52" s="121" t="n"/>
      <c r="S52" s="120" t="n"/>
      <c r="T52" s="121" t="n"/>
      <c r="U52" s="120" t="n"/>
      <c r="V52" s="120" t="n"/>
      <c r="W52" s="121" t="n"/>
      <c r="X52" s="121" t="n"/>
    </row>
    <row r="53" ht="17" customHeight="1">
      <c r="A53" s="119" t="inlineStr">
        <is>
          <t>calculate</t>
        </is>
      </c>
      <c r="B53" s="119" t="inlineStr">
        <is>
          <t>school</t>
        </is>
      </c>
      <c r="C53" s="122" t="inlineStr">
        <is>
          <t>Pulls the name of the school from cases_students dataset</t>
        </is>
      </c>
      <c r="D53" s="120" t="n"/>
      <c r="E53" s="121" t="n"/>
      <c r="F53" s="121" t="n"/>
      <c r="G53" s="120" t="n"/>
      <c r="H53" s="120" t="n"/>
      <c r="I53" s="122" t="n"/>
      <c r="J53" s="119" t="n"/>
      <c r="K53" s="121" t="n"/>
      <c r="L53" s="120" t="n"/>
      <c r="M53" s="121" t="n"/>
      <c r="N53" s="122" t="inlineStr">
        <is>
          <t>pulldata('cases_connected_ph', 'school_b', 'hhid', ${hhid})</t>
        </is>
      </c>
      <c r="O53" s="121" t="n"/>
      <c r="P53" s="121" t="n"/>
      <c r="Q53" s="121" t="n"/>
      <c r="R53" s="121" t="n"/>
      <c r="S53" s="120" t="n"/>
      <c r="T53" s="121" t="n"/>
      <c r="U53" s="120" t="n"/>
      <c r="V53" s="120" t="n"/>
      <c r="W53" s="121" t="n"/>
      <c r="X53" s="121" t="n"/>
    </row>
    <row r="54" ht="17" customHeight="1">
      <c r="A54" s="119" t="inlineStr">
        <is>
          <t>calculate</t>
        </is>
      </c>
      <c r="B54" s="119" t="inlineStr">
        <is>
          <t>school_id</t>
        </is>
      </c>
      <c r="C54" s="122" t="inlineStr">
        <is>
          <t>Pulls school ID from cases_students dataset</t>
        </is>
      </c>
      <c r="D54" s="120" t="n"/>
      <c r="E54" s="121" t="n"/>
      <c r="F54" s="121" t="n"/>
      <c r="G54" s="120" t="n"/>
      <c r="H54" s="120" t="n"/>
      <c r="I54" s="122" t="n"/>
      <c r="J54" s="119" t="n"/>
      <c r="K54" s="121" t="n"/>
      <c r="L54" s="120" t="n"/>
      <c r="M54" s="121" t="n"/>
      <c r="N54" s="122" t="inlineStr">
        <is>
          <t>pulldata('cases_connected_ph', 'school_id_b', 'hhid', ${hhid})</t>
        </is>
      </c>
      <c r="O54" s="121" t="n"/>
      <c r="P54" s="121" t="n"/>
      <c r="Q54" s="121" t="n"/>
      <c r="R54" s="121" t="n"/>
      <c r="S54" s="120" t="n"/>
      <c r="T54" s="121" t="n"/>
      <c r="U54" s="120" t="n"/>
      <c r="V54" s="120" t="n"/>
      <c r="W54" s="121" t="n"/>
      <c r="X54" s="121" t="n"/>
    </row>
    <row r="55" ht="17" customHeight="1">
      <c r="A55" s="119" t="inlineStr">
        <is>
          <t>calculate</t>
        </is>
      </c>
      <c r="B55" s="119" t="inlineStr">
        <is>
          <t>region</t>
        </is>
      </c>
      <c r="C55" s="122" t="inlineStr">
        <is>
          <t>Pulls region from cases_students dataset</t>
        </is>
      </c>
      <c r="D55" s="120" t="n"/>
      <c r="E55" s="121" t="n"/>
      <c r="F55" s="121" t="n"/>
      <c r="G55" s="120" t="n"/>
      <c r="H55" s="120" t="n"/>
      <c r="I55" s="122" t="n"/>
      <c r="J55" s="119" t="n"/>
      <c r="K55" s="121" t="n"/>
      <c r="L55" s="120" t="n"/>
      <c r="M55" s="121" t="n"/>
      <c r="N55" s="122" t="inlineStr">
        <is>
          <t>pulldata('cases_connected_ph', 'region_b', 'hhid', ${hhid})</t>
        </is>
      </c>
      <c r="O55" s="121" t="n"/>
      <c r="P55" s="121" t="n"/>
      <c r="Q55" s="121" t="n"/>
      <c r="R55" s="121" t="n"/>
      <c r="S55" s="120" t="n"/>
      <c r="T55" s="121" t="n"/>
      <c r="U55" s="120" t="n"/>
      <c r="V55" s="120" t="n"/>
      <c r="W55" s="121" t="n"/>
      <c r="X55" s="121" t="n"/>
    </row>
    <row r="56" ht="17" customHeight="1">
      <c r="A56" s="119" t="inlineStr">
        <is>
          <t>calculate</t>
        </is>
      </c>
      <c r="B56" s="119" t="inlineStr">
        <is>
          <t>grade</t>
        </is>
      </c>
      <c r="C56" s="122" t="inlineStr">
        <is>
          <t>Pulls student grade from cases_students dataset</t>
        </is>
      </c>
      <c r="D56" s="120" t="n"/>
      <c r="E56" s="121" t="n"/>
      <c r="F56" s="121" t="n"/>
      <c r="G56" s="120" t="n"/>
      <c r="H56" s="120" t="n"/>
      <c r="I56" s="122" t="n"/>
      <c r="J56" s="119" t="n"/>
      <c r="K56" s="121" t="n"/>
      <c r="L56" s="120" t="n"/>
      <c r="M56" s="121" t="n"/>
      <c r="N56" s="122" t="inlineStr">
        <is>
          <t>pulldata('cases_connected_ph', 'stud_std_b', 'hhid', ${hhid})</t>
        </is>
      </c>
      <c r="O56" s="121" t="n"/>
      <c r="P56" s="121" t="n"/>
      <c r="Q56" s="121" t="n"/>
      <c r="R56" s="121" t="n"/>
      <c r="S56" s="120" t="n"/>
      <c r="T56" s="121" t="n"/>
      <c r="U56" s="120" t="n"/>
      <c r="V56" s="120" t="n"/>
      <c r="W56" s="121" t="n"/>
      <c r="X56" s="121" t="n"/>
    </row>
    <row r="57" ht="17" customHeight="1">
      <c r="A57" s="119" t="inlineStr">
        <is>
          <t>calculate</t>
        </is>
      </c>
      <c r="B57" s="119" t="inlineStr">
        <is>
          <t>age</t>
        </is>
      </c>
      <c r="C57" s="122" t="inlineStr">
        <is>
          <t>Pulls student age from cases_students dataset</t>
        </is>
      </c>
      <c r="D57" s="120" t="n"/>
      <c r="E57" s="121" t="n"/>
      <c r="F57" s="121" t="n"/>
      <c r="G57" s="120" t="n"/>
      <c r="H57" s="120" t="n"/>
      <c r="I57" s="122" t="n"/>
      <c r="J57" s="119" t="n"/>
      <c r="K57" s="121" t="n"/>
      <c r="L57" s="120" t="n"/>
      <c r="M57" s="121" t="n"/>
      <c r="N57" s="122" t="inlineStr">
        <is>
          <t>pulldata('cases_connected_ph', 'stud_age_b', 'hhid', ${hhid})</t>
        </is>
      </c>
      <c r="O57" s="121" t="n"/>
      <c r="P57" s="121" t="n"/>
      <c r="Q57" s="121" t="n"/>
      <c r="R57" s="121" t="n"/>
      <c r="S57" s="120" t="n"/>
      <c r="T57" s="121" t="n"/>
      <c r="U57" s="120" t="n"/>
      <c r="V57" s="120" t="n"/>
      <c r="W57" s="121" t="n"/>
      <c r="X57" s="121" t="n"/>
    </row>
    <row r="58" ht="17" customHeight="1">
      <c r="A58" s="119" t="inlineStr">
        <is>
          <t>calculate</t>
        </is>
      </c>
      <c r="B58" s="119" t="inlineStr">
        <is>
          <t>gender</t>
        </is>
      </c>
      <c r="C58" s="122" t="inlineStr">
        <is>
          <t>Pulls student gender from cases_students dataset</t>
        </is>
      </c>
      <c r="D58" s="120" t="n"/>
      <c r="E58" s="121" t="n"/>
      <c r="F58" s="121" t="n"/>
      <c r="G58" s="120" t="n"/>
      <c r="H58" s="120" t="n"/>
      <c r="I58" s="122" t="n"/>
      <c r="J58" s="119" t="n"/>
      <c r="K58" s="121" t="n"/>
      <c r="L58" s="120" t="n"/>
      <c r="M58" s="121" t="n"/>
      <c r="N58" s="122" t="inlineStr">
        <is>
          <t>pulldata('cases_connected_ph', 'stud_female_lab_b', 'hhid', ${hhid})</t>
        </is>
      </c>
      <c r="O58" s="121" t="n"/>
      <c r="P58" s="121" t="n"/>
      <c r="Q58" s="121" t="n"/>
      <c r="R58" s="121" t="n"/>
      <c r="S58" s="120" t="n"/>
      <c r="T58" s="121" t="n"/>
      <c r="U58" s="120" t="n"/>
      <c r="V58" s="120" t="n"/>
      <c r="W58" s="121" t="n"/>
      <c r="X58" s="121" t="n"/>
    </row>
    <row r="59" ht="17" customHeight="1">
      <c r="A59" s="119" t="inlineStr">
        <is>
          <t>calculate</t>
        </is>
      </c>
      <c r="B59" s="119" t="inlineStr">
        <is>
          <t>care_name</t>
        </is>
      </c>
      <c r="C59" s="122" t="inlineStr">
        <is>
          <t>Pulls caregiver name from cases_students dataset</t>
        </is>
      </c>
      <c r="D59" s="120" t="n"/>
      <c r="E59" s="121" t="n"/>
      <c r="F59" s="121" t="n"/>
      <c r="G59" s="120" t="n"/>
      <c r="H59" s="120" t="n"/>
      <c r="I59" s="122" t="n"/>
      <c r="J59" s="119" t="n"/>
      <c r="K59" s="121" t="n"/>
      <c r="L59" s="120" t="n"/>
      <c r="M59" s="121" t="n"/>
      <c r="N59" s="122" t="inlineStr">
        <is>
          <t>pulldata('cases_connected_ph', 'care_name_b', 'hhid', ${hhid})</t>
        </is>
      </c>
      <c r="O59" s="121" t="n"/>
      <c r="P59" s="121" t="n"/>
      <c r="Q59" s="121" t="n"/>
      <c r="R59" s="121" t="n"/>
      <c r="S59" s="120" t="n"/>
      <c r="T59" s="121" t="n"/>
      <c r="U59" s="120" t="n"/>
      <c r="V59" s="120" t="n"/>
      <c r="W59" s="121" t="n"/>
      <c r="X59" s="121" t="n"/>
    </row>
    <row r="60" ht="17" customHeight="1">
      <c r="A60" s="119" t="inlineStr">
        <is>
          <t>calculate</t>
        </is>
      </c>
      <c r="B60" s="119" t="inlineStr">
        <is>
          <t>care_rel</t>
        </is>
      </c>
      <c r="C60" s="122" t="inlineStr">
        <is>
          <t>Pulls caregiver relationship to student from cases_students dataset</t>
        </is>
      </c>
      <c r="D60" s="120" t="n"/>
      <c r="E60" s="121" t="n"/>
      <c r="F60" s="121" t="n"/>
      <c r="G60" s="120" t="n"/>
      <c r="H60" s="120" t="n"/>
      <c r="I60" s="122" t="n"/>
      <c r="J60" s="119" t="n"/>
      <c r="K60" s="121" t="n"/>
      <c r="L60" s="120" t="n"/>
      <c r="M60" s="121" t="n"/>
      <c r="N60" s="122" t="inlineStr">
        <is>
          <t>pulldata('cases_connected_ph', 'care_rel2_b', 'hhid', ${hhid})</t>
        </is>
      </c>
      <c r="O60" s="121" t="n"/>
      <c r="P60" s="121" t="n"/>
      <c r="Q60" s="121" t="n"/>
      <c r="R60" s="121" t="n"/>
      <c r="S60" s="120" t="n"/>
      <c r="T60" s="121" t="n"/>
      <c r="U60" s="120" t="n"/>
      <c r="V60" s="120" t="n"/>
      <c r="W60" s="121" t="n"/>
      <c r="X60" s="121" t="n"/>
    </row>
    <row r="61" ht="17" customHeight="1">
      <c r="A61" s="119" t="inlineStr">
        <is>
          <t>calculate</t>
        </is>
      </c>
      <c r="B61" s="119" t="inlineStr">
        <is>
          <t>care_rel_lab</t>
        </is>
      </c>
      <c r="C61" s="122" t="inlineStr">
        <is>
          <t>Pulls caregiver relationship to student from cases_students dataset</t>
        </is>
      </c>
      <c r="D61" s="120" t="n"/>
      <c r="E61" s="121" t="n"/>
      <c r="F61" s="121" t="n"/>
      <c r="G61" s="120" t="n"/>
      <c r="H61" s="120" t="n"/>
      <c r="I61" s="122" t="n"/>
      <c r="J61" s="119" t="n"/>
      <c r="K61" s="121" t="n"/>
      <c r="L61" s="120" t="n"/>
      <c r="M61" s="121" t="n"/>
      <c r="N61" s="122" t="inlineStr">
        <is>
          <t>pulldata('cases_connected_ph', 'care_rel2_lab_b', 'hhid', ${hhid})</t>
        </is>
      </c>
      <c r="O61" s="121" t="n"/>
      <c r="P61" s="121" t="n"/>
      <c r="Q61" s="121" t="n"/>
      <c r="R61" s="121" t="n"/>
      <c r="S61" s="120" t="n"/>
      <c r="T61" s="121" t="n"/>
      <c r="U61" s="120" t="n"/>
      <c r="V61" s="120" t="n"/>
      <c r="W61" s="121" t="n"/>
      <c r="X61" s="121" t="n"/>
    </row>
    <row r="62" ht="17" customHeight="1">
      <c r="A62" s="119" t="inlineStr">
        <is>
          <t>calculate</t>
        </is>
      </c>
      <c r="B62" s="119" t="inlineStr">
        <is>
          <t>contacts</t>
        </is>
      </c>
      <c r="C62" s="122" t="inlineStr">
        <is>
          <t>Pulls no. of available  from cases_students dataset</t>
        </is>
      </c>
      <c r="D62" s="120" t="n"/>
      <c r="E62" s="121" t="n"/>
      <c r="F62" s="121" t="n"/>
      <c r="G62" s="120" t="n"/>
      <c r="H62" s="120" t="n"/>
      <c r="I62" s="122" t="n"/>
      <c r="J62" s="119" t="n"/>
      <c r="K62" s="121" t="n"/>
      <c r="L62" s="120" t="n"/>
      <c r="M62" s="121" t="n"/>
      <c r="N62" s="122" t="inlineStr">
        <is>
          <t>pulldata('cases_connected_ph', 'contacts', 'hhid', ${hhid})</t>
        </is>
      </c>
      <c r="O62" s="121" t="n"/>
      <c r="P62" s="121" t="n"/>
      <c r="Q62" s="121" t="n"/>
      <c r="R62" s="121" t="n"/>
      <c r="S62" s="120" t="n"/>
      <c r="T62" s="121" t="n"/>
      <c r="U62" s="120" t="n"/>
      <c r="V62" s="120" t="n"/>
      <c r="W62" s="121" t="n"/>
      <c r="X62" s="121" t="n"/>
    </row>
    <row r="63" ht="17" customHeight="1">
      <c r="A63" s="119" t="inlineStr">
        <is>
          <t>calculate</t>
        </is>
      </c>
      <c r="B63" s="119" t="inlineStr">
        <is>
          <t>best_phone2</t>
        </is>
      </c>
      <c r="C63" s="122" t="inlineStr">
        <is>
          <t>Pulls new best phone number from cases_students dataset</t>
        </is>
      </c>
      <c r="D63" s="120" t="n"/>
      <c r="E63" s="121" t="n"/>
      <c r="F63" s="121" t="n"/>
      <c r="G63" s="120" t="n"/>
      <c r="H63" s="120" t="n"/>
      <c r="I63" s="122" t="n"/>
      <c r="J63" s="119" t="n"/>
      <c r="K63" s="121" t="n"/>
      <c r="L63" s="120" t="n"/>
      <c r="M63" s="121" t="n"/>
      <c r="N63" s="122" t="inlineStr">
        <is>
          <t>pulldata('cases_connected_ph', 'new_phone', 'hhid', ${hhid})</t>
        </is>
      </c>
      <c r="O63" s="121" t="n"/>
      <c r="P63" s="121" t="n"/>
      <c r="Q63" s="121" t="n"/>
      <c r="R63" s="121" t="n"/>
      <c r="S63" s="120" t="n"/>
      <c r="T63" s="121" t="n"/>
      <c r="U63" s="120" t="n"/>
      <c r="V63" s="120" t="n"/>
      <c r="W63" s="121" t="n"/>
      <c r="X63" s="121" t="n"/>
    </row>
    <row r="64" ht="17" customHeight="1">
      <c r="A64" s="119" t="inlineStr">
        <is>
          <t>calculate</t>
        </is>
      </c>
      <c r="B64" s="119" t="inlineStr">
        <is>
          <t>best_phone2_name</t>
        </is>
      </c>
      <c r="C64" s="122" t="inlineStr">
        <is>
          <t>Pulls name of new best phone owner from cases_students dataset</t>
        </is>
      </c>
      <c r="D64" s="120" t="n"/>
      <c r="E64" s="121" t="n"/>
      <c r="F64" s="121" t="n"/>
      <c r="G64" s="120" t="n"/>
      <c r="H64" s="120" t="n"/>
      <c r="I64" s="122" t="n"/>
      <c r="J64" s="119" t="n"/>
      <c r="K64" s="121" t="n"/>
      <c r="L64" s="120" t="n"/>
      <c r="M64" s="121" t="n"/>
      <c r="N64" s="122" t="inlineStr">
        <is>
          <t>pulldata('cases_connected_ph', 'new_phone_name', 'hhid', ${hhid})</t>
        </is>
      </c>
      <c r="O64" s="121" t="n"/>
      <c r="P64" s="121" t="n"/>
      <c r="Q64" s="121" t="n"/>
      <c r="R64" s="121" t="n"/>
      <c r="S64" s="120" t="n"/>
      <c r="T64" s="121" t="n"/>
      <c r="U64" s="120" t="n"/>
      <c r="V64" s="120" t="n"/>
      <c r="W64" s="121" t="n"/>
      <c r="X64" s="121" t="n"/>
    </row>
    <row r="65" ht="17" customHeight="1">
      <c r="A65" s="119" t="inlineStr">
        <is>
          <t>calculate</t>
        </is>
      </c>
      <c r="B65" s="119" t="inlineStr">
        <is>
          <t>best_phone2_rel</t>
        </is>
      </c>
      <c r="C65" s="122" t="inlineStr">
        <is>
          <t>Pulls new best phone owner's relationship to student from cases_students dataset</t>
        </is>
      </c>
      <c r="D65" s="120" t="n"/>
      <c r="E65" s="121" t="n"/>
      <c r="F65" s="121" t="n"/>
      <c r="G65" s="120" t="n"/>
      <c r="H65" s="120" t="n"/>
      <c r="I65" s="122" t="n"/>
      <c r="J65" s="119" t="n"/>
      <c r="K65" s="121" t="n"/>
      <c r="L65" s="120" t="n"/>
      <c r="M65" s="121" t="n"/>
      <c r="N65" s="122" t="inlineStr">
        <is>
          <t>pulldata('cases_connected_ph', 'new_phone_rel', 'hhid', ${hhid})</t>
        </is>
      </c>
      <c r="O65" s="121" t="n"/>
      <c r="P65" s="121" t="n"/>
      <c r="Q65" s="121" t="n"/>
      <c r="R65" s="121" t="n"/>
      <c r="S65" s="120" t="n"/>
      <c r="T65" s="121" t="n"/>
      <c r="U65" s="120" t="n"/>
      <c r="V65" s="120" t="n"/>
      <c r="W65" s="121" t="n"/>
      <c r="X65" s="121" t="n"/>
    </row>
    <row r="66" ht="17" customHeight="1">
      <c r="A66" s="119" t="inlineStr">
        <is>
          <t>calculate</t>
        </is>
      </c>
      <c r="B66" s="119" t="inlineStr">
        <is>
          <t>best_phone</t>
        </is>
      </c>
      <c r="C66" s="122" t="inlineStr">
        <is>
          <t>Pulls best phone number from cases_students dataset</t>
        </is>
      </c>
      <c r="D66" s="120" t="n"/>
      <c r="E66" s="121" t="n"/>
      <c r="F66" s="121" t="n"/>
      <c r="G66" s="120" t="n"/>
      <c r="H66" s="120" t="n"/>
      <c r="I66" s="122" t="n"/>
      <c r="J66" s="119" t="n"/>
      <c r="K66" s="121" t="n"/>
      <c r="L66" s="120" t="n"/>
      <c r="M66" s="121" t="n"/>
      <c r="N66" s="122" t="inlineStr">
        <is>
          <t>pulldata('cases_connected_ph', 'best_phone', 'hhid', ${hhid})</t>
        </is>
      </c>
      <c r="O66" s="121" t="n"/>
      <c r="P66" s="121" t="n"/>
      <c r="Q66" s="121" t="n"/>
      <c r="R66" s="121" t="n"/>
      <c r="S66" s="120" t="n"/>
      <c r="T66" s="121" t="n"/>
      <c r="U66" s="120" t="n"/>
      <c r="V66" s="120" t="n"/>
      <c r="W66" s="121" t="n"/>
      <c r="X66" s="121" t="n"/>
    </row>
    <row r="67" ht="17" customHeight="1">
      <c r="A67" s="119" t="inlineStr">
        <is>
          <t>calculate</t>
        </is>
      </c>
      <c r="B67" s="119" t="inlineStr">
        <is>
          <t>best_phone_name</t>
        </is>
      </c>
      <c r="C67" s="122" t="inlineStr">
        <is>
          <t>Pulls name of best phone owner from cases_students dataset</t>
        </is>
      </c>
      <c r="D67" s="120" t="n"/>
      <c r="E67" s="121" t="n"/>
      <c r="F67" s="121" t="n"/>
      <c r="G67" s="120" t="n"/>
      <c r="H67" s="120" t="n"/>
      <c r="I67" s="122" t="n"/>
      <c r="J67" s="119" t="n"/>
      <c r="K67" s="121" t="n"/>
      <c r="L67" s="120" t="n"/>
      <c r="M67" s="121" t="n"/>
      <c r="N67" s="122" t="inlineStr">
        <is>
          <t>pulldata('cases_connected_ph', 'best_phone_name', 'hhid', ${hhid})</t>
        </is>
      </c>
      <c r="O67" s="121" t="n"/>
      <c r="P67" s="121" t="n"/>
      <c r="Q67" s="121" t="n"/>
      <c r="R67" s="121" t="n"/>
      <c r="S67" s="120" t="n"/>
      <c r="T67" s="121" t="n"/>
      <c r="U67" s="120" t="n"/>
      <c r="V67" s="120" t="n"/>
      <c r="W67" s="121" t="n"/>
      <c r="X67" s="121" t="n"/>
    </row>
    <row r="68" ht="17" customHeight="1">
      <c r="A68" s="119" t="inlineStr">
        <is>
          <t>calculate</t>
        </is>
      </c>
      <c r="B68" s="119" t="inlineStr">
        <is>
          <t>best_phone_rel</t>
        </is>
      </c>
      <c r="C68" s="122" t="inlineStr">
        <is>
          <t>Pulls best phone owner's relationship to student from cases_students dataset</t>
        </is>
      </c>
      <c r="D68" s="120" t="n"/>
      <c r="E68" s="121" t="n"/>
      <c r="F68" s="121" t="n"/>
      <c r="G68" s="120" t="n"/>
      <c r="H68" s="120" t="n"/>
      <c r="I68" s="122" t="n"/>
      <c r="J68" s="119" t="n"/>
      <c r="K68" s="121" t="n"/>
      <c r="L68" s="120" t="n"/>
      <c r="M68" s="121" t="n"/>
      <c r="N68" s="122" t="inlineStr">
        <is>
          <t>pulldata('cases_connected_ph', 'best_phone_rel', 'hhid', ${hhid})</t>
        </is>
      </c>
      <c r="O68" s="121" t="n"/>
      <c r="P68" s="121" t="n"/>
      <c r="Q68" s="121" t="n"/>
      <c r="R68" s="121" t="n"/>
      <c r="S68" s="120" t="n"/>
      <c r="T68" s="121" t="n"/>
      <c r="U68" s="120" t="n"/>
      <c r="V68" s="120" t="n"/>
      <c r="W68" s="121" t="n"/>
      <c r="X68" s="121" t="n"/>
    </row>
    <row r="69" ht="17" customHeight="1">
      <c r="A69" s="119" t="inlineStr">
        <is>
          <t>calculate</t>
        </is>
      </c>
      <c r="B69" s="119" t="inlineStr">
        <is>
          <t>phone1</t>
        </is>
      </c>
      <c r="C69" s="122" t="inlineStr">
        <is>
          <t>Pulls phone number from cases_students dataset</t>
        </is>
      </c>
      <c r="D69" s="120" t="n"/>
      <c r="E69" s="121" t="n"/>
      <c r="F69" s="121" t="n"/>
      <c r="G69" s="120" t="n"/>
      <c r="H69" s="120" t="n"/>
      <c r="I69" s="122" t="n"/>
      <c r="J69" s="119" t="n"/>
      <c r="K69" s="121" t="n"/>
      <c r="L69" s="120" t="n"/>
      <c r="M69" s="121" t="n"/>
      <c r="N69" s="122" t="inlineStr">
        <is>
          <t>pulldata('cases_connected_ph', 'phone1', 'hhid', ${hhid})</t>
        </is>
      </c>
      <c r="O69" s="121" t="n"/>
      <c r="P69" s="121" t="n"/>
      <c r="Q69" s="121" t="n"/>
      <c r="R69" s="121" t="n"/>
      <c r="S69" s="120" t="n"/>
      <c r="T69" s="121" t="n"/>
      <c r="U69" s="120" t="n"/>
      <c r="V69" s="120" t="n"/>
      <c r="W69" s="121" t="n"/>
      <c r="X69" s="121" t="n"/>
    </row>
    <row r="70" ht="17" customHeight="1">
      <c r="A70" s="119" t="inlineStr">
        <is>
          <t>calculate</t>
        </is>
      </c>
      <c r="B70" s="119" t="inlineStr">
        <is>
          <t>phone1_name</t>
        </is>
      </c>
      <c r="C70" s="122" t="inlineStr">
        <is>
          <t>Pulls name of phone owner from cases_students dataset</t>
        </is>
      </c>
      <c r="D70" s="120" t="n"/>
      <c r="E70" s="121" t="n"/>
      <c r="F70" s="121" t="n"/>
      <c r="G70" s="120" t="n"/>
      <c r="H70" s="120" t="n"/>
      <c r="I70" s="122" t="n"/>
      <c r="J70" s="119" t="n"/>
      <c r="K70" s="121" t="n"/>
      <c r="L70" s="120" t="n"/>
      <c r="M70" s="121" t="n"/>
      <c r="N70" s="122" t="inlineStr">
        <is>
          <t>pulldata('cases_connected_ph', 'phone1_name', 'hhid', ${hhid})</t>
        </is>
      </c>
      <c r="O70" s="121" t="n"/>
      <c r="P70" s="121" t="n"/>
      <c r="Q70" s="121" t="n"/>
      <c r="R70" s="121" t="n"/>
      <c r="S70" s="120" t="n"/>
      <c r="T70" s="121" t="n"/>
      <c r="U70" s="120" t="n"/>
      <c r="V70" s="120" t="n"/>
      <c r="W70" s="121" t="n"/>
      <c r="X70" s="121" t="n"/>
    </row>
    <row r="71" ht="17" customHeight="1">
      <c r="A71" s="119" t="inlineStr">
        <is>
          <t>calculate</t>
        </is>
      </c>
      <c r="B71" s="119" t="inlineStr">
        <is>
          <t>phone1_rel</t>
        </is>
      </c>
      <c r="C71" s="122" t="inlineStr">
        <is>
          <t>Pulls phone owner's relationship to student from cases_students dataset</t>
        </is>
      </c>
      <c r="D71" s="120" t="n"/>
      <c r="E71" s="121" t="n"/>
      <c r="F71" s="121" t="n"/>
      <c r="G71" s="120" t="n"/>
      <c r="H71" s="120" t="n"/>
      <c r="I71" s="122" t="n"/>
      <c r="J71" s="119" t="n"/>
      <c r="K71" s="121" t="n"/>
      <c r="L71" s="120" t="n"/>
      <c r="M71" s="121" t="n"/>
      <c r="N71" s="122" t="inlineStr">
        <is>
          <t>pulldata('cases_connected_ph', 'phone1_rel', 'hhid', ${hhid})</t>
        </is>
      </c>
      <c r="O71" s="121" t="n"/>
      <c r="P71" s="121" t="n"/>
      <c r="Q71" s="121" t="n"/>
      <c r="R71" s="121" t="n"/>
      <c r="S71" s="120" t="n"/>
      <c r="T71" s="121" t="n"/>
      <c r="U71" s="120" t="n"/>
      <c r="V71" s="120" t="n"/>
      <c r="W71" s="121" t="n"/>
      <c r="X71" s="121" t="n"/>
    </row>
    <row r="72" ht="17" customHeight="1">
      <c r="A72" s="119" t="inlineStr">
        <is>
          <t>calculate</t>
        </is>
      </c>
      <c r="B72" s="119" t="inlineStr">
        <is>
          <t>phone2</t>
        </is>
      </c>
      <c r="C72" s="122" t="inlineStr">
        <is>
          <t>Pulls phone number from cases_students dataset</t>
        </is>
      </c>
      <c r="D72" s="120" t="n"/>
      <c r="E72" s="121" t="n"/>
      <c r="F72" s="121" t="n"/>
      <c r="G72" s="120" t="n"/>
      <c r="H72" s="120" t="n"/>
      <c r="I72" s="122" t="n"/>
      <c r="J72" s="119" t="n"/>
      <c r="K72" s="121" t="n"/>
      <c r="L72" s="120" t="n"/>
      <c r="M72" s="121" t="n"/>
      <c r="N72" s="122" t="inlineStr">
        <is>
          <t>pulldata('cases_connected_ph', 'phone2', 'hhid', ${hhid})</t>
        </is>
      </c>
      <c r="O72" s="121" t="n"/>
      <c r="P72" s="121" t="n"/>
      <c r="Q72" s="121" t="n"/>
      <c r="R72" s="121" t="n"/>
      <c r="S72" s="120" t="n"/>
      <c r="T72" s="121" t="n"/>
      <c r="U72" s="120" t="n"/>
      <c r="V72" s="120" t="n"/>
      <c r="W72" s="121" t="n"/>
      <c r="X72" s="121" t="n"/>
    </row>
    <row r="73" ht="17" customHeight="1">
      <c r="A73" s="119" t="inlineStr">
        <is>
          <t>calculate</t>
        </is>
      </c>
      <c r="B73" s="119" t="inlineStr">
        <is>
          <t>phone2_name</t>
        </is>
      </c>
      <c r="C73" s="122" t="inlineStr">
        <is>
          <t>Pulls name of phone owner from cases_students dataset</t>
        </is>
      </c>
      <c r="D73" s="120" t="n"/>
      <c r="E73" s="121" t="n"/>
      <c r="F73" s="121" t="n"/>
      <c r="G73" s="120" t="n"/>
      <c r="H73" s="120" t="n"/>
      <c r="I73" s="122" t="n"/>
      <c r="J73" s="119" t="n"/>
      <c r="K73" s="121" t="n"/>
      <c r="L73" s="120" t="n"/>
      <c r="M73" s="121" t="n"/>
      <c r="N73" s="122" t="inlineStr">
        <is>
          <t>pulldata('cases_connected_ph', 'phone2_name', 'hhid', ${hhid})</t>
        </is>
      </c>
      <c r="O73" s="121" t="n"/>
      <c r="P73" s="121" t="n"/>
      <c r="Q73" s="121" t="n"/>
      <c r="R73" s="121" t="n"/>
      <c r="S73" s="120" t="n"/>
      <c r="T73" s="121" t="n"/>
      <c r="U73" s="120" t="n"/>
      <c r="V73" s="120" t="n"/>
      <c r="W73" s="121" t="n"/>
      <c r="X73" s="121" t="n"/>
    </row>
    <row r="74" ht="17" customHeight="1">
      <c r="A74" s="119" t="inlineStr">
        <is>
          <t>calculate</t>
        </is>
      </c>
      <c r="B74" s="119" t="inlineStr">
        <is>
          <t>phone2_rel</t>
        </is>
      </c>
      <c r="C74" s="122" t="inlineStr">
        <is>
          <t>Pulls phone owner's relationship to student from cases_students dataset</t>
        </is>
      </c>
      <c r="D74" s="120" t="n"/>
      <c r="E74" s="121" t="n"/>
      <c r="F74" s="121" t="n"/>
      <c r="G74" s="120" t="n"/>
      <c r="H74" s="120" t="n"/>
      <c r="I74" s="122" t="n"/>
      <c r="J74" s="119" t="n"/>
      <c r="K74" s="121" t="n"/>
      <c r="L74" s="120" t="n"/>
      <c r="M74" s="121" t="n"/>
      <c r="N74" s="122" t="inlineStr">
        <is>
          <t>pulldata('cases_connected_ph', 'phone2_rel', 'hhid', ${hhid})</t>
        </is>
      </c>
      <c r="O74" s="121" t="n"/>
      <c r="P74" s="121" t="n"/>
      <c r="Q74" s="121" t="n"/>
      <c r="R74" s="121" t="n"/>
      <c r="S74" s="120" t="n"/>
      <c r="T74" s="121" t="n"/>
      <c r="U74" s="120" t="n"/>
      <c r="V74" s="120" t="n"/>
      <c r="W74" s="121" t="n"/>
      <c r="X74" s="121" t="n"/>
    </row>
    <row r="75" ht="17" customHeight="1">
      <c r="A75" s="119" t="inlineStr">
        <is>
          <t>calculate</t>
        </is>
      </c>
      <c r="B75" s="119" t="inlineStr">
        <is>
          <t>phone3</t>
        </is>
      </c>
      <c r="C75" s="122" t="inlineStr">
        <is>
          <t>Pulls phone number from cases_students dataset</t>
        </is>
      </c>
      <c r="D75" s="120" t="n"/>
      <c r="E75" s="121" t="n"/>
      <c r="F75" s="121" t="n"/>
      <c r="G75" s="120" t="n"/>
      <c r="H75" s="120" t="n"/>
      <c r="I75" s="122" t="n"/>
      <c r="J75" s="119" t="n"/>
      <c r="K75" s="121" t="n"/>
      <c r="L75" s="120" t="n"/>
      <c r="M75" s="121" t="n"/>
      <c r="N75" s="122" t="inlineStr">
        <is>
          <t>pulldata('cases_connected_ph', 'phone3', 'hhid', ${hhid})</t>
        </is>
      </c>
      <c r="O75" s="121" t="n"/>
      <c r="P75" s="121" t="n"/>
      <c r="Q75" s="121" t="n"/>
      <c r="R75" s="121" t="n"/>
      <c r="S75" s="120" t="n"/>
      <c r="T75" s="121" t="n"/>
      <c r="U75" s="120" t="n"/>
      <c r="V75" s="120" t="n"/>
      <c r="W75" s="121" t="n"/>
      <c r="X75" s="121" t="n"/>
    </row>
    <row r="76" ht="17" customHeight="1">
      <c r="A76" s="119" t="inlineStr">
        <is>
          <t>calculate</t>
        </is>
      </c>
      <c r="B76" s="119" t="inlineStr">
        <is>
          <t>phone3_name</t>
        </is>
      </c>
      <c r="C76" s="122" t="inlineStr">
        <is>
          <t>Pulls name of phone owner from cases_students dataset</t>
        </is>
      </c>
      <c r="D76" s="120" t="n"/>
      <c r="E76" s="121" t="n"/>
      <c r="F76" s="121" t="n"/>
      <c r="G76" s="120" t="n"/>
      <c r="H76" s="120" t="n"/>
      <c r="I76" s="122" t="n"/>
      <c r="J76" s="119" t="n"/>
      <c r="K76" s="121" t="n"/>
      <c r="L76" s="120" t="n"/>
      <c r="M76" s="121" t="n"/>
      <c r="N76" s="122" t="inlineStr">
        <is>
          <t>pulldata('cases_connected_ph', 'phone3_name', 'hhid', ${hhid})</t>
        </is>
      </c>
      <c r="O76" s="121" t="n"/>
      <c r="P76" s="121" t="n"/>
      <c r="Q76" s="121" t="n"/>
      <c r="R76" s="121" t="n"/>
      <c r="S76" s="120" t="n"/>
      <c r="T76" s="121" t="n"/>
      <c r="U76" s="120" t="n"/>
      <c r="V76" s="120" t="n"/>
      <c r="W76" s="121" t="n"/>
      <c r="X76" s="121" t="n"/>
    </row>
    <row r="77" ht="17" customHeight="1">
      <c r="A77" s="119" t="inlineStr">
        <is>
          <t>calculate</t>
        </is>
      </c>
      <c r="B77" s="119" t="inlineStr">
        <is>
          <t>phone3_rel</t>
        </is>
      </c>
      <c r="C77" s="122" t="inlineStr">
        <is>
          <t>Pulls phone owner's relationship to student from cases_students dataset</t>
        </is>
      </c>
      <c r="D77" s="120" t="n"/>
      <c r="E77" s="121" t="n"/>
      <c r="F77" s="121" t="n"/>
      <c r="G77" s="120" t="n"/>
      <c r="H77" s="120" t="n"/>
      <c r="I77" s="122" t="n"/>
      <c r="J77" s="119" t="n"/>
      <c r="K77" s="121" t="n"/>
      <c r="L77" s="120" t="n"/>
      <c r="M77" s="121" t="n"/>
      <c r="N77" s="122" t="inlineStr">
        <is>
          <t>pulldata('cases_connected_ph', 'phone3_rel', 'hhid', ${hhid})</t>
        </is>
      </c>
      <c r="O77" s="121" t="n"/>
      <c r="P77" s="121" t="n"/>
      <c r="Q77" s="121" t="n"/>
      <c r="R77" s="121" t="n"/>
      <c r="S77" s="120" t="n"/>
      <c r="T77" s="121" t="n"/>
      <c r="U77" s="120" t="n"/>
      <c r="V77" s="120" t="n"/>
      <c r="W77" s="121" t="n"/>
      <c r="X77" s="121" t="n"/>
    </row>
    <row r="78" ht="17" customHeight="1">
      <c r="A78" s="119" t="inlineStr">
        <is>
          <t>calculate</t>
        </is>
      </c>
      <c r="B78" s="119" t="inlineStr">
        <is>
          <t>wrong_no_prev</t>
        </is>
      </c>
      <c r="C78" s="122" t="inlineStr">
        <is>
          <t>Returns 1 if wrong number and no other phone number available</t>
        </is>
      </c>
      <c r="D78" s="120" t="n"/>
      <c r="E78" s="121" t="n"/>
      <c r="F78" s="121" t="n"/>
      <c r="G78" s="120" t="n"/>
      <c r="H78" s="120" t="n"/>
      <c r="I78" s="122" t="n"/>
      <c r="J78" s="119" t="n"/>
      <c r="K78" s="121" t="n"/>
      <c r="L78" s="120" t="n"/>
      <c r="M78" s="121" t="n"/>
      <c r="N78" s="122" t="inlineStr">
        <is>
          <t>pulldata('cases_connected_ph', 'wrong_no', 'hhid', ${hhid})</t>
        </is>
      </c>
      <c r="O78" s="121" t="n"/>
      <c r="P78" s="121" t="n"/>
      <c r="Q78" s="121" t="n"/>
      <c r="R78" s="121" t="n"/>
      <c r="S78" s="120" t="n"/>
      <c r="T78" s="121" t="n"/>
      <c r="U78" s="120" t="n"/>
      <c r="V78" s="120" t="n"/>
      <c r="W78" s="121" t="n"/>
      <c r="X78" s="121" t="n"/>
    </row>
    <row r="79" ht="17" customHeight="1">
      <c r="A79" s="119" t="inlineStr">
        <is>
          <t>calculate</t>
        </is>
      </c>
      <c r="B79" s="119" t="inlineStr">
        <is>
          <t>stud_level_num_b</t>
        </is>
      </c>
      <c r="C79" s="122" t="inlineStr">
        <is>
          <t>Pulls level mastered at sensitization from cases_students dataset</t>
        </is>
      </c>
      <c r="D79" s="120" t="n"/>
      <c r="E79" s="121" t="n"/>
      <c r="F79" s="121" t="n"/>
      <c r="G79" s="120" t="n"/>
      <c r="H79" s="120" t="n"/>
      <c r="I79" s="122" t="n"/>
      <c r="J79" s="119" t="n"/>
      <c r="K79" s="121" t="n"/>
      <c r="L79" s="120" t="n"/>
      <c r="M79" s="121" t="n"/>
      <c r="N79" s="122" t="inlineStr">
        <is>
          <t>pulldata('cases_connected_ph', 'stud_level_num_b', 'hhid', ${hhid})</t>
        </is>
      </c>
      <c r="O79" s="121" t="n"/>
      <c r="P79" s="121" t="n"/>
      <c r="Q79" s="121" t="n"/>
      <c r="R79" s="121" t="n"/>
      <c r="S79" s="120" t="n"/>
      <c r="T79" s="121" t="n"/>
      <c r="U79" s="120" t="n"/>
      <c r="V79" s="120" t="n"/>
      <c r="W79" s="121" t="n"/>
      <c r="X79" s="121" t="n"/>
    </row>
    <row r="80" ht="17" customHeight="1">
      <c r="A80" s="119" t="inlineStr">
        <is>
          <t>calculate</t>
        </is>
      </c>
      <c r="B80" s="119" t="inlineStr">
        <is>
          <t>stud_level_num_lab_b</t>
        </is>
      </c>
      <c r="C80" s="122" t="inlineStr">
        <is>
          <t>Pulls choice label of level mastered at sensitization from cases_students dataset</t>
        </is>
      </c>
      <c r="D80" s="120" t="n"/>
      <c r="E80" s="121" t="n"/>
      <c r="F80" s="121" t="n"/>
      <c r="G80" s="120" t="n"/>
      <c r="H80" s="120" t="n"/>
      <c r="I80" s="122" t="n"/>
      <c r="J80" s="119" t="n"/>
      <c r="K80" s="121" t="n"/>
      <c r="L80" s="120" t="n"/>
      <c r="M80" s="121" t="n"/>
      <c r="N80" s="122" t="inlineStr">
        <is>
          <t>pulldata('cases_connected_ph', 'stud_level_num_lab_b', 'hhid', ${hhid})</t>
        </is>
      </c>
      <c r="O80" s="121" t="n"/>
      <c r="P80" s="121" t="n"/>
      <c r="Q80" s="121" t="n"/>
      <c r="R80" s="121" t="n"/>
      <c r="S80" s="120" t="n"/>
      <c r="T80" s="121" t="n"/>
      <c r="U80" s="120" t="n"/>
      <c r="V80" s="120" t="n"/>
      <c r="W80" s="121" t="n"/>
      <c r="X80" s="121" t="n"/>
    </row>
    <row r="81" ht="17" customHeight="1">
      <c r="A81" s="119" t="inlineStr">
        <is>
          <t>calculate</t>
        </is>
      </c>
      <c r="B81" s="119" t="inlineStr">
        <is>
          <t>suggested_lesson1_i</t>
        </is>
      </c>
      <c r="C81" s="122" t="inlineStr">
        <is>
          <t>Pulls suggested first tutorial lesson from cases_students dataset</t>
        </is>
      </c>
      <c r="D81" s="120" t="n"/>
      <c r="E81" s="121" t="n"/>
      <c r="F81" s="121" t="n"/>
      <c r="G81" s="120" t="n"/>
      <c r="H81" s="120" t="n"/>
      <c r="I81" s="122" t="n"/>
      <c r="J81" s="119" t="n"/>
      <c r="K81" s="121" t="n"/>
      <c r="L81" s="120" t="n"/>
      <c r="M81" s="121" t="n"/>
      <c r="N81" s="122" t="inlineStr">
        <is>
          <t>pulldata('cases_connected_ph', 'suggested_lesson1_i', 'hhid', ${hhid})</t>
        </is>
      </c>
      <c r="O81" s="121" t="n"/>
      <c r="P81" s="121" t="n"/>
      <c r="Q81" s="121" t="n"/>
      <c r="R81" s="121" t="n"/>
      <c r="S81" s="120" t="n"/>
      <c r="T81" s="121" t="n"/>
      <c r="U81" s="120" t="n"/>
      <c r="V81" s="120" t="n"/>
      <c r="W81" s="121" t="n"/>
      <c r="X81" s="121" t="n"/>
    </row>
    <row r="82" ht="17" customHeight="1">
      <c r="A82" s="119" t="inlineStr">
        <is>
          <t>calculate</t>
        </is>
      </c>
      <c r="B82" s="119" t="inlineStr">
        <is>
          <t>suggested_lesson1_lab_i</t>
        </is>
      </c>
      <c r="C82" s="122" t="inlineStr">
        <is>
          <t>Pulls choice label of suggested first tutorial lesson from cases_students dataset</t>
        </is>
      </c>
      <c r="D82" s="120" t="n"/>
      <c r="E82" s="121" t="n"/>
      <c r="F82" s="121" t="n"/>
      <c r="G82" s="120" t="n"/>
      <c r="H82" s="120" t="n"/>
      <c r="I82" s="122" t="n"/>
      <c r="J82" s="119" t="n"/>
      <c r="K82" s="121" t="n"/>
      <c r="L82" s="120" t="n"/>
      <c r="M82" s="121" t="n"/>
      <c r="N82" s="122" t="inlineStr">
        <is>
          <t>pulldata('cases_connected_ph', 'suggested_lesson1_lab_i', 'hhid', ${hhid})</t>
        </is>
      </c>
      <c r="O82" s="121" t="n"/>
      <c r="P82" s="121" t="n"/>
      <c r="Q82" s="121" t="n"/>
      <c r="R82" s="121" t="n"/>
      <c r="S82" s="120" t="n"/>
      <c r="T82" s="121" t="n"/>
      <c r="U82" s="120" t="n"/>
      <c r="V82" s="120" t="n"/>
      <c r="W82" s="121" t="n"/>
      <c r="X82" s="121" t="n"/>
    </row>
    <row r="83" ht="17" customHeight="1">
      <c r="A83" s="119" t="inlineStr">
        <is>
          <t>calculate</t>
        </is>
      </c>
      <c r="B83" s="119" t="inlineStr">
        <is>
          <t>best_time_mon</t>
        </is>
      </c>
      <c r="C83" s="122" t="inlineStr">
        <is>
          <t>Pulls best time to call during the day from cases_students dataset</t>
        </is>
      </c>
      <c r="D83" s="120" t="n"/>
      <c r="E83" s="121" t="n"/>
      <c r="F83" s="121" t="n"/>
      <c r="G83" s="120" t="n"/>
      <c r="H83" s="120" t="n"/>
      <c r="I83" s="122" t="n"/>
      <c r="J83" s="119" t="n"/>
      <c r="K83" s="121" t="n"/>
      <c r="L83" s="120" t="n"/>
      <c r="M83" s="121" t="n"/>
      <c r="N83" s="122" t="inlineStr">
        <is>
          <t>pulldata('cases_connected_ph', 'best_time_mon', 'hhid', ${hhid})</t>
        </is>
      </c>
      <c r="O83" s="121" t="n"/>
      <c r="P83" s="121" t="n"/>
      <c r="Q83" s="121" t="n"/>
      <c r="R83" s="121" t="n"/>
      <c r="S83" s="120" t="n"/>
      <c r="T83" s="121" t="n"/>
      <c r="U83" s="120" t="n"/>
      <c r="V83" s="120" t="n"/>
      <c r="W83" s="121" t="n"/>
      <c r="X83" s="121" t="n"/>
    </row>
    <row r="84" ht="17" customHeight="1">
      <c r="A84" s="119" t="inlineStr">
        <is>
          <t>calculate</t>
        </is>
      </c>
      <c r="B84" s="119" t="inlineStr">
        <is>
          <t>best_time_tue</t>
        </is>
      </c>
      <c r="C84" s="122" t="inlineStr">
        <is>
          <t>Pulls best time to call during the day from cases_students dataset</t>
        </is>
      </c>
      <c r="D84" s="120" t="n"/>
      <c r="E84" s="121" t="n"/>
      <c r="F84" s="121" t="n"/>
      <c r="G84" s="120" t="n"/>
      <c r="H84" s="120" t="n"/>
      <c r="I84" s="122" t="n"/>
      <c r="J84" s="119" t="n"/>
      <c r="K84" s="121" t="n"/>
      <c r="L84" s="120" t="n"/>
      <c r="M84" s="121" t="n"/>
      <c r="N84" s="122" t="inlineStr">
        <is>
          <t>pulldata('cases_connected_ph', 'best_time_tue', 'hhid', ${hhid})</t>
        </is>
      </c>
      <c r="O84" s="121" t="n"/>
      <c r="P84" s="121" t="n"/>
      <c r="Q84" s="121" t="n"/>
      <c r="R84" s="121" t="n"/>
      <c r="S84" s="120" t="n"/>
      <c r="T84" s="121" t="n"/>
      <c r="U84" s="120" t="n"/>
      <c r="V84" s="120" t="n"/>
      <c r="W84" s="121" t="n"/>
      <c r="X84" s="121" t="n"/>
    </row>
    <row r="85" ht="17" customHeight="1">
      <c r="A85" s="119" t="inlineStr">
        <is>
          <t>calculate</t>
        </is>
      </c>
      <c r="B85" s="119" t="inlineStr">
        <is>
          <t>best_time_wed</t>
        </is>
      </c>
      <c r="C85" s="122" t="inlineStr">
        <is>
          <t>Pulls best time to call during the day from cases_students dataset</t>
        </is>
      </c>
      <c r="D85" s="120" t="n"/>
      <c r="E85" s="121" t="n"/>
      <c r="F85" s="121" t="n"/>
      <c r="G85" s="120" t="n"/>
      <c r="H85" s="120" t="n"/>
      <c r="I85" s="122" t="n"/>
      <c r="J85" s="119" t="n"/>
      <c r="K85" s="121" t="n"/>
      <c r="L85" s="120" t="n"/>
      <c r="M85" s="121" t="n"/>
      <c r="N85" s="122" t="inlineStr">
        <is>
          <t>pulldata('cases_connected_ph', 'best_time_wed', 'hhid', ${hhid})</t>
        </is>
      </c>
      <c r="O85" s="121" t="n"/>
      <c r="P85" s="121" t="n"/>
      <c r="Q85" s="121" t="n"/>
      <c r="R85" s="121" t="n"/>
      <c r="S85" s="120" t="n"/>
      <c r="T85" s="121" t="n"/>
      <c r="U85" s="120" t="n"/>
      <c r="V85" s="120" t="n"/>
      <c r="W85" s="121" t="n"/>
      <c r="X85" s="121" t="n"/>
    </row>
    <row r="86" ht="17" customHeight="1">
      <c r="A86" s="119" t="inlineStr">
        <is>
          <t>calculate</t>
        </is>
      </c>
      <c r="B86" s="119" t="inlineStr">
        <is>
          <t>best_time_thu</t>
        </is>
      </c>
      <c r="C86" s="122" t="inlineStr">
        <is>
          <t>Pulls best time to call during the day from cases_students dataset</t>
        </is>
      </c>
      <c r="D86" s="120" t="n"/>
      <c r="E86" s="121" t="n"/>
      <c r="F86" s="121" t="n"/>
      <c r="G86" s="120" t="n"/>
      <c r="H86" s="120" t="n"/>
      <c r="I86" s="122" t="n"/>
      <c r="J86" s="119" t="n"/>
      <c r="K86" s="121" t="n"/>
      <c r="L86" s="120" t="n"/>
      <c r="M86" s="121" t="n"/>
      <c r="N86" s="122" t="inlineStr">
        <is>
          <t>pulldata('cases_connected_ph', 'best_time_thu', 'hhid', ${hhid})</t>
        </is>
      </c>
      <c r="O86" s="121" t="n"/>
      <c r="P86" s="121" t="n"/>
      <c r="Q86" s="121" t="n"/>
      <c r="R86" s="121" t="n"/>
      <c r="S86" s="120" t="n"/>
      <c r="T86" s="121" t="n"/>
      <c r="U86" s="120" t="n"/>
      <c r="V86" s="120" t="n"/>
      <c r="W86" s="121" t="n"/>
      <c r="X86" s="121" t="n"/>
    </row>
    <row r="87" ht="17" customHeight="1">
      <c r="A87" s="119" t="inlineStr">
        <is>
          <t>calculate</t>
        </is>
      </c>
      <c r="B87" s="119" t="inlineStr">
        <is>
          <t>best_time_fri</t>
        </is>
      </c>
      <c r="C87" s="122" t="inlineStr">
        <is>
          <t>Pulls best time to call during the day from cases_students dataset</t>
        </is>
      </c>
      <c r="D87" s="120" t="n"/>
      <c r="E87" s="121" t="n"/>
      <c r="F87" s="121" t="n"/>
      <c r="G87" s="120" t="n"/>
      <c r="H87" s="120" t="n"/>
      <c r="I87" s="122" t="n"/>
      <c r="J87" s="119" t="n"/>
      <c r="K87" s="121" t="n"/>
      <c r="L87" s="120" t="n"/>
      <c r="M87" s="121" t="n"/>
      <c r="N87" s="122" t="inlineStr">
        <is>
          <t>pulldata('cases_connected_ph', 'best_time_fri', 'hhid', ${hhid})</t>
        </is>
      </c>
      <c r="O87" s="121" t="n"/>
      <c r="P87" s="121" t="n"/>
      <c r="Q87" s="121" t="n"/>
      <c r="R87" s="121" t="n"/>
      <c r="S87" s="120" t="n"/>
      <c r="T87" s="121" t="n"/>
      <c r="U87" s="120" t="n"/>
      <c r="V87" s="120" t="n"/>
      <c r="W87" s="121" t="n"/>
      <c r="X87" s="121" t="n"/>
    </row>
    <row r="88" ht="17" customHeight="1">
      <c r="A88" s="119" t="inlineStr">
        <is>
          <t>calculate</t>
        </is>
      </c>
      <c r="B88" s="119" t="inlineStr">
        <is>
          <t>best_time_sat</t>
        </is>
      </c>
      <c r="C88" s="122" t="inlineStr">
        <is>
          <t>Pulls best time to call during the day from cases_students dataset</t>
        </is>
      </c>
      <c r="D88" s="120" t="n"/>
      <c r="E88" s="121" t="n"/>
      <c r="F88" s="121" t="n"/>
      <c r="G88" s="120" t="n"/>
      <c r="H88" s="120" t="n"/>
      <c r="I88" s="122" t="n"/>
      <c r="J88" s="119" t="n"/>
      <c r="K88" s="121" t="n"/>
      <c r="L88" s="120" t="n"/>
      <c r="M88" s="121" t="n"/>
      <c r="N88" s="122" t="inlineStr">
        <is>
          <t>pulldata('cases_connected_ph', 'best_time_sat', 'hhid', ${hhid})</t>
        </is>
      </c>
      <c r="O88" s="121" t="n"/>
      <c r="P88" s="121" t="n"/>
      <c r="Q88" s="121" t="n"/>
      <c r="R88" s="121" t="n"/>
      <c r="S88" s="120" t="n"/>
      <c r="T88" s="121" t="n"/>
      <c r="U88" s="120" t="n"/>
      <c r="V88" s="120" t="n"/>
      <c r="W88" s="121" t="n"/>
      <c r="X88" s="121" t="n"/>
    </row>
    <row r="89" ht="17" customHeight="1">
      <c r="A89" s="119" t="inlineStr">
        <is>
          <t>calculate</t>
        </is>
      </c>
      <c r="B89" s="119" t="inlineStr">
        <is>
          <t>best_time_sun</t>
        </is>
      </c>
      <c r="C89" s="122" t="inlineStr">
        <is>
          <t>Pulls best time to call during the day from cases_students dataset</t>
        </is>
      </c>
      <c r="D89" s="120" t="n"/>
      <c r="E89" s="121" t="n"/>
      <c r="F89" s="121" t="n"/>
      <c r="G89" s="120" t="n"/>
      <c r="H89" s="120" t="n"/>
      <c r="I89" s="122" t="n"/>
      <c r="J89" s="119" t="n"/>
      <c r="K89" s="121" t="n"/>
      <c r="L89" s="120" t="n"/>
      <c r="M89" s="121" t="n"/>
      <c r="N89" s="122" t="inlineStr">
        <is>
          <t>pulldata('cases_connected_ph', 'best_time_sun', 'hhid', ${hhid})</t>
        </is>
      </c>
      <c r="O89" s="121" t="n"/>
      <c r="P89" s="121" t="n"/>
      <c r="Q89" s="121" t="n"/>
      <c r="R89" s="121" t="n"/>
      <c r="S89" s="120" t="n"/>
      <c r="T89" s="121" t="n"/>
      <c r="U89" s="120" t="n"/>
      <c r="V89" s="120" t="n"/>
      <c r="W89" s="121" t="n"/>
      <c r="X89" s="121" t="n"/>
    </row>
    <row r="90" ht="17" customHeight="1">
      <c r="A90" s="119" t="inlineStr">
        <is>
          <t>calculate</t>
        </is>
      </c>
      <c r="B90" s="119" t="inlineStr">
        <is>
          <t>tutored_w1_prev</t>
        </is>
      </c>
      <c r="C90" s="122" t="inlineStr">
        <is>
          <t>Returns 1 if student was tutored in this week  in a previous call; pulled from cases_students dataset</t>
        </is>
      </c>
      <c r="D90" s="120" t="n"/>
      <c r="E90" s="121" t="n"/>
      <c r="F90" s="121" t="n"/>
      <c r="G90" s="120" t="n"/>
      <c r="H90" s="120" t="n"/>
      <c r="I90" s="122" t="n"/>
      <c r="J90" s="119" t="n"/>
      <c r="K90" s="121" t="n"/>
      <c r="L90" s="120" t="n"/>
      <c r="M90" s="121" t="n"/>
      <c r="N90" s="122" t="inlineStr">
        <is>
          <t>pulldata('cases_connected_ph', 'w1_done', 'hhid', ${hhid})</t>
        </is>
      </c>
      <c r="O90" s="121" t="n"/>
      <c r="P90" s="121" t="n"/>
      <c r="Q90" s="121" t="n"/>
      <c r="R90" s="121" t="n"/>
      <c r="S90" s="120" t="n"/>
      <c r="T90" s="121" t="n"/>
      <c r="U90" s="120" t="n"/>
      <c r="V90" s="120" t="n"/>
      <c r="W90" s="121" t="n"/>
      <c r="X90" s="121" t="n"/>
    </row>
    <row r="91" ht="17" customHeight="1">
      <c r="A91" s="119" t="inlineStr">
        <is>
          <t>calculate</t>
        </is>
      </c>
      <c r="B91" s="119" t="inlineStr">
        <is>
          <t>tutored_w2_prev</t>
        </is>
      </c>
      <c r="C91" s="122" t="inlineStr">
        <is>
          <t>Returns 1 if student was tutored in this week  in a previous call; pulled from cases_students dataset</t>
        </is>
      </c>
      <c r="D91" s="120" t="n"/>
      <c r="E91" s="121" t="n"/>
      <c r="F91" s="121" t="n"/>
      <c r="G91" s="120" t="n"/>
      <c r="H91" s="120" t="n"/>
      <c r="I91" s="122" t="n"/>
      <c r="J91" s="119" t="n"/>
      <c r="K91" s="121" t="n"/>
      <c r="L91" s="120" t="n"/>
      <c r="M91" s="121" t="n"/>
      <c r="N91" s="122" t="inlineStr">
        <is>
          <t>pulldata('cases_connected_ph', 'w2_done', 'hhid', ${hhid})</t>
        </is>
      </c>
      <c r="O91" s="121" t="n"/>
      <c r="P91" s="121" t="n"/>
      <c r="Q91" s="121" t="n"/>
      <c r="R91" s="121" t="n"/>
      <c r="S91" s="120" t="n"/>
      <c r="T91" s="121" t="n"/>
      <c r="U91" s="120" t="n"/>
      <c r="V91" s="120" t="n"/>
      <c r="W91" s="121" t="n"/>
      <c r="X91" s="121" t="n"/>
    </row>
    <row r="92" ht="17" customHeight="1">
      <c r="A92" s="119" t="inlineStr">
        <is>
          <t>calculate</t>
        </is>
      </c>
      <c r="B92" s="119" t="inlineStr">
        <is>
          <t>tutored_w3_prev</t>
        </is>
      </c>
      <c r="C92" s="122" t="inlineStr">
        <is>
          <t>Returns 1 if student was tutored in this week  in a previous call; pulled from cases_students dataset</t>
        </is>
      </c>
      <c r="D92" s="120" t="n"/>
      <c r="E92" s="121" t="n"/>
      <c r="F92" s="121" t="n"/>
      <c r="G92" s="120" t="n"/>
      <c r="H92" s="120" t="n"/>
      <c r="I92" s="122" t="n"/>
      <c r="J92" s="119" t="n"/>
      <c r="K92" s="121" t="n"/>
      <c r="L92" s="120" t="n"/>
      <c r="M92" s="121" t="n"/>
      <c r="N92" s="122" t="inlineStr">
        <is>
          <t>pulldata('cases_connected_ph', 'w3_done', 'hhid', ${hhid})</t>
        </is>
      </c>
      <c r="O92" s="121" t="n"/>
      <c r="P92" s="121" t="n"/>
      <c r="Q92" s="121" t="n"/>
      <c r="R92" s="121" t="n"/>
      <c r="S92" s="120" t="n"/>
      <c r="T92" s="121" t="n"/>
      <c r="U92" s="120" t="n"/>
      <c r="V92" s="120" t="n"/>
      <c r="W92" s="121" t="n"/>
      <c r="X92" s="121" t="n"/>
    </row>
    <row r="93" ht="17" customHeight="1">
      <c r="A93" s="119" t="inlineStr">
        <is>
          <t>calculate</t>
        </is>
      </c>
      <c r="B93" s="119" t="inlineStr">
        <is>
          <t>tutored_w4_prev</t>
        </is>
      </c>
      <c r="C93" s="122" t="inlineStr">
        <is>
          <t>Returns 1 if student was tutored in this week  in a previous call; pulled from cases_students dataset</t>
        </is>
      </c>
      <c r="D93" s="120" t="n"/>
      <c r="E93" s="121" t="n"/>
      <c r="F93" s="121" t="n"/>
      <c r="G93" s="120" t="n"/>
      <c r="H93" s="120" t="n"/>
      <c r="I93" s="122" t="n"/>
      <c r="J93" s="119" t="n"/>
      <c r="K93" s="121" t="n"/>
      <c r="L93" s="120" t="n"/>
      <c r="M93" s="121" t="n"/>
      <c r="N93" s="122" t="inlineStr">
        <is>
          <t>pulldata('cases_connected_ph', 'w4_done', 'hhid', ${hhid})</t>
        </is>
      </c>
      <c r="O93" s="121" t="n"/>
      <c r="P93" s="121" t="n"/>
      <c r="Q93" s="121" t="n"/>
      <c r="R93" s="121" t="n"/>
      <c r="S93" s="120" t="n"/>
      <c r="T93" s="121" t="n"/>
      <c r="U93" s="120" t="n"/>
      <c r="V93" s="120" t="n"/>
      <c r="W93" s="121" t="n"/>
      <c r="X93" s="121" t="n"/>
    </row>
    <row r="94" ht="17" customHeight="1">
      <c r="A94" s="119" t="inlineStr">
        <is>
          <t>calculate</t>
        </is>
      </c>
      <c r="B94" s="119" t="inlineStr">
        <is>
          <t>tutored_w5_prev</t>
        </is>
      </c>
      <c r="C94" s="122" t="inlineStr">
        <is>
          <t>Returns 1 if student was tutored in this week  in a previous call; pulled from cases_students dataset</t>
        </is>
      </c>
      <c r="D94" s="120" t="n"/>
      <c r="E94" s="121" t="n"/>
      <c r="F94" s="121" t="n"/>
      <c r="G94" s="120" t="n"/>
      <c r="H94" s="120" t="n"/>
      <c r="I94" s="122" t="n"/>
      <c r="J94" s="119" t="n"/>
      <c r="K94" s="121" t="n"/>
      <c r="L94" s="120" t="n"/>
      <c r="M94" s="121" t="n"/>
      <c r="N94" s="122" t="inlineStr">
        <is>
          <t>pulldata('cases_connected_ph', 'w5_done', 'hhid', ${hhid})</t>
        </is>
      </c>
      <c r="O94" s="121" t="n"/>
      <c r="P94" s="121" t="n"/>
      <c r="Q94" s="121" t="n"/>
      <c r="R94" s="121" t="n"/>
      <c r="S94" s="120" t="n"/>
      <c r="T94" s="121" t="n"/>
      <c r="U94" s="120" t="n"/>
      <c r="V94" s="120" t="n"/>
      <c r="W94" s="121" t="n"/>
      <c r="X94" s="121" t="n"/>
    </row>
    <row r="95" ht="17" customHeight="1">
      <c r="A95" s="119" t="inlineStr">
        <is>
          <t>calculate</t>
        </is>
      </c>
      <c r="B95" s="119" t="inlineStr">
        <is>
          <t>tutored_w6_prev</t>
        </is>
      </c>
      <c r="C95" s="122" t="inlineStr">
        <is>
          <t>Returns 1 if student was tutored in this week  in a previous call; pulled from cases_students dataset</t>
        </is>
      </c>
      <c r="D95" s="120" t="n"/>
      <c r="E95" s="121" t="n"/>
      <c r="F95" s="121" t="n"/>
      <c r="G95" s="120" t="n"/>
      <c r="H95" s="120" t="n"/>
      <c r="I95" s="122" t="n"/>
      <c r="J95" s="119" t="n"/>
      <c r="K95" s="121" t="n"/>
      <c r="L95" s="120" t="n"/>
      <c r="M95" s="121" t="n"/>
      <c r="N95" s="122" t="inlineStr">
        <is>
          <t>pulldata('cases_connected_ph', 'w6_done', 'hhid', ${hhid})</t>
        </is>
      </c>
      <c r="O95" s="121" t="n"/>
      <c r="P95" s="121" t="n"/>
      <c r="Q95" s="121" t="n"/>
      <c r="R95" s="121" t="n"/>
      <c r="S95" s="120" t="n"/>
      <c r="T95" s="121" t="n"/>
      <c r="U95" s="120" t="n"/>
      <c r="V95" s="120" t="n"/>
      <c r="W95" s="121" t="n"/>
      <c r="X95" s="121" t="n"/>
    </row>
    <row r="96" ht="17" customHeight="1">
      <c r="A96" s="119" t="inlineStr">
        <is>
          <t>calculate</t>
        </is>
      </c>
      <c r="B96" s="119" t="inlineStr">
        <is>
          <t>tutored_w7_prev</t>
        </is>
      </c>
      <c r="C96" s="122" t="inlineStr">
        <is>
          <t>Returns 1 if student was tutored in this week  in a previous call; pulled from cases_students dataset</t>
        </is>
      </c>
      <c r="D96" s="120" t="n"/>
      <c r="E96" s="121" t="n"/>
      <c r="F96" s="121" t="n"/>
      <c r="G96" s="120" t="n"/>
      <c r="H96" s="120" t="n"/>
      <c r="I96" s="122" t="n"/>
      <c r="J96" s="119" t="n"/>
      <c r="K96" s="121" t="n"/>
      <c r="L96" s="120" t="n"/>
      <c r="M96" s="121" t="n"/>
      <c r="N96" s="122" t="inlineStr">
        <is>
          <t>pulldata('cases_connected_ph', 'w7_done', 'hhid', ${hhid})</t>
        </is>
      </c>
      <c r="O96" s="121" t="n"/>
      <c r="P96" s="121" t="n"/>
      <c r="Q96" s="121" t="n"/>
      <c r="R96" s="121" t="n"/>
      <c r="S96" s="120" t="n"/>
      <c r="T96" s="121" t="n"/>
      <c r="U96" s="120" t="n"/>
      <c r="V96" s="120" t="n"/>
      <c r="W96" s="121" t="n"/>
      <c r="X96" s="121" t="n"/>
    </row>
    <row r="97" ht="17" customHeight="1">
      <c r="A97" s="119" t="inlineStr">
        <is>
          <t>calculate</t>
        </is>
      </c>
      <c r="B97" s="119" t="inlineStr">
        <is>
          <t>tutored_w8_prev</t>
        </is>
      </c>
      <c r="C97" s="122" t="inlineStr">
        <is>
          <t>Returns 1 if student was tutored in this week  in a previous call; pulled from cases_students dataset</t>
        </is>
      </c>
      <c r="D97" s="120" t="n"/>
      <c r="E97" s="121" t="n"/>
      <c r="F97" s="121" t="n"/>
      <c r="G97" s="120" t="n"/>
      <c r="H97" s="120" t="n"/>
      <c r="I97" s="122" t="n"/>
      <c r="J97" s="119" t="n"/>
      <c r="K97" s="121" t="n"/>
      <c r="L97" s="120" t="n"/>
      <c r="M97" s="121" t="n"/>
      <c r="N97" s="122" t="inlineStr">
        <is>
          <t>pulldata('cases_connected_ph', 'w8_done', 'hhid', ${hhid})</t>
        </is>
      </c>
      <c r="O97" s="121" t="n"/>
      <c r="P97" s="121" t="n"/>
      <c r="Q97" s="121" t="n"/>
      <c r="R97" s="121" t="n"/>
      <c r="S97" s="120" t="n"/>
      <c r="T97" s="121" t="n"/>
      <c r="U97" s="120" t="n"/>
      <c r="V97" s="120" t="n"/>
      <c r="W97" s="121" t="n"/>
      <c r="X97" s="121" t="n"/>
    </row>
    <row r="98" ht="17" customHeight="1">
      <c r="A98" s="119" t="inlineStr">
        <is>
          <t>calculate</t>
        </is>
      </c>
      <c r="B98" s="119" t="inlineStr">
        <is>
          <t>last_week_tutored</t>
        </is>
      </c>
      <c r="C98" s="122" t="inlineStr">
        <is>
          <t>Last week tutored</t>
        </is>
      </c>
      <c r="D98" s="120" t="n"/>
      <c r="E98" s="121" t="n"/>
      <c r="F98" s="121" t="n"/>
      <c r="G98" s="120" t="n"/>
      <c r="H98" s="120" t="n"/>
      <c r="I98" s="122" t="n"/>
      <c r="J98" s="119" t="n"/>
      <c r="K98" s="121" t="n"/>
      <c r="L98" s="120" t="n"/>
      <c r="M98" s="121" t="n"/>
      <c r="N98" s="122" t="inlineStr">
        <is>
          <t xml:space="preserve">	if(${tutored_w8_prev}=1, 8, if(${tutored_w7_prev}=1, 7, if(${tutored_w6_prev}=1, 6, if(${tutored_w5_prev}=1, 5, if(${tutored_w4_prev}=1, 4, if(${tutored_w3_prev}=1, 3, if(${tutored_w2_prev}=1, 2, if(${tutored_w1_prev}=1, 1, 0))))))))</t>
        </is>
      </c>
      <c r="O98" s="121" t="n"/>
      <c r="P98" s="121" t="n"/>
      <c r="Q98" s="121" t="n"/>
      <c r="R98" s="121" t="n"/>
      <c r="S98" s="120" t="n"/>
      <c r="T98" s="121" t="n"/>
      <c r="U98" s="120" t="n"/>
      <c r="V98" s="120" t="n"/>
      <c r="W98" s="121" t="n"/>
      <c r="X98" s="121" t="n"/>
    </row>
    <row r="99" ht="17" customHeight="1">
      <c r="A99" s="119" t="inlineStr">
        <is>
          <t>calculate</t>
        </is>
      </c>
      <c r="B99" s="119" t="inlineStr">
        <is>
          <t>suggest_week</t>
        </is>
      </c>
      <c r="C99" s="122" t="inlineStr">
        <is>
          <t>Week suggested</t>
        </is>
      </c>
      <c r="D99" s="120" t="n"/>
      <c r="E99" s="121" t="n"/>
      <c r="F99" s="121" t="n"/>
      <c r="G99" s="120" t="n"/>
      <c r="H99" s="120" t="n"/>
      <c r="I99" s="122" t="n"/>
      <c r="J99" s="119" t="n"/>
      <c r="K99" s="121" t="n"/>
      <c r="L99" s="120" t="n"/>
      <c r="M99" s="121" t="n"/>
      <c r="N99" s="122" t="inlineStr">
        <is>
          <t>if(${last_week_tutored}&lt;8, ${last_week_tutored}+1,'NA')</t>
        </is>
      </c>
      <c r="O99" s="121" t="n"/>
      <c r="P99" s="121" t="n"/>
      <c r="Q99" s="121" t="n"/>
      <c r="R99" s="121" t="n"/>
      <c r="S99" s="120" t="n"/>
      <c r="T99" s="121" t="n"/>
      <c r="U99" s="120" t="n"/>
      <c r="V99" s="120" t="n"/>
      <c r="W99" s="121" t="n"/>
      <c r="X99" s="121" t="n"/>
    </row>
    <row r="100" ht="136" customHeight="1">
      <c r="A100" s="119" t="inlineStr">
        <is>
          <t>note</t>
        </is>
      </c>
      <c r="B100" s="119" t="inlineStr">
        <is>
          <t>test_tutored_prev</t>
        </is>
      </c>
      <c r="C100" s="122" t="inlineStr">
        <is>
          <t>&lt;b&gt;DISABLE AFTER TESTING:&lt;/b&gt;
&lt;br&gt;&lt;br&gt;
tutored_w1_prev: ${tutored_w1_prev} &lt;br&gt;
w1_done: ${w1_done} &lt;br&gt;
w2_done: ${w2_done} &lt;br&gt;
w3_done: ${w3_done}</t>
        </is>
      </c>
      <c r="D100" s="120" t="n"/>
      <c r="E100" s="121" t="n"/>
      <c r="F100" s="121" t="n"/>
      <c r="G100" s="120" t="n"/>
      <c r="H100" s="120" t="n"/>
      <c r="I100" s="122" t="n"/>
      <c r="J100" s="119" t="inlineStr">
        <is>
          <t>yes</t>
        </is>
      </c>
      <c r="K100" s="121" t="n"/>
      <c r="L100" s="120" t="n"/>
      <c r="M100" s="121" t="n"/>
      <c r="N100" s="120" t="n"/>
      <c r="O100" s="121" t="n"/>
      <c r="P100" s="121" t="n"/>
      <c r="Q100" s="121" t="n"/>
      <c r="R100" s="121" t="n"/>
      <c r="S100" s="120" t="n"/>
      <c r="T100" s="121" t="n"/>
      <c r="U100" s="120" t="n"/>
      <c r="V100" s="120" t="n"/>
      <c r="W100" s="121" t="n"/>
      <c r="X100" s="121" t="n"/>
    </row>
    <row r="101">
      <c r="A101" s="121" t="n"/>
      <c r="B101" s="121" t="n"/>
      <c r="C101" s="122" t="n"/>
      <c r="D101" s="120" t="n"/>
      <c r="E101" s="121" t="n"/>
      <c r="F101" s="121" t="n"/>
      <c r="G101" s="120" t="n"/>
      <c r="H101" s="120" t="n"/>
      <c r="I101" s="122" t="n"/>
      <c r="J101" s="119" t="n"/>
      <c r="K101" s="121" t="n"/>
      <c r="L101" s="120" t="n"/>
      <c r="M101" s="121" t="n"/>
      <c r="N101" s="120" t="n"/>
      <c r="O101" s="121" t="n"/>
      <c r="P101" s="121" t="n"/>
      <c r="Q101" s="121" t="n"/>
      <c r="R101" s="121" t="n"/>
      <c r="S101" s="120" t="n"/>
      <c r="T101" s="121" t="n"/>
      <c r="U101" s="120" t="n"/>
      <c r="V101" s="120" t="n"/>
      <c r="W101" s="121" t="n"/>
      <c r="X101" s="121" t="n"/>
    </row>
    <row r="102" ht="17" customHeight="1">
      <c r="A102" s="119" t="inlineStr">
        <is>
          <t>begin group</t>
        </is>
      </c>
      <c r="B102" s="119" t="inlineStr">
        <is>
          <t>phonecall</t>
        </is>
      </c>
      <c r="C102" s="122" t="inlineStr">
        <is>
          <t>Calling</t>
        </is>
      </c>
      <c r="D102" s="120" t="n"/>
      <c r="E102" s="121" t="n"/>
      <c r="F102" s="121" t="n"/>
      <c r="G102" s="120" t="n"/>
      <c r="H102" s="120" t="n"/>
      <c r="I102" s="122" t="n"/>
      <c r="J102" s="119" t="n"/>
      <c r="K102" s="121" t="n"/>
      <c r="L102" s="120" t="n"/>
      <c r="M102" s="121" t="n"/>
      <c r="N102" s="120" t="n"/>
      <c r="O102" s="121" t="n"/>
      <c r="P102" s="121" t="n"/>
      <c r="Q102" s="121" t="n"/>
      <c r="R102" s="121" t="n"/>
      <c r="S102" s="120" t="n"/>
      <c r="T102" s="121" t="n"/>
      <c r="U102" s="120" t="n"/>
      <c r="V102" s="120" t="n"/>
      <c r="W102" s="121" t="n"/>
      <c r="X102" s="121" t="n"/>
    </row>
    <row r="103" ht="17" customHeight="1">
      <c r="A103" s="119" t="inlineStr">
        <is>
          <t>begin group</t>
        </is>
      </c>
      <c r="B103" s="119" t="inlineStr">
        <is>
          <t>select_phone_no</t>
        </is>
      </c>
      <c r="C103" s="122" t="n"/>
      <c r="D103" s="120" t="n"/>
      <c r="E103" s="121" t="n"/>
      <c r="F103" s="119" t="inlineStr">
        <is>
          <t>field-list</t>
        </is>
      </c>
      <c r="G103" s="120" t="n"/>
      <c r="H103" s="120" t="n"/>
      <c r="I103" s="122" t="n"/>
      <c r="J103" s="119" t="n"/>
      <c r="K103" s="121" t="n"/>
      <c r="L103" s="120" t="n"/>
      <c r="M103" s="121" t="n"/>
      <c r="N103" s="120" t="n"/>
      <c r="O103" s="121" t="n"/>
      <c r="P103" s="121" t="n"/>
      <c r="Q103" s="121" t="n"/>
      <c r="R103" s="121" t="n"/>
      <c r="S103" s="120" t="n"/>
      <c r="T103" s="121" t="n"/>
      <c r="U103" s="120" t="n"/>
      <c r="V103" s="120" t="n"/>
      <c r="W103" s="121" t="n"/>
      <c r="X103" s="121" t="n"/>
    </row>
    <row r="104" ht="136" customHeight="1">
      <c r="A104" s="119" t="inlineStr">
        <is>
          <t>note</t>
        </is>
      </c>
      <c r="B104" s="119" t="inlineStr">
        <is>
          <t>note_hh_info1</t>
        </is>
      </c>
      <c r="C104" s="122" t="inlineStr">
        <is>
          <t xml:space="preserve">&lt;b&gt;HOUSEHOLD INFORMATION:&lt;/b&gt;
&lt;br&gt;&lt;br&gt;
ID: &lt;b&gt;${learner_id}&lt;/b&gt; &lt;br&gt;
Student's name: &lt;b&gt;${stud_name}&lt;/b&gt; &lt;br&gt;
Student's primary caregiver: &lt;b&gt;${care_name}&lt;/b&gt; &lt;br&gt;
Primary caregiver's relationship to child: &lt;b&gt;${care_rel_lab}&lt;/b&gt; </t>
        </is>
      </c>
      <c r="D104" s="120" t="n"/>
      <c r="E104" s="121" t="n"/>
      <c r="F104" s="121" t="n"/>
      <c r="G104" s="120" t="n"/>
      <c r="H104" s="120" t="n"/>
      <c r="I104" s="122" t="n"/>
      <c r="J104" s="119" t="n"/>
      <c r="K104" s="121" t="n"/>
      <c r="L104" s="120" t="n"/>
      <c r="M104" s="121" t="n"/>
      <c r="N104" s="120" t="n"/>
      <c r="O104" s="121" t="n"/>
      <c r="P104" s="121" t="n"/>
      <c r="Q104" s="121" t="n"/>
      <c r="R104" s="121" t="n"/>
      <c r="S104" s="120" t="n"/>
      <c r="T104" s="121" t="n"/>
      <c r="U104" s="120" t="n"/>
      <c r="V104" s="120" t="n"/>
      <c r="W104" s="121" t="n"/>
      <c r="X104" s="121" t="n"/>
    </row>
    <row r="105" ht="221" customHeight="1">
      <c r="A105" s="119" t="inlineStr">
        <is>
          <t>note</t>
        </is>
      </c>
      <c r="B105" s="119" t="inlineStr">
        <is>
          <t>note_best_time</t>
        </is>
      </c>
      <c r="C105" s="122" t="inlineStr">
        <is>
          <t>&lt;b&gt;BEST DAYS AND TIME TO CALL:&lt;/b&gt;
&lt;br&gt;&lt;br&gt;
&lt;ul&gt;
&lt;li&gt;Monday: ${best_time_mon}&lt;/li&gt;
&lt;li&gt;Tuesday: ${best_time_tue}&lt;/li&gt;
&lt;li&gt;Wednesday: ${best_time_wed}&lt;/li&gt;
&lt;li&gt;Thursday: ${best_time_thu}&lt;/li&gt;
&lt;li&gt;Friday: ${best_time_fri}&lt;/li&gt;
&lt;li&gt;Saturday: ${best_time_sat}&lt;/li&gt;
&lt;li&gt;Sunday: ${best_time_sun}&lt;/li&gt;
&lt;/ul&gt;</t>
        </is>
      </c>
      <c r="D105" s="120" t="n"/>
      <c r="E105" s="121" t="n"/>
      <c r="F105" s="121" t="n"/>
      <c r="G105" s="120" t="n"/>
      <c r="H105" s="120" t="n"/>
      <c r="I105" s="122" t="n"/>
      <c r="J105" s="119" t="n"/>
      <c r="K105" s="121" t="n"/>
      <c r="L105" s="120" t="n"/>
      <c r="M105" s="121" t="n"/>
      <c r="N105" s="120" t="n"/>
      <c r="O105" s="121" t="n"/>
      <c r="P105" s="121" t="n"/>
      <c r="Q105" s="121" t="n"/>
      <c r="R105" s="121" t="n"/>
      <c r="S105" s="120" t="n"/>
      <c r="T105" s="121" t="n"/>
      <c r="U105" s="120" t="n"/>
      <c r="V105" s="120" t="n"/>
      <c r="W105" s="121" t="n"/>
      <c r="X105" s="121" t="n"/>
    </row>
    <row r="106" ht="119" customHeight="1">
      <c r="A106" s="119" t="inlineStr">
        <is>
          <t>note</t>
        </is>
      </c>
      <c r="B106" s="119" t="inlineStr">
        <is>
          <t>note_best_phone1</t>
        </is>
      </c>
      <c r="C106" s="122" t="inlineStr">
        <is>
          <t>&lt;b&gt;BEST PHONE NUMBER:&lt;/b&gt;
&lt;br&gt;&lt;br&gt;
&lt;ul&gt;
&lt;li&gt;${best_phone_name} (${best_phone_rel}): &lt;b&gt;${best_phone}&lt;/b&gt;&lt;/li&gt;
&lt;/ul&gt;</t>
        </is>
      </c>
      <c r="D106" s="120" t="n"/>
      <c r="E106" s="121" t="n"/>
      <c r="F106" s="121" t="n"/>
      <c r="G106" s="120" t="n"/>
      <c r="H106" s="120" t="n"/>
      <c r="I106" s="122" t="inlineStr">
        <is>
          <t>${best_phone2} = null</t>
        </is>
      </c>
      <c r="J106" s="119" t="n"/>
      <c r="K106" s="121" t="n"/>
      <c r="L106" s="120" t="n"/>
      <c r="M106" s="121" t="n"/>
      <c r="N106" s="120" t="n"/>
      <c r="O106" s="121" t="n"/>
      <c r="P106" s="121" t="n"/>
      <c r="Q106" s="121" t="n"/>
      <c r="R106" s="121" t="n"/>
      <c r="S106" s="120" t="n"/>
      <c r="T106" s="121" t="n"/>
      <c r="U106" s="120" t="n"/>
      <c r="V106" s="120" t="n"/>
      <c r="W106" s="121" t="n"/>
      <c r="X106" s="121" t="n"/>
    </row>
    <row r="107" ht="119" customHeight="1">
      <c r="A107" s="119" t="inlineStr">
        <is>
          <t>note</t>
        </is>
      </c>
      <c r="B107" s="119" t="inlineStr">
        <is>
          <t>note_best_phone2</t>
        </is>
      </c>
      <c r="C107" s="122" t="inlineStr">
        <is>
          <t>&lt;b&gt;BEST PHONE NUMBER:&lt;/b&gt;
&lt;br&gt;&lt;br&gt;
&lt;ul&gt;
&lt;li&gt;${best_phone2_name} (${best_phone2_rel}): &lt;b&gt;${best_phone2}&lt;/b&gt;&lt;/li&gt;
&lt;/ul&gt;</t>
        </is>
      </c>
      <c r="D107" s="120" t="n"/>
      <c r="E107" s="121" t="n"/>
      <c r="F107" s="121" t="n"/>
      <c r="G107" s="120" t="n"/>
      <c r="H107" s="120" t="n"/>
      <c r="I107" s="122" t="inlineStr">
        <is>
          <t>${best_phone2} != null</t>
        </is>
      </c>
      <c r="J107" s="119" t="n"/>
      <c r="K107" s="121" t="n"/>
      <c r="L107" s="120" t="n"/>
      <c r="M107" s="121" t="n"/>
      <c r="N107" s="120" t="n"/>
      <c r="O107" s="121" t="n"/>
      <c r="P107" s="121" t="n"/>
      <c r="Q107" s="121" t="n"/>
      <c r="R107" s="121" t="n"/>
      <c r="S107" s="120" t="n"/>
      <c r="T107" s="121" t="n"/>
      <c r="U107" s="120" t="n"/>
      <c r="V107" s="120" t="n"/>
      <c r="W107" s="121" t="n"/>
      <c r="X107" s="121" t="n"/>
    </row>
    <row r="108" ht="17" customHeight="1">
      <c r="A108" s="119" t="inlineStr">
        <is>
          <t>select_one phones</t>
        </is>
      </c>
      <c r="B108" s="119" t="inlineStr">
        <is>
          <t>phone_select</t>
        </is>
      </c>
      <c r="C108" s="122" t="inlineStr">
        <is>
          <t>Please select the phone number you want to call:</t>
        </is>
      </c>
      <c r="D108" s="120" t="n"/>
      <c r="E108" s="121" t="n"/>
      <c r="F108" s="121" t="n"/>
      <c r="G108" s="120" t="n"/>
      <c r="H108" s="120" t="n"/>
      <c r="I108" s="122" t="n"/>
      <c r="J108" s="119" t="n"/>
      <c r="K108" s="119" t="inlineStr">
        <is>
          <t>yes</t>
        </is>
      </c>
      <c r="L108" s="120" t="n"/>
      <c r="M108" s="121" t="n"/>
      <c r="N108" s="120" t="n"/>
      <c r="O108" s="121" t="n"/>
      <c r="P108" s="121" t="n"/>
      <c r="Q108" s="121" t="n"/>
      <c r="R108" s="121" t="n"/>
      <c r="S108" s="120" t="n"/>
      <c r="T108" s="119" t="inlineStr">
        <is>
          <t>filter &lt;= ${contacts}</t>
        </is>
      </c>
      <c r="U108" s="120" t="n"/>
      <c r="V108" s="120" t="n"/>
      <c r="W108" s="121" t="n"/>
      <c r="X108" s="121" t="n"/>
    </row>
    <row r="109" ht="68" customHeight="1">
      <c r="A109" s="119" t="inlineStr">
        <is>
          <t>calculate</t>
        </is>
      </c>
      <c r="B109" s="119" t="inlineStr">
        <is>
          <t>selected_phone_no</t>
        </is>
      </c>
      <c r="C109" s="122" t="inlineStr">
        <is>
          <t>Calculates the phone number to be called</t>
        </is>
      </c>
      <c r="D109" s="120" t="n"/>
      <c r="E109" s="121" t="n"/>
      <c r="F109" s="121" t="n"/>
      <c r="G109" s="120" t="n"/>
      <c r="H109" s="120" t="n"/>
      <c r="I109" s="122" t="n"/>
      <c r="J109" s="119" t="n"/>
      <c r="K109" s="121" t="n"/>
      <c r="L109" s="120" t="n"/>
      <c r="M109" s="121" t="n"/>
      <c r="N109" s="122" t="inlineStr">
        <is>
          <t>if(selected(${phone_select}, '1'), ${phone1}, 
if(selected(${phone_select}, '2'), ${phone2}, 
if(selected(${phone_select}, '3'), ${phone3}, 
if(selected(${phone_select}, '4'), ${best_phone},${best_phone2}))))</t>
        </is>
      </c>
      <c r="O109" s="121" t="n"/>
      <c r="P109" s="121" t="n"/>
      <c r="Q109" s="121" t="n"/>
      <c r="R109" s="121" t="n"/>
      <c r="S109" s="120" t="n"/>
      <c r="T109" s="121" t="n"/>
      <c r="U109" s="120" t="n"/>
      <c r="V109" s="120" t="n"/>
      <c r="W109" s="121" t="n"/>
      <c r="X109" s="121" t="n"/>
    </row>
    <row r="110">
      <c r="A110" s="119" t="inlineStr">
        <is>
          <t>end group</t>
        </is>
      </c>
      <c r="B110" s="119" t="inlineStr">
        <is>
          <t>select_phone_no</t>
        </is>
      </c>
      <c r="C110" s="122" t="n"/>
      <c r="D110" s="120" t="n"/>
      <c r="E110" s="121" t="n"/>
      <c r="F110" s="121" t="n"/>
      <c r="G110" s="120" t="n"/>
      <c r="H110" s="120" t="n"/>
      <c r="I110" s="122" t="n"/>
      <c r="J110" s="119" t="n"/>
      <c r="K110" s="121" t="n"/>
      <c r="L110" s="120" t="n"/>
      <c r="M110" s="121" t="n"/>
      <c r="N110" s="122" t="n"/>
      <c r="O110" s="121" t="n"/>
      <c r="P110" s="121" t="n"/>
      <c r="Q110" s="121" t="n"/>
      <c r="R110" s="121" t="n"/>
      <c r="S110" s="120" t="n"/>
      <c r="T110" s="121" t="n"/>
      <c r="U110" s="120" t="n"/>
      <c r="V110" s="120" t="n"/>
      <c r="W110" s="121" t="n"/>
      <c r="X110" s="121" t="n"/>
    </row>
    <row r="111" ht="17" customHeight="1">
      <c r="A111" s="119" t="inlineStr">
        <is>
          <t>begin group</t>
        </is>
      </c>
      <c r="B111" s="119" t="inlineStr">
        <is>
          <t>calling</t>
        </is>
      </c>
      <c r="C111" s="122" t="n"/>
      <c r="D111" s="120" t="n"/>
      <c r="E111" s="121" t="n"/>
      <c r="F111" s="119" t="inlineStr">
        <is>
          <t>field-list</t>
        </is>
      </c>
      <c r="G111" s="120" t="n"/>
      <c r="H111" s="120" t="n"/>
      <c r="I111" s="122" t="n"/>
      <c r="J111" s="119" t="n"/>
      <c r="K111" s="121" t="n"/>
      <c r="L111" s="120" t="n"/>
      <c r="M111" s="121" t="n"/>
      <c r="N111" s="122" t="n"/>
      <c r="O111" s="121" t="n"/>
      <c r="P111" s="121" t="n"/>
      <c r="Q111" s="121" t="n"/>
      <c r="R111" s="121" t="n"/>
      <c r="S111" s="120" t="n"/>
      <c r="T111" s="121" t="n"/>
      <c r="U111" s="120" t="n"/>
      <c r="V111" s="120" t="n"/>
      <c r="W111" s="121" t="n"/>
      <c r="X111" s="121" t="n"/>
    </row>
    <row r="112" ht="255" customHeight="1">
      <c r="A112" s="119" t="inlineStr">
        <is>
          <t>note</t>
        </is>
      </c>
      <c r="B112" s="119" t="inlineStr">
        <is>
          <t>note_hh_info2</t>
        </is>
      </c>
      <c r="C112" s="122" t="inlineStr">
        <is>
          <t>&lt;b&gt;HOUSEHOLD INFORMATION:&lt;/b&gt;
&lt;br&gt;&lt;br&gt;
ID: &lt;b&gt;${learner_id}&lt;/b&gt; &lt;br&gt;
Student's name: &lt;b&gt;${stud_name}&lt;/b&gt; &lt;br&gt;
Student's primary caregiver: &lt;b&gt;${care_name}&lt;/b&gt; &lt;br&gt;
Primary caregiver's relationship to child: &lt;b&gt;${care_rel_lab}&lt;/b&gt; 
&lt;br&gt;&lt;br&gt;
Student's school name: &lt;b&gt;${school}&lt;/b&gt; &lt;br&gt;
Age: &lt;b&gt;${age}&lt;/b&gt; &lt;br&gt;
Grade: &lt;b&gt;${grade}&lt;/b&gt; &lt;br&gt;
Sex: &lt;b&gt;${gender}&lt;/b&gt;</t>
        </is>
      </c>
      <c r="D112" s="120" t="n"/>
      <c r="E112" s="121" t="n"/>
      <c r="F112" s="121" t="n"/>
      <c r="G112" s="120" t="n"/>
      <c r="H112" s="120" t="n"/>
      <c r="I112" s="122" t="n"/>
      <c r="J112" s="119" t="n"/>
      <c r="K112" s="121" t="n"/>
      <c r="L112" s="120" t="n"/>
      <c r="M112" s="121" t="n"/>
      <c r="N112" s="120" t="n"/>
      <c r="O112" s="121" t="n"/>
      <c r="P112" s="121" t="n"/>
      <c r="Q112" s="121" t="n"/>
      <c r="R112" s="121" t="n"/>
      <c r="S112" s="120" t="n"/>
      <c r="T112" s="121" t="n"/>
      <c r="U112" s="120" t="n"/>
      <c r="V112" s="120" t="n"/>
      <c r="W112" s="121" t="n"/>
      <c r="X112" s="121" t="n"/>
    </row>
    <row r="113" ht="221" customHeight="1">
      <c r="A113" s="119" t="inlineStr">
        <is>
          <t>text</t>
        </is>
      </c>
      <c r="B113" s="119" t="inlineStr">
        <is>
          <t>phone_call</t>
        </is>
      </c>
      <c r="C113" s="122" t="inlineStr">
        <is>
          <t>&lt;p&gt;&lt;span style="color: #3366ff;"&gt;&lt;b&gt;When you're ready, click the button below to make the phone call.&lt;/b&gt;&lt;/span&gt;&lt;/p&gt;
&lt;br&gt;&lt;br&gt;
&lt;p&gt;&lt;span style="color: #3366ff;"&gt;You are calling &lt;b&gt;&lt;u&gt;${care_name}&lt;/u&gt;&lt;/b&gt;, the primary caregiver of &lt;b&gt;&lt;u&gt;${stud_name}&lt;/u&gt;&lt;/b&gt;. If the call is answered, read the script below and record the status of the call.&lt;/span&gt;&lt;/p&gt;
&lt;br&gt;&lt;br&gt;
&lt;i&gt;Hello! Good morning / afternoon / evening! My name is &lt;b&gt;&lt;u&gt;${facilitator_i}&lt;/u&gt;&lt;/b&gt; from Department of Education (DepEd). May I speak to &lt;b&gt;&lt;u&gt;${care_name}&lt;/u&gt;&lt;/b&gt;?&lt;/i&gt;</t>
        </is>
      </c>
      <c r="D113" s="120" t="n"/>
      <c r="E113" s="121" t="n"/>
      <c r="F113" s="119" t="inlineStr">
        <is>
          <t>custom-phone-call(phone_number=${selected_phone_no})</t>
        </is>
      </c>
      <c r="G113" s="120" t="n"/>
      <c r="H113" s="120" t="n"/>
      <c r="I113" s="122" t="n"/>
      <c r="J113" s="119" t="n"/>
      <c r="K113" s="121" t="n"/>
      <c r="L113" s="120" t="n"/>
      <c r="M113" s="121" t="n"/>
      <c r="N113" s="120" t="n"/>
      <c r="O113" s="121" t="n"/>
      <c r="P113" s="121" t="n"/>
      <c r="Q113" s="121" t="n"/>
      <c r="R113" s="121" t="n"/>
      <c r="S113" s="120" t="n"/>
      <c r="T113" s="121" t="n"/>
      <c r="U113" s="120" t="n"/>
      <c r="V113" s="120" t="n"/>
      <c r="W113" s="121" t="n"/>
      <c r="X113" s="121" t="n"/>
    </row>
    <row r="114" ht="17" customHeight="1">
      <c r="A114" s="119" t="inlineStr">
        <is>
          <t>select_one response</t>
        </is>
      </c>
      <c r="B114" s="119" t="inlineStr">
        <is>
          <t>phone_call_response</t>
        </is>
      </c>
      <c r="C114" s="122" t="inlineStr">
        <is>
          <t>What is the status of the call?</t>
        </is>
      </c>
      <c r="D114" s="120" t="n"/>
      <c r="E114" s="121" t="n"/>
      <c r="F114" s="121" t="n"/>
      <c r="G114" s="120" t="n"/>
      <c r="H114" s="120" t="n"/>
      <c r="I114" s="122" t="n"/>
      <c r="J114" s="119" t="n"/>
      <c r="K114" s="119" t="inlineStr">
        <is>
          <t>yes</t>
        </is>
      </c>
      <c r="L114" s="120" t="n"/>
      <c r="M114" s="121" t="n"/>
      <c r="N114" s="120" t="n"/>
      <c r="O114" s="121" t="n"/>
      <c r="P114" s="121" t="n"/>
      <c r="Q114" s="121" t="n"/>
      <c r="R114" s="121" t="n"/>
      <c r="S114" s="120" t="n"/>
      <c r="T114" s="121" t="n"/>
      <c r="U114" s="120" t="n"/>
      <c r="V114" s="120" t="n"/>
      <c r="W114" s="121" t="n"/>
      <c r="X114" s="121" t="n"/>
    </row>
    <row r="115">
      <c r="A115" s="119" t="inlineStr">
        <is>
          <t>end group</t>
        </is>
      </c>
      <c r="B115" s="119" t="inlineStr">
        <is>
          <t>calling</t>
        </is>
      </c>
      <c r="C115" s="122" t="n"/>
      <c r="D115" s="120" t="n"/>
      <c r="E115" s="121" t="n"/>
      <c r="F115" s="121" t="n"/>
      <c r="G115" s="120" t="n"/>
      <c r="H115" s="120" t="n"/>
      <c r="I115" s="122" t="n"/>
      <c r="J115" s="119" t="n"/>
      <c r="K115" s="121" t="n"/>
      <c r="L115" s="120" t="n"/>
      <c r="M115" s="121" t="n"/>
      <c r="N115" s="120" t="n"/>
      <c r="O115" s="121" t="n"/>
      <c r="P115" s="121" t="n"/>
      <c r="Q115" s="121" t="n"/>
      <c r="R115" s="121" t="n"/>
      <c r="S115" s="120" t="n"/>
      <c r="T115" s="121" t="n"/>
      <c r="U115" s="120" t="n"/>
      <c r="V115" s="120" t="n"/>
      <c r="W115" s="121" t="n"/>
      <c r="X115" s="121" t="n"/>
    </row>
    <row r="116" ht="17" customHeight="1">
      <c r="A116" s="119" t="inlineStr">
        <is>
          <t>select_one notanswered</t>
        </is>
      </c>
      <c r="B116" s="119" t="inlineStr">
        <is>
          <t>phone_call_notanswered</t>
        </is>
      </c>
      <c r="C116" s="122" t="inlineStr">
        <is>
          <t>Why were you not able to reach this household?</t>
        </is>
      </c>
      <c r="D116" s="120" t="n"/>
      <c r="E116" s="121" t="n"/>
      <c r="F116" s="121" t="n"/>
      <c r="G116" s="120" t="n"/>
      <c r="H116" s="120" t="n"/>
      <c r="I116" s="122" t="inlineStr">
        <is>
          <t>selected(${phone_call_response}, '3')</t>
        </is>
      </c>
      <c r="J116" s="119" t="n"/>
      <c r="K116" s="119" t="inlineStr">
        <is>
          <t>yes</t>
        </is>
      </c>
      <c r="L116" s="120" t="n"/>
      <c r="M116" s="121" t="n"/>
      <c r="N116" s="120" t="n"/>
      <c r="O116" s="121" t="n"/>
      <c r="P116" s="121" t="n"/>
      <c r="Q116" s="121" t="n"/>
      <c r="R116" s="121" t="n"/>
      <c r="S116" s="120" t="n"/>
      <c r="T116" s="121" t="n"/>
      <c r="U116" s="120" t="n"/>
      <c r="V116" s="120" t="n"/>
      <c r="W116" s="121" t="n"/>
      <c r="X116" s="121" t="n"/>
    </row>
    <row r="117" ht="34" customHeight="1">
      <c r="A117" s="119" t="inlineStr">
        <is>
          <t>text</t>
        </is>
      </c>
      <c r="B117" s="119" t="inlineStr">
        <is>
          <t>phone_call_notanswered_other</t>
        </is>
      </c>
      <c r="C117" s="122" t="inlineStr">
        <is>
          <t>What is the other reason for why you were not able to reach this household?</t>
        </is>
      </c>
      <c r="D117" s="120" t="n"/>
      <c r="E117" s="121" t="n"/>
      <c r="F117" s="121" t="n"/>
      <c r="G117" s="122" t="inlineStr">
        <is>
          <t>string-length(.) &gt; 2</t>
        </is>
      </c>
      <c r="H117" s="122" t="inlineStr">
        <is>
          <t>Your answer is too short.</t>
        </is>
      </c>
      <c r="I117" s="122" t="inlineStr">
        <is>
          <t>selected(${phone_call_notanswered}, '95')</t>
        </is>
      </c>
      <c r="J117" s="119" t="n"/>
      <c r="K117" s="119" t="inlineStr">
        <is>
          <t>yes</t>
        </is>
      </c>
      <c r="L117" s="120" t="n"/>
      <c r="M117" s="121" t="n"/>
      <c r="N117" s="120" t="n"/>
      <c r="O117" s="121" t="n"/>
      <c r="P117" s="121" t="n"/>
      <c r="Q117" s="121" t="n"/>
      <c r="R117" s="121" t="n"/>
      <c r="S117" s="120" t="n"/>
      <c r="T117" s="121" t="n"/>
      <c r="U117" s="120" t="n"/>
      <c r="V117" s="120" t="n"/>
      <c r="W117" s="121" t="n"/>
      <c r="X117" s="121" t="n"/>
    </row>
    <row r="118" ht="102" customHeight="1">
      <c r="A118" s="119" t="inlineStr">
        <is>
          <t>note</t>
        </is>
      </c>
      <c r="B118" s="119" t="inlineStr">
        <is>
          <t>note_wrong_no</t>
        </is>
      </c>
      <c r="C118" s="122" t="inlineStr">
        <is>
          <t xml:space="preserve">
&lt;p&gt;&lt;span style="color: #ff0000;"&gt;&lt;strong&gt;WARNING!&lt;/strong&gt;&lt;/span&gt;&lt;br /&gt; &lt;br /&gt;&lt;span style="color: #ff0000;"&gt;&lt;/p&gt;
&lt;p&gt;&lt;span style="color: #ff0000;"&gt;Please confirm before submitting as "Wrong number". This is the only available contact information for this household.&lt;/span&gt;&lt;br /&gt; &lt;br /&gt;&lt;span style="color: #ff0000;"&gt;&lt;/p&gt;</t>
        </is>
      </c>
      <c r="D118" s="120" t="n"/>
      <c r="E118" s="121" t="n"/>
      <c r="F118" s="121" t="n"/>
      <c r="G118" s="120" t="n"/>
      <c r="H118" s="120" t="n"/>
      <c r="I118" s="122" t="inlineStr">
        <is>
          <t>${phone_call_response} = 4 and ${contacts} = 1</t>
        </is>
      </c>
      <c r="J118" s="119" t="n"/>
      <c r="K118" s="121" t="n"/>
      <c r="L118" s="120" t="n"/>
      <c r="M118" s="121" t="n"/>
      <c r="N118" s="120" t="n"/>
      <c r="O118" s="121" t="n"/>
      <c r="P118" s="121" t="n"/>
      <c r="Q118" s="121" t="n"/>
      <c r="R118" s="121" t="n"/>
      <c r="S118" s="120" t="n"/>
      <c r="T118" s="121" t="n"/>
      <c r="U118" s="120" t="n"/>
      <c r="V118" s="120" t="n"/>
      <c r="W118" s="121" t="n"/>
      <c r="X118" s="121" t="n"/>
    </row>
    <row r="119" ht="17" customHeight="1">
      <c r="A119" s="119" t="inlineStr">
        <is>
          <t>calculate</t>
        </is>
      </c>
      <c r="B119" s="119" t="inlineStr">
        <is>
          <t>wrong_no</t>
        </is>
      </c>
      <c r="C119" s="122" t="inlineStr">
        <is>
          <t>1 if wrong number and no other contact information is available</t>
        </is>
      </c>
      <c r="D119" s="120" t="n"/>
      <c r="E119" s="121" t="n"/>
      <c r="F119" s="121" t="n"/>
      <c r="G119" s="120" t="n"/>
      <c r="H119" s="120" t="n"/>
      <c r="I119" s="122" t="n"/>
      <c r="J119" s="119" t="n"/>
      <c r="K119" s="121" t="n"/>
      <c r="L119" s="120" t="n"/>
      <c r="M119" s="121" t="n"/>
      <c r="N119" s="122" t="inlineStr">
        <is>
          <t>if(${phone_call_response} = 4 and ${contacts} = 1, '1', '')</t>
        </is>
      </c>
      <c r="O119" s="121" t="n"/>
      <c r="P119" s="121" t="n"/>
      <c r="Q119" s="121" t="n"/>
      <c r="R119" s="121" t="n"/>
      <c r="S119" s="120" t="n"/>
      <c r="T119" s="121" t="n"/>
      <c r="U119" s="120" t="n"/>
      <c r="V119" s="120" t="n"/>
      <c r="W119" s="121" t="n"/>
      <c r="X119" s="121" t="n"/>
    </row>
    <row r="120">
      <c r="A120" s="119" t="inlineStr">
        <is>
          <t>end group</t>
        </is>
      </c>
      <c r="B120" s="119" t="inlineStr">
        <is>
          <t>phonecall</t>
        </is>
      </c>
      <c r="C120" s="122" t="n"/>
      <c r="D120" s="120" t="n"/>
      <c r="E120" s="121" t="n"/>
      <c r="F120" s="121" t="n"/>
      <c r="G120" s="120" t="n"/>
      <c r="H120" s="120" t="n"/>
      <c r="I120" s="122" t="n"/>
      <c r="J120" s="119" t="n"/>
      <c r="K120" s="121" t="n"/>
      <c r="L120" s="120" t="n"/>
      <c r="M120" s="121" t="n"/>
      <c r="N120" s="120" t="n"/>
      <c r="O120" s="121" t="n"/>
      <c r="P120" s="121" t="n"/>
      <c r="Q120" s="121" t="n"/>
      <c r="R120" s="121" t="n"/>
      <c r="S120" s="120" t="n"/>
      <c r="T120" s="121" t="n"/>
      <c r="U120" s="120" t="n"/>
      <c r="V120" s="120" t="n"/>
      <c r="W120" s="121" t="n"/>
      <c r="X120" s="121" t="n"/>
    </row>
    <row r="121">
      <c r="A121" s="121" t="n"/>
      <c r="B121" s="121" t="n"/>
      <c r="C121" s="122" t="n"/>
      <c r="D121" s="120" t="n"/>
      <c r="E121" s="121" t="n"/>
      <c r="F121" s="121" t="n"/>
      <c r="G121" s="120" t="n"/>
      <c r="H121" s="120" t="n"/>
      <c r="I121" s="122" t="n"/>
      <c r="J121" s="119" t="n"/>
      <c r="K121" s="121" t="n"/>
      <c r="L121" s="120" t="n"/>
      <c r="M121" s="121" t="n"/>
      <c r="N121" s="120" t="n"/>
      <c r="O121" s="121" t="n"/>
      <c r="P121" s="121" t="n"/>
      <c r="Q121" s="121" t="n"/>
      <c r="R121" s="121" t="n"/>
      <c r="S121" s="120" t="n"/>
      <c r="T121" s="121" t="n"/>
      <c r="U121" s="120" t="n"/>
      <c r="V121" s="120" t="n"/>
      <c r="W121" s="121" t="n"/>
      <c r="X121" s="121" t="n"/>
    </row>
    <row r="122" ht="17" customHeight="1">
      <c r="A122" s="119" t="inlineStr">
        <is>
          <t>calculate_here</t>
        </is>
      </c>
      <c r="B122" s="119" t="inlineStr">
        <is>
          <t>survey_start_ts</t>
        </is>
      </c>
      <c r="C122" s="122" t="inlineStr">
        <is>
          <t>Calculates actual start time of survey (after phone is dialled)</t>
        </is>
      </c>
      <c r="D122" s="120" t="n"/>
      <c r="E122" s="121" t="n"/>
      <c r="F122" s="121" t="n"/>
      <c r="G122" s="120" t="n"/>
      <c r="H122" s="120" t="n"/>
      <c r="I122" s="122" t="n"/>
      <c r="J122" s="119" t="n"/>
      <c r="K122" s="121" t="n"/>
      <c r="L122" s="120" t="n"/>
      <c r="M122" s="121" t="n"/>
      <c r="N122" s="122" t="inlineStr">
        <is>
          <t>once(duration())</t>
        </is>
      </c>
      <c r="O122" s="121" t="n"/>
      <c r="P122" s="121" t="n"/>
      <c r="Q122" s="121" t="n"/>
      <c r="R122" s="121" t="n"/>
      <c r="S122" s="120" t="n"/>
      <c r="T122" s="121" t="n"/>
      <c r="U122" s="120" t="n"/>
      <c r="V122" s="120" t="n"/>
      <c r="W122" s="121" t="n"/>
      <c r="X122" s="121" t="n"/>
    </row>
    <row r="123">
      <c r="A123" s="121" t="n"/>
      <c r="B123" s="121" t="n"/>
      <c r="C123" s="122" t="n"/>
      <c r="D123" s="120" t="n"/>
      <c r="E123" s="121" t="n"/>
      <c r="F123" s="121" t="n"/>
      <c r="G123" s="120" t="n"/>
      <c r="H123" s="120" t="n"/>
      <c r="I123" s="122" t="n"/>
      <c r="J123" s="119" t="n"/>
      <c r="K123" s="121" t="n"/>
      <c r="L123" s="120" t="n"/>
      <c r="M123" s="121" t="n"/>
      <c r="N123" s="120" t="n"/>
      <c r="O123" s="121" t="n"/>
      <c r="P123" s="121" t="n"/>
      <c r="Q123" s="121" t="n"/>
      <c r="R123" s="121" t="n"/>
      <c r="S123" s="120" t="n"/>
      <c r="T123" s="121" t="n"/>
      <c r="U123" s="120" t="n"/>
      <c r="V123" s="120" t="n"/>
      <c r="W123" s="121" t="n"/>
      <c r="X123" s="121" t="n"/>
    </row>
    <row r="124" ht="17" customHeight="1">
      <c r="A124" s="119" t="inlineStr">
        <is>
          <t>begin group</t>
        </is>
      </c>
      <c r="B124" s="119" t="inlineStr">
        <is>
          <t>not_caregiver</t>
        </is>
      </c>
      <c r="C124" s="122" t="inlineStr">
        <is>
          <t>Call answered by someone else, ask if caregiver is available</t>
        </is>
      </c>
      <c r="D124" s="120" t="n"/>
      <c r="E124" s="121" t="n"/>
      <c r="F124" s="121" t="n"/>
      <c r="G124" s="120" t="n"/>
      <c r="H124" s="120" t="n"/>
      <c r="I124" s="122" t="inlineStr">
        <is>
          <t>selected(${phone_call_response}, '2')</t>
        </is>
      </c>
      <c r="J124" s="119" t="n"/>
      <c r="K124" s="121" t="n"/>
      <c r="L124" s="120" t="n"/>
      <c r="M124" s="121" t="n"/>
      <c r="N124" s="120" t="n"/>
      <c r="O124" s="121" t="n"/>
      <c r="P124" s="121" t="n"/>
      <c r="Q124" s="121" t="n"/>
      <c r="R124" s="121" t="n"/>
      <c r="S124" s="120" t="n"/>
      <c r="T124" s="121" t="n"/>
      <c r="U124" s="120" t="n"/>
      <c r="V124" s="120" t="n"/>
      <c r="W124" s="121" t="n"/>
      <c r="X124" s="121" t="n"/>
    </row>
    <row r="125" ht="136" customHeight="1">
      <c r="A125" s="119" t="inlineStr">
        <is>
          <t>select_one yesno</t>
        </is>
      </c>
      <c r="B125" s="119" t="inlineStr">
        <is>
          <t>caregiver_nearby</t>
        </is>
      </c>
      <c r="C125" s="122" t="inlineStr">
        <is>
          <t>Hi! I am calling regarding mEducation, a phone-based education program where we provide simple and targeted math instruction and support to students like &lt;font color="#14b14b"&gt;&lt;b&gt;&lt;u&gt;${stud_name}&lt;/u&gt;&lt;/b&gt;&lt;/font&gt;.
&lt;br&gt;&lt;br&gt;
Is &lt;font color="#14b14b"&gt;&lt;b&gt;&lt;u&gt;${care_name}&lt;/u&gt;&lt;/b&gt; available? May I speak to her/him for a few minutes?</t>
        </is>
      </c>
      <c r="D125" s="120" t="n"/>
      <c r="E125" s="121" t="n"/>
      <c r="F125" s="121" t="n"/>
      <c r="G125" s="120" t="n"/>
      <c r="H125" s="120" t="n"/>
      <c r="I125" s="122" t="n"/>
      <c r="J125" s="119" t="n"/>
      <c r="K125" s="119" t="inlineStr">
        <is>
          <t>yes</t>
        </is>
      </c>
      <c r="L125" s="120" t="n"/>
      <c r="M125" s="121" t="n"/>
      <c r="N125" s="120" t="n"/>
      <c r="O125" s="121" t="n"/>
      <c r="P125" s="121" t="n"/>
      <c r="Q125" s="121" t="n"/>
      <c r="R125" s="121" t="n"/>
      <c r="S125" s="120" t="n"/>
      <c r="T125" s="121" t="n"/>
      <c r="U125" s="120" t="n"/>
      <c r="V125" s="120" t="n"/>
      <c r="W125" s="121" t="n"/>
      <c r="X125" s="121" t="n"/>
    </row>
    <row r="126" ht="17" customHeight="1">
      <c r="A126" s="119" t="inlineStr">
        <is>
          <t>begin group</t>
        </is>
      </c>
      <c r="B126" s="119" t="inlineStr">
        <is>
          <t>not_nearby</t>
        </is>
      </c>
      <c r="C126" s="122" t="n"/>
      <c r="D126" s="120" t="n"/>
      <c r="E126" s="121" t="n"/>
      <c r="F126" s="121" t="n"/>
      <c r="G126" s="120" t="n"/>
      <c r="H126" s="120" t="n"/>
      <c r="I126" s="122" t="inlineStr">
        <is>
          <t>selected(${caregiver_nearby}, '0') and ${week} = 1</t>
        </is>
      </c>
      <c r="J126" s="119" t="n"/>
      <c r="K126" s="121" t="n"/>
      <c r="L126" s="120" t="n"/>
      <c r="M126" s="121" t="n"/>
      <c r="N126" s="120" t="n"/>
      <c r="O126" s="121" t="n"/>
      <c r="P126" s="121" t="n"/>
      <c r="Q126" s="121" t="n"/>
      <c r="R126" s="121" t="n"/>
      <c r="S126" s="120" t="n"/>
      <c r="T126" s="121" t="n"/>
      <c r="U126" s="120" t="n"/>
      <c r="V126" s="120" t="n"/>
      <c r="W126" s="121" t="n"/>
      <c r="X126" s="121" t="n"/>
    </row>
    <row r="127" ht="153" customHeight="1">
      <c r="A127" s="119" t="inlineStr">
        <is>
          <t>select_one yesno</t>
        </is>
      </c>
      <c r="B127" s="119" t="inlineStr">
        <is>
          <t>caregiver_confirm</t>
        </is>
      </c>
      <c r="C127" s="122" t="inlineStr">
        <is>
          <t xml:space="preserve">Is &lt;font color="#14b14b"&gt;&lt;b&gt;&lt;u&gt;${care_name}&lt;/u&gt;&lt;/b&gt; still the best person to contact about this program?
&lt;br&gt;&lt;br&gt;
&lt;i&gt;NOTE: Our program requires that someone be available to answer a phone call to receive educational support. This person can be anyone - including a mother, father, sibling, neighbor, aunty - but they should be available to support the child's learning.&lt;/i&gt; </t>
        </is>
      </c>
      <c r="D127" s="122" t="inlineStr">
        <is>
          <t>The main caregiver is the best person who provides educational instruction or support to the child outside of school. She/he should be available to answer the tutoring calls and support the child's learning.</t>
        </is>
      </c>
      <c r="E127" s="121" t="n"/>
      <c r="F127" s="121" t="n"/>
      <c r="G127" s="120" t="n"/>
      <c r="H127" s="120" t="n"/>
      <c r="I127" s="122" t="n"/>
      <c r="J127" s="119" t="n"/>
      <c r="K127" s="119" t="inlineStr">
        <is>
          <t>yes</t>
        </is>
      </c>
      <c r="L127" s="120" t="n"/>
      <c r="M127" s="121" t="n"/>
      <c r="N127" s="120" t="n"/>
      <c r="O127" s="121" t="n"/>
      <c r="P127" s="121" t="n"/>
      <c r="Q127" s="121" t="n"/>
      <c r="R127" s="121" t="n"/>
      <c r="S127" s="120" t="n"/>
      <c r="T127" s="121" t="n"/>
      <c r="U127" s="120" t="n"/>
      <c r="V127" s="120" t="n"/>
      <c r="W127" s="121" t="n"/>
      <c r="X127" s="121" t="n"/>
    </row>
    <row r="128" ht="17" customHeight="1">
      <c r="A128" s="119" t="inlineStr">
        <is>
          <t>begin group</t>
        </is>
      </c>
      <c r="B128" s="119" t="inlineStr">
        <is>
          <t>new_caregiver</t>
        </is>
      </c>
      <c r="C128" s="122" t="n"/>
      <c r="D128" s="120" t="n"/>
      <c r="E128" s="121" t="n"/>
      <c r="F128" s="119" t="inlineStr">
        <is>
          <t>field-list</t>
        </is>
      </c>
      <c r="G128" s="120" t="n"/>
      <c r="H128" s="120" t="n"/>
      <c r="I128" s="122" t="inlineStr">
        <is>
          <t>selected(${caregiver_confirm}, '0')</t>
        </is>
      </c>
      <c r="J128" s="119" t="n"/>
      <c r="K128" s="121" t="n"/>
      <c r="L128" s="120" t="n"/>
      <c r="M128" s="121" t="n"/>
      <c r="N128" s="120" t="n"/>
      <c r="O128" s="121" t="n"/>
      <c r="P128" s="121" t="n"/>
      <c r="Q128" s="121" t="n"/>
      <c r="R128" s="121" t="n"/>
      <c r="S128" s="120" t="n"/>
      <c r="T128" s="121" t="n"/>
      <c r="U128" s="120" t="n"/>
      <c r="V128" s="120" t="n"/>
      <c r="W128" s="121" t="n"/>
      <c r="X128" s="121" t="n"/>
    </row>
    <row r="129" ht="51" customHeight="1">
      <c r="A129" s="119" t="inlineStr">
        <is>
          <t>text</t>
        </is>
      </c>
      <c r="B129" s="119" t="inlineStr">
        <is>
          <t>new_care_firstname</t>
        </is>
      </c>
      <c r="C129" s="122" t="inlineStr">
        <is>
          <t>What is the first name of the person we should contact for our math program?</t>
        </is>
      </c>
      <c r="D129" s="120" t="n"/>
      <c r="E129" s="121" t="n"/>
      <c r="F129" s="121" t="n"/>
      <c r="G129" s="122" t="inlineStr">
        <is>
          <t>string-length(.) &gt; 2</t>
        </is>
      </c>
      <c r="H129" s="122" t="inlineStr">
        <is>
          <t>Please enter the first name of the student's caregiver.</t>
        </is>
      </c>
      <c r="I129" s="122" t="n"/>
      <c r="J129" s="119" t="n"/>
      <c r="K129" s="119" t="inlineStr">
        <is>
          <t>yes</t>
        </is>
      </c>
      <c r="L129" s="120" t="n"/>
      <c r="M129" s="121" t="n"/>
      <c r="N129" s="120" t="n"/>
      <c r="O129" s="121" t="n"/>
      <c r="P129" s="121" t="n"/>
      <c r="Q129" s="121" t="n"/>
      <c r="R129" s="121" t="n"/>
      <c r="S129" s="120" t="n"/>
      <c r="T129" s="121" t="n"/>
      <c r="U129" s="120" t="n"/>
      <c r="V129" s="120" t="n"/>
      <c r="W129" s="121" t="n"/>
      <c r="X129" s="121" t="n"/>
    </row>
    <row r="130" ht="68" customHeight="1">
      <c r="A130" s="119" t="inlineStr">
        <is>
          <t>text</t>
        </is>
      </c>
      <c r="B130" s="119" t="inlineStr">
        <is>
          <t>new_care_surname</t>
        </is>
      </c>
      <c r="C130" s="122" t="inlineStr">
        <is>
          <t>What is the surname/last name of the person we should contact for our math program?</t>
        </is>
      </c>
      <c r="D130" s="120" t="n"/>
      <c r="E130" s="121" t="n"/>
      <c r="F130" s="121" t="n"/>
      <c r="G130" s="122" t="inlineStr">
        <is>
          <t>string-length(.) &gt; 2</t>
        </is>
      </c>
      <c r="H130" s="122" t="inlineStr">
        <is>
          <t>Please enter the surname/last name of the student's caregiver.</t>
        </is>
      </c>
      <c r="I130" s="122" t="n"/>
      <c r="J130" s="119" t="n"/>
      <c r="K130" s="119" t="inlineStr">
        <is>
          <t>yes</t>
        </is>
      </c>
      <c r="L130" s="120" t="n"/>
      <c r="M130" s="121" t="n"/>
      <c r="N130" s="120" t="n"/>
      <c r="O130" s="121" t="n"/>
      <c r="P130" s="121" t="n"/>
      <c r="Q130" s="121" t="n"/>
      <c r="R130" s="121" t="n"/>
      <c r="S130" s="120" t="n"/>
      <c r="T130" s="121" t="n"/>
      <c r="U130" s="120" t="n"/>
      <c r="V130" s="120" t="n"/>
      <c r="W130" s="121" t="n"/>
      <c r="X130" s="121" t="n"/>
    </row>
    <row r="131" ht="17" customHeight="1">
      <c r="A131" s="119" t="inlineStr">
        <is>
          <t>calculate</t>
        </is>
      </c>
      <c r="B131" s="119" t="inlineStr">
        <is>
          <t>new_care_name</t>
        </is>
      </c>
      <c r="C131" s="122" t="inlineStr">
        <is>
          <t>Returns name of new caregiver</t>
        </is>
      </c>
      <c r="D131" s="120" t="n"/>
      <c r="E131" s="121" t="n"/>
      <c r="F131" s="121" t="n"/>
      <c r="G131" s="120" t="n"/>
      <c r="H131" s="120" t="n"/>
      <c r="I131" s="122" t="n"/>
      <c r="J131" s="119" t="n"/>
      <c r="K131" s="121" t="n"/>
      <c r="L131" s="120" t="n"/>
      <c r="M131" s="121" t="n"/>
      <c r="N131" s="122" t="inlineStr">
        <is>
          <t>concat(${new_care_firstname}, ' ', ${new_care_surname})</t>
        </is>
      </c>
      <c r="O131" s="121" t="n"/>
      <c r="P131" s="121" t="n"/>
      <c r="Q131" s="121" t="n"/>
      <c r="R131" s="121" t="n"/>
      <c r="S131" s="120" t="n"/>
      <c r="T131" s="121" t="n"/>
      <c r="U131" s="120" t="n"/>
      <c r="V131" s="120" t="n"/>
      <c r="W131" s="121" t="n"/>
      <c r="X131" s="121" t="n"/>
    </row>
    <row r="132" ht="17" customHeight="1">
      <c r="A132" s="119" t="inlineStr">
        <is>
          <t>select_one relationship</t>
        </is>
      </c>
      <c r="B132" s="119" t="inlineStr">
        <is>
          <t>new_care_rel</t>
        </is>
      </c>
      <c r="C132" s="122" t="inlineStr">
        <is>
          <t>How is s/he related to &lt;font color="#14b14b"&gt;&lt;b&gt;&lt;u&gt;${stud_name}&lt;/u&gt;&lt;/b&gt;&lt;/font&gt;?</t>
        </is>
      </c>
      <c r="D132" s="120" t="n"/>
      <c r="E132" s="121" t="n"/>
      <c r="F132" s="119" t="inlineStr">
        <is>
          <t>minimal</t>
        </is>
      </c>
      <c r="G132" s="120" t="n"/>
      <c r="H132" s="120" t="n"/>
      <c r="I132" s="122" t="n"/>
      <c r="J132" s="119" t="n"/>
      <c r="K132" s="119" t="inlineStr">
        <is>
          <t>yes</t>
        </is>
      </c>
      <c r="L132" s="120" t="n"/>
      <c r="M132" s="121" t="n"/>
      <c r="N132" s="120" t="n"/>
      <c r="O132" s="121" t="n"/>
      <c r="P132" s="121" t="n"/>
      <c r="Q132" s="121" t="n"/>
      <c r="R132" s="121" t="n"/>
      <c r="S132" s="120" t="n"/>
      <c r="T132" s="121" t="n"/>
      <c r="U132" s="120" t="n"/>
      <c r="V132" s="120" t="n"/>
      <c r="W132" s="121" t="n"/>
      <c r="X132" s="121" t="n"/>
    </row>
    <row r="133" ht="17" customHeight="1">
      <c r="A133" s="119" t="inlineStr">
        <is>
          <t>calculate</t>
        </is>
      </c>
      <c r="B133" s="119" t="inlineStr">
        <is>
          <t>new_care_rel_lab</t>
        </is>
      </c>
      <c r="C133" s="122" t="inlineStr">
        <is>
          <t>Returns choice label of "new_care_rel"</t>
        </is>
      </c>
      <c r="D133" s="120" t="n"/>
      <c r="E133" s="121" t="n"/>
      <c r="F133" s="121" t="n"/>
      <c r="G133" s="120" t="n"/>
      <c r="H133" s="120" t="n"/>
      <c r="I133" s="122" t="n"/>
      <c r="J133" s="119" t="n"/>
      <c r="K133" s="121" t="n"/>
      <c r="L133" s="120" t="n"/>
      <c r="M133" s="121" t="n"/>
      <c r="N133" s="122" t="inlineStr">
        <is>
          <t>choice-label(${new_care_rel}, ${new_care_rel})</t>
        </is>
      </c>
      <c r="O133" s="121" t="n"/>
      <c r="P133" s="121" t="n"/>
      <c r="Q133" s="121" t="n"/>
      <c r="R133" s="121" t="n"/>
      <c r="S133" s="120" t="n"/>
      <c r="T133" s="121" t="n"/>
      <c r="U133" s="120" t="n"/>
      <c r="V133" s="120" t="n"/>
      <c r="W133" s="121" t="n"/>
      <c r="X133" s="121" t="n"/>
    </row>
    <row r="134" ht="17" customHeight="1">
      <c r="A134" s="119" t="inlineStr">
        <is>
          <t>select_one yesno</t>
        </is>
      </c>
      <c r="B134" s="119" t="inlineStr">
        <is>
          <t>new_caregiver_nearby</t>
        </is>
      </c>
      <c r="C134" s="122" t="inlineStr">
        <is>
          <t>Is s/he available? May I speak to her/him for a few minutes?</t>
        </is>
      </c>
      <c r="D134" s="120" t="n"/>
      <c r="E134" s="121" t="n"/>
      <c r="F134" s="121" t="n"/>
      <c r="G134" s="120" t="n"/>
      <c r="H134" s="120" t="n"/>
      <c r="I134" s="122" t="n"/>
      <c r="J134" s="119" t="n"/>
      <c r="K134" s="119" t="inlineStr">
        <is>
          <t>yes</t>
        </is>
      </c>
      <c r="L134" s="120" t="n"/>
      <c r="M134" s="121" t="n"/>
      <c r="N134" s="120" t="n"/>
      <c r="O134" s="121" t="n"/>
      <c r="P134" s="121" t="n"/>
      <c r="Q134" s="121" t="n"/>
      <c r="R134" s="121" t="n"/>
      <c r="S134" s="120" t="n"/>
      <c r="T134" s="121" t="n"/>
      <c r="U134" s="120" t="n"/>
      <c r="V134" s="120" t="n"/>
      <c r="W134" s="121" t="n"/>
      <c r="X134" s="121" t="n"/>
    </row>
    <row r="135">
      <c r="A135" s="119" t="inlineStr">
        <is>
          <t>end group</t>
        </is>
      </c>
      <c r="B135" s="119" t="inlineStr">
        <is>
          <t>new_caregiver</t>
        </is>
      </c>
      <c r="C135" s="122" t="n"/>
      <c r="D135" s="120" t="n"/>
      <c r="E135" s="121" t="n"/>
      <c r="F135" s="121" t="n"/>
      <c r="G135" s="120" t="n"/>
      <c r="H135" s="120" t="n"/>
      <c r="I135" s="122" t="n"/>
      <c r="J135" s="119" t="n"/>
      <c r="K135" s="121" t="n"/>
      <c r="L135" s="120" t="n"/>
      <c r="M135" s="121" t="n"/>
      <c r="N135" s="120" t="n"/>
      <c r="O135" s="121" t="n"/>
      <c r="P135" s="121" t="n"/>
      <c r="Q135" s="121" t="n"/>
      <c r="R135" s="121" t="n"/>
      <c r="S135" s="120" t="n"/>
      <c r="T135" s="121" t="n"/>
      <c r="U135" s="120" t="n"/>
      <c r="V135" s="120" t="n"/>
      <c r="W135" s="121" t="n"/>
      <c r="X135" s="121" t="n"/>
    </row>
    <row r="136">
      <c r="A136" s="119" t="inlineStr">
        <is>
          <t>end group</t>
        </is>
      </c>
      <c r="B136" s="119" t="inlineStr">
        <is>
          <t>not_nearby</t>
        </is>
      </c>
      <c r="C136" s="122" t="n"/>
      <c r="D136" s="120" t="n"/>
      <c r="E136" s="121" t="n"/>
      <c r="F136" s="121" t="n"/>
      <c r="G136" s="120" t="n"/>
      <c r="H136" s="120" t="n"/>
      <c r="I136" s="122" t="n"/>
      <c r="J136" s="119" t="n"/>
      <c r="K136" s="121" t="n"/>
      <c r="L136" s="120" t="n"/>
      <c r="M136" s="121" t="n"/>
      <c r="N136" s="120" t="n"/>
      <c r="O136" s="121" t="n"/>
      <c r="P136" s="121" t="n"/>
      <c r="Q136" s="121" t="n"/>
      <c r="R136" s="121" t="n"/>
      <c r="S136" s="120" t="n"/>
      <c r="T136" s="121" t="n"/>
      <c r="U136" s="120" t="n"/>
      <c r="V136" s="120" t="n"/>
      <c r="W136" s="121" t="n"/>
      <c r="X136" s="121" t="n"/>
    </row>
    <row r="137" ht="170" customHeight="1">
      <c r="A137" s="119" t="inlineStr">
        <is>
          <t>select_one yesno</t>
        </is>
      </c>
      <c r="B137" s="119" t="inlineStr">
        <is>
          <t>temp_caregiver_nearby</t>
        </is>
      </c>
      <c r="C137" s="122" t="inlineStr">
        <is>
          <t>&lt;p&gt;&lt;span style="color: #3366ff;"&gt;&lt;b&gt;INSTRUCTIONS:&lt;/b&gt;&lt;/span&gt;&lt;/p&gt;
&lt;br&gt;&lt;br&gt;
&lt;p&gt;&lt;span style="color: #3366ff;"&gt;Click "Yes" to confirm whether the primary caregiver is on the phone, so you can move on to the actual form questions.&lt;/span&gt;&lt;/p&gt;
&lt;br&gt;&lt;br&gt;
&lt;p&gt;&lt;span style="color: #3366ff;"&gt;Otherwise, choose "No" and re-schedule the call.&lt;/span&gt;&lt;/p&gt;</t>
        </is>
      </c>
      <c r="D137" s="120" t="n"/>
      <c r="E137" s="121" t="n"/>
      <c r="F137" s="121" t="n"/>
      <c r="G137" s="120" t="n"/>
      <c r="H137" s="120" t="n"/>
      <c r="I137" s="122" t="inlineStr">
        <is>
          <t>selected(${caregiver_nearby}, '1') or selected(${new_caregiver_nearby}, '1')</t>
        </is>
      </c>
      <c r="J137" s="119" t="n"/>
      <c r="K137" s="119" t="inlineStr">
        <is>
          <t>yes</t>
        </is>
      </c>
      <c r="L137" s="120" t="n"/>
      <c r="M137" s="121" t="n"/>
      <c r="N137" s="120" t="n"/>
      <c r="O137" s="121" t="n"/>
      <c r="P137" s="121" t="n"/>
      <c r="Q137" s="121" t="n"/>
      <c r="R137" s="121" t="n"/>
      <c r="S137" s="120" t="n"/>
      <c r="T137" s="121" t="n"/>
      <c r="U137" s="120" t="n"/>
      <c r="V137" s="120" t="n"/>
      <c r="W137" s="121" t="n"/>
      <c r="X137" s="121" t="n"/>
    </row>
    <row r="138">
      <c r="A138" s="119" t="inlineStr">
        <is>
          <t>end group</t>
        </is>
      </c>
      <c r="B138" s="119" t="inlineStr">
        <is>
          <t>not_caregiver</t>
        </is>
      </c>
      <c r="C138" s="122" t="n"/>
      <c r="D138" s="120" t="n"/>
      <c r="E138" s="121" t="n"/>
      <c r="F138" s="121" t="n"/>
      <c r="G138" s="120" t="n"/>
      <c r="H138" s="120" t="n"/>
      <c r="I138" s="122" t="n"/>
      <c r="J138" s="119" t="n"/>
      <c r="K138" s="121" t="n"/>
      <c r="L138" s="120" t="n"/>
      <c r="M138" s="121" t="n"/>
      <c r="N138" s="120" t="n"/>
      <c r="O138" s="121" t="n"/>
      <c r="P138" s="121" t="n"/>
      <c r="Q138" s="121" t="n"/>
      <c r="R138" s="121" t="n"/>
      <c r="S138" s="120" t="n"/>
      <c r="T138" s="121" t="n"/>
      <c r="U138" s="120" t="n"/>
      <c r="V138" s="120" t="n"/>
      <c r="W138" s="121" t="n"/>
      <c r="X138" s="121" t="n"/>
    </row>
    <row r="139">
      <c r="A139" s="121" t="n"/>
      <c r="B139" s="121" t="n"/>
      <c r="C139" s="122" t="n"/>
      <c r="D139" s="120" t="n"/>
      <c r="E139" s="121" t="n"/>
      <c r="F139" s="121" t="n"/>
      <c r="G139" s="120" t="n"/>
      <c r="H139" s="120" t="n"/>
      <c r="I139" s="122" t="n"/>
      <c r="J139" s="119" t="n"/>
      <c r="K139" s="121" t="n"/>
      <c r="L139" s="120" t="n"/>
      <c r="M139" s="121" t="n"/>
      <c r="N139" s="120" t="n"/>
      <c r="O139" s="121" t="n"/>
      <c r="P139" s="121" t="n"/>
      <c r="Q139" s="121" t="n"/>
      <c r="R139" s="121" t="n"/>
      <c r="S139" s="120" t="n"/>
      <c r="T139" s="121" t="n"/>
      <c r="U139" s="120" t="n"/>
      <c r="V139" s="120" t="n"/>
      <c r="W139" s="121" t="n"/>
      <c r="X139" s="121" t="n"/>
    </row>
    <row r="140" ht="17" customHeight="1">
      <c r="A140" s="119" t="inlineStr">
        <is>
          <t>begin group</t>
        </is>
      </c>
      <c r="B140" s="119" t="inlineStr">
        <is>
          <t>caregiver</t>
        </is>
      </c>
      <c r="C140" s="122" t="inlineStr">
        <is>
          <t>Call answered by main caregiver, introduce the program</t>
        </is>
      </c>
      <c r="D140" s="120" t="n"/>
      <c r="E140" s="121" t="n"/>
      <c r="F140" s="121" t="n"/>
      <c r="G140" s="120" t="n"/>
      <c r="H140" s="120" t="n"/>
      <c r="I140" s="122" t="inlineStr">
        <is>
          <t>(selected(${phone_call_response}, '1') or selected(${temp_caregiver_nearby}, '1'))</t>
        </is>
      </c>
      <c r="J140" s="119" t="n"/>
      <c r="K140" s="121" t="n"/>
      <c r="L140" s="120" t="n"/>
      <c r="M140" s="121" t="n"/>
      <c r="N140" s="120" t="n"/>
      <c r="O140" s="121" t="n"/>
      <c r="P140" s="121" t="n"/>
      <c r="Q140" s="121" t="n"/>
      <c r="R140" s="121" t="n"/>
      <c r="S140" s="120" t="n"/>
      <c r="T140" s="121" t="n"/>
      <c r="U140" s="120" t="n"/>
      <c r="V140" s="120" t="n"/>
      <c r="W140" s="121" t="n"/>
      <c r="X140" s="121" t="n"/>
    </row>
    <row r="141" ht="17" customHeight="1">
      <c r="A141" s="119" t="inlineStr">
        <is>
          <t>begin group</t>
        </is>
      </c>
      <c r="B141" s="119" t="inlineStr">
        <is>
          <t>caregiver_intro</t>
        </is>
      </c>
      <c r="C141" s="122" t="n"/>
      <c r="D141" s="120" t="n"/>
      <c r="E141" s="121" t="n"/>
      <c r="F141" s="119" t="inlineStr">
        <is>
          <t>field-list</t>
        </is>
      </c>
      <c r="G141" s="120" t="n"/>
      <c r="H141" s="120" t="n"/>
      <c r="I141" s="122" t="n"/>
      <c r="J141" s="119" t="n"/>
      <c r="K141" s="121" t="n"/>
      <c r="L141" s="120" t="n"/>
      <c r="M141" s="121" t="n"/>
      <c r="N141" s="120" t="n"/>
      <c r="O141" s="121" t="n"/>
      <c r="P141" s="121" t="n"/>
      <c r="Q141" s="121" t="n"/>
      <c r="R141" s="121" t="n"/>
      <c r="S141" s="120" t="n"/>
      <c r="T141" s="121" t="n"/>
      <c r="U141" s="120" t="n"/>
      <c r="V141" s="120" t="n"/>
      <c r="W141" s="121" t="n"/>
      <c r="X141" s="121" t="n"/>
    </row>
    <row r="142" ht="136" customHeight="1">
      <c r="A142" s="119" t="inlineStr">
        <is>
          <t>note</t>
        </is>
      </c>
      <c r="B142" s="119" t="inlineStr">
        <is>
          <t>note_caregiver_intro</t>
        </is>
      </c>
      <c r="C142" s="122" t="inlineStr">
        <is>
          <t>Hi, &lt;font color="#14b14b"&gt;&lt;b&gt;&lt;u&gt;${care_name_i}&lt;/u&gt;&lt;/b&gt;&lt;/font&gt;! I am calling regarding mEducation, a phone-based education program where we provide simple and targeted math instruction and support to students like &lt;font color="#14b14b"&gt;&lt;b&gt;&lt;u&gt;${stud_name}&lt;/u&gt;&lt;/b&gt;&lt;/font&gt;.
&lt;br&gt;&lt;br&gt;
I'm here to practice maths with you and your child! Is &lt;font color="#14b14b"&gt;&lt;b&gt;&lt;u&gt;${stud_name}&lt;/u&gt;&lt;/b&gt;&lt;/font&gt; available?</t>
        </is>
      </c>
      <c r="D142" s="120" t="n"/>
      <c r="E142" s="121" t="n"/>
      <c r="F142" s="121" t="n"/>
      <c r="G142" s="120" t="n"/>
      <c r="H142" s="120" t="n"/>
      <c r="I142" s="122" t="n"/>
      <c r="J142" s="119" t="n"/>
      <c r="K142" s="121" t="n"/>
      <c r="L142" s="120" t="n"/>
      <c r="M142" s="121" t="n"/>
      <c r="N142" s="120" t="n"/>
      <c r="O142" s="121" t="n"/>
      <c r="P142" s="121" t="n"/>
      <c r="Q142" s="121" t="n"/>
      <c r="R142" s="121" t="n"/>
      <c r="S142" s="120" t="n"/>
      <c r="T142" s="121" t="n"/>
      <c r="U142" s="120" t="n"/>
      <c r="V142" s="120" t="n"/>
      <c r="W142" s="121" t="n"/>
      <c r="X142" s="121" t="n"/>
    </row>
    <row r="143" ht="187" customHeight="1">
      <c r="A143" s="119" t="inlineStr">
        <is>
          <t>select_one consent</t>
        </is>
      </c>
      <c r="B143" s="119" t="inlineStr">
        <is>
          <t>stud_avail</t>
        </is>
      </c>
      <c r="C143" s="122" t="inlineStr">
        <is>
          <t>&lt;p&gt;&lt;span style="color: #3366ff;"&gt;&lt;b&gt;INSTRUCTIONS:&lt;/b&gt;&lt;/span&gt;&lt;/p&gt;
&lt;br&gt;&lt;br&gt;
&lt;p&gt;&lt;span style="color: #3366ff;"&gt;Confirm that the student is nearby and available for tutoring before you ask the caregiver questions related to the program.&lt;/span&gt;&lt;/p&gt;
&lt;br&gt;&lt;br&gt;
&lt;p&gt;&lt;span style="color: #3366ff;"&gt;&lt;b&gt;INSTRUCTIONS:&lt;/b&gt; If the student is &lt;u&gt;not available&lt;/u&gt;, click "No" and re-schedule the call.&lt;/span&gt;&lt;/p&gt;</t>
        </is>
      </c>
      <c r="D143" s="120" t="n"/>
      <c r="E143" s="121" t="n"/>
      <c r="F143" s="121" t="n"/>
      <c r="G143" s="120" t="n"/>
      <c r="H143" s="120" t="n"/>
      <c r="I143" s="122" t="n"/>
      <c r="J143" s="119" t="n"/>
      <c r="K143" s="119" t="inlineStr">
        <is>
          <t>yes</t>
        </is>
      </c>
      <c r="L143" s="120" t="n"/>
      <c r="M143" s="121" t="n"/>
      <c r="N143" s="120" t="n"/>
      <c r="O143" s="121" t="n"/>
      <c r="P143" s="121" t="n"/>
      <c r="Q143" s="121" t="n"/>
      <c r="R143" s="121" t="n"/>
      <c r="S143" s="120" t="n"/>
      <c r="T143" s="121" t="n"/>
      <c r="U143" s="120" t="n"/>
      <c r="V143" s="120" t="n"/>
      <c r="W143" s="121" t="n"/>
      <c r="X143" s="121" t="n"/>
    </row>
    <row r="144" ht="17" customHeight="1">
      <c r="A144" s="119" t="inlineStr">
        <is>
          <t>calculate</t>
        </is>
      </c>
      <c r="B144" s="119" t="inlineStr">
        <is>
          <t>consent_i</t>
        </is>
      </c>
      <c r="C144" s="122" t="inlineStr">
        <is>
          <t>Returns 0 if caregiver withdrew consent</t>
        </is>
      </c>
      <c r="D144" s="120" t="n"/>
      <c r="E144" s="121" t="n"/>
      <c r="F144" s="121" t="n"/>
      <c r="G144" s="120" t="n"/>
      <c r="H144" s="120" t="n"/>
      <c r="I144" s="122" t="n"/>
      <c r="J144" s="119" t="n"/>
      <c r="K144" s="121" t="n"/>
      <c r="L144" s="120" t="n"/>
      <c r="M144" s="121" t="n"/>
      <c r="N144" s="122" t="inlineStr">
        <is>
          <t>if(${stud_avail} = -99, '0', '1')</t>
        </is>
      </c>
      <c r="O144" s="121" t="n"/>
      <c r="P144" s="121" t="n"/>
      <c r="Q144" s="121" t="n"/>
      <c r="R144" s="121" t="n"/>
      <c r="S144" s="120" t="n"/>
      <c r="T144" s="121" t="n"/>
      <c r="U144" s="120" t="n"/>
      <c r="V144" s="120" t="n"/>
      <c r="W144" s="121" t="n"/>
      <c r="X144" s="121" t="n"/>
    </row>
    <row r="145" ht="102" customHeight="1">
      <c r="A145" s="119" t="inlineStr">
        <is>
          <t>select_one noconsent</t>
        </is>
      </c>
      <c r="B145" s="119" t="inlineStr">
        <is>
          <t>consent_no_i</t>
        </is>
      </c>
      <c r="C145" s="122" t="inlineStr">
        <is>
          <t xml:space="preserve">&lt;p&gt;&lt;span style="color: #3366ff;"&gt;&lt;strong&gt;DO NOT READ OUT OR ASK THIS QUESTION:&lt;/strong&gt;&lt;/span&gt;&lt;/p&gt;
&lt;br&gt; &lt;br&gt;
Please record the reason for not giving consent, if the caregiver mentioned a reason. &lt;br&gt;&lt;br&gt;
Please do not push the caregiver to provide a reason. </t>
        </is>
      </c>
      <c r="D145" s="120" t="n"/>
      <c r="E145" s="121" t="n"/>
      <c r="F145" s="121" t="n"/>
      <c r="G145" s="125" t="n"/>
      <c r="H145" s="125" t="n"/>
      <c r="I145" s="122" t="inlineStr">
        <is>
          <t>selected(${stud_avail}, '-99')</t>
        </is>
      </c>
      <c r="J145" s="119" t="n"/>
      <c r="K145" s="119" t="inlineStr">
        <is>
          <t>yes</t>
        </is>
      </c>
      <c r="L145" s="120" t="n"/>
      <c r="M145" s="121" t="n"/>
      <c r="N145" s="120" t="n"/>
      <c r="O145" s="121" t="n"/>
      <c r="P145" s="121" t="n"/>
      <c r="Q145" s="121" t="n"/>
      <c r="R145" s="121" t="n"/>
      <c r="S145" s="120" t="n"/>
      <c r="T145" s="121" t="n"/>
      <c r="U145" s="120" t="n"/>
      <c r="V145" s="120" t="n"/>
      <c r="W145" s="121" t="n"/>
      <c r="X145" s="121" t="n"/>
    </row>
    <row r="146" ht="34" customHeight="1">
      <c r="A146" s="119" t="inlineStr">
        <is>
          <t>text</t>
        </is>
      </c>
      <c r="B146" s="119" t="inlineStr">
        <is>
          <t>consent_no_i_other</t>
        </is>
      </c>
      <c r="C146" s="122" t="inlineStr">
        <is>
          <t>What other reason did the caregiver cite for not giving consent?</t>
        </is>
      </c>
      <c r="D146" s="120" t="n"/>
      <c r="E146" s="121" t="n"/>
      <c r="F146" s="121" t="n"/>
      <c r="G146" s="125" t="inlineStr">
        <is>
          <t>string-length(.) &gt; 2</t>
        </is>
      </c>
      <c r="H146" s="125" t="inlineStr">
        <is>
          <t>Your answer is too short.</t>
        </is>
      </c>
      <c r="I146" s="122" t="inlineStr">
        <is>
          <t>selected(${consent_no_i}, '6')</t>
        </is>
      </c>
      <c r="J146" s="119" t="n"/>
      <c r="K146" s="119" t="inlineStr">
        <is>
          <t>yes</t>
        </is>
      </c>
      <c r="L146" s="120" t="n"/>
      <c r="M146" s="121" t="n"/>
      <c r="N146" s="120" t="n"/>
      <c r="O146" s="121" t="n"/>
      <c r="P146" s="121" t="n"/>
      <c r="Q146" s="121" t="n"/>
      <c r="R146" s="121" t="n"/>
      <c r="S146" s="120" t="n"/>
      <c r="T146" s="121" t="n"/>
      <c r="U146" s="120" t="n"/>
      <c r="V146" s="120" t="n"/>
      <c r="W146" s="121" t="n"/>
      <c r="X146" s="121" t="n"/>
    </row>
    <row r="147" ht="17" customHeight="1">
      <c r="A147" s="119" t="inlineStr">
        <is>
          <t>note</t>
        </is>
      </c>
      <c r="B147" s="119" t="inlineStr">
        <is>
          <t>note_end_refused</t>
        </is>
      </c>
      <c r="C147" s="122" t="inlineStr">
        <is>
          <t>Okay, thank you for your time! Have a wonderful day!</t>
        </is>
      </c>
      <c r="D147" s="120" t="n"/>
      <c r="E147" s="121" t="n"/>
      <c r="F147" s="121" t="n"/>
      <c r="G147" s="120" t="n"/>
      <c r="H147" s="120" t="n"/>
      <c r="I147" s="122" t="inlineStr">
        <is>
          <t>selected(${stud_avail}, '-99')</t>
        </is>
      </c>
      <c r="J147" s="119" t="n"/>
      <c r="K147" s="121" t="n"/>
      <c r="L147" s="120" t="n"/>
      <c r="M147" s="121" t="n"/>
      <c r="N147" s="120" t="n"/>
      <c r="O147" s="121" t="n"/>
      <c r="P147" s="121" t="n"/>
      <c r="Q147" s="121" t="n"/>
      <c r="R147" s="121" t="n"/>
      <c r="S147" s="120" t="n"/>
      <c r="T147" s="121" t="n"/>
      <c r="U147" s="120" t="n"/>
      <c r="V147" s="120" t="n"/>
      <c r="W147" s="121" t="n"/>
      <c r="X147" s="121" t="n"/>
    </row>
    <row r="148">
      <c r="A148" s="119" t="inlineStr">
        <is>
          <t>end group</t>
        </is>
      </c>
      <c r="B148" s="119" t="inlineStr">
        <is>
          <t>caregiver_intro</t>
        </is>
      </c>
      <c r="C148" s="122" t="n"/>
      <c r="D148" s="120" t="n"/>
      <c r="E148" s="121" t="n"/>
      <c r="F148" s="121" t="n"/>
      <c r="G148" s="120" t="n"/>
      <c r="H148" s="120" t="n"/>
      <c r="I148" s="122" t="n"/>
      <c r="J148" s="119" t="n"/>
      <c r="K148" s="121" t="n"/>
      <c r="L148" s="120" t="n"/>
      <c r="M148" s="121" t="n"/>
      <c r="N148" s="120" t="n"/>
      <c r="O148" s="121" t="n"/>
      <c r="P148" s="121" t="n"/>
      <c r="Q148" s="121" t="n"/>
      <c r="R148" s="121" t="n"/>
      <c r="S148" s="120" t="n"/>
      <c r="T148" s="121" t="n"/>
      <c r="U148" s="120" t="n"/>
      <c r="V148" s="120" t="n"/>
      <c r="W148" s="121" t="n"/>
      <c r="X148" s="121" t="n"/>
    </row>
    <row r="149" ht="17" customHeight="1">
      <c r="A149" s="119" t="inlineStr">
        <is>
          <t>begin group</t>
        </is>
      </c>
      <c r="B149" s="119" t="inlineStr">
        <is>
          <t>available</t>
        </is>
      </c>
      <c r="C149" s="122" t="n"/>
      <c r="D149" s="120" t="n"/>
      <c r="E149" s="121" t="n"/>
      <c r="F149" s="121" t="n"/>
      <c r="G149" s="120" t="n"/>
      <c r="H149" s="120" t="n"/>
      <c r="I149" s="122" t="inlineStr">
        <is>
          <t>selected(${stud_avail}, '1')</t>
        </is>
      </c>
      <c r="J149" s="119" t="n"/>
      <c r="K149" s="121" t="n"/>
      <c r="L149" s="120" t="n"/>
      <c r="M149" s="121" t="n"/>
      <c r="N149" s="120" t="n"/>
      <c r="O149" s="121" t="n"/>
      <c r="P149" s="121" t="n"/>
      <c r="Q149" s="121" t="n"/>
      <c r="R149" s="121" t="n"/>
      <c r="S149" s="120" t="n"/>
      <c r="T149" s="121" t="n"/>
      <c r="U149" s="120" t="n"/>
      <c r="V149" s="120" t="n"/>
      <c r="W149" s="121" t="n"/>
      <c r="X149" s="121" t="n"/>
    </row>
    <row r="150" ht="102" customHeight="1">
      <c r="A150" s="119" t="inlineStr">
        <is>
          <t>select_one yesno</t>
        </is>
      </c>
      <c r="B150" s="119" t="inlineStr">
        <is>
          <t>stud_confirm</t>
        </is>
      </c>
      <c r="C150" s="122" t="inlineStr">
        <is>
          <t>Great, thanks!
&lt;br&gt;&lt;br&gt;
Before we begin, can you please confirm that this is the correct spelling of &lt;font color="#14b14b"&gt;&lt;b&gt;&lt;u&gt;${stud_name}&lt;/u&gt;&lt;/b&gt;&lt;/font&gt;?</t>
        </is>
      </c>
      <c r="D150" s="120" t="n"/>
      <c r="E150" s="121" t="n"/>
      <c r="F150" s="121" t="n"/>
      <c r="G150" s="120" t="n"/>
      <c r="H150" s="120" t="n"/>
      <c r="I150" s="122" t="inlineStr">
        <is>
          <t>${week} = 1</t>
        </is>
      </c>
      <c r="J150" s="119" t="n"/>
      <c r="K150" s="119" t="inlineStr">
        <is>
          <t>yes</t>
        </is>
      </c>
      <c r="L150" s="120" t="n"/>
      <c r="M150" s="121" t="n"/>
      <c r="N150" s="120" t="n"/>
      <c r="O150" s="121" t="n"/>
      <c r="P150" s="121" t="n"/>
      <c r="Q150" s="121" t="n"/>
      <c r="R150" s="121" t="n"/>
      <c r="S150" s="120" t="n"/>
      <c r="T150" s="121" t="n"/>
      <c r="U150" s="120" t="n"/>
      <c r="V150" s="120" t="n"/>
      <c r="W150" s="121" t="n"/>
      <c r="X150" s="121" t="n"/>
    </row>
    <row r="151" ht="17" customHeight="1">
      <c r="A151" s="119" t="inlineStr">
        <is>
          <t>begin group</t>
        </is>
      </c>
      <c r="B151" s="119" t="inlineStr">
        <is>
          <t>new_student</t>
        </is>
      </c>
      <c r="C151" s="122" t="n"/>
      <c r="D151" s="120" t="n"/>
      <c r="E151" s="121" t="n"/>
      <c r="F151" s="119" t="inlineStr">
        <is>
          <t>field-list</t>
        </is>
      </c>
      <c r="G151" s="120" t="n"/>
      <c r="H151" s="120" t="n"/>
      <c r="I151" s="122" t="inlineStr">
        <is>
          <t>selected(${stud_confirm}, '0')</t>
        </is>
      </c>
      <c r="J151" s="119" t="n"/>
      <c r="K151" s="121" t="n"/>
      <c r="L151" s="120" t="n"/>
      <c r="M151" s="121" t="n"/>
      <c r="N151" s="120" t="n"/>
      <c r="O151" s="121" t="n"/>
      <c r="P151" s="121" t="n"/>
      <c r="Q151" s="121" t="n"/>
      <c r="R151" s="121" t="n"/>
      <c r="S151" s="120" t="n"/>
      <c r="T151" s="121" t="n"/>
      <c r="U151" s="120" t="n"/>
      <c r="V151" s="120" t="n"/>
      <c r="W151" s="121" t="n"/>
      <c r="X151" s="121" t="n"/>
    </row>
    <row r="152" ht="34" customHeight="1">
      <c r="A152" s="119" t="inlineStr">
        <is>
          <t>text</t>
        </is>
      </c>
      <c r="B152" s="119" t="inlineStr">
        <is>
          <t>new_stud_firstname</t>
        </is>
      </c>
      <c r="C152" s="122" t="inlineStr">
        <is>
          <t>What is the correct first name?</t>
        </is>
      </c>
      <c r="D152" s="120" t="n"/>
      <c r="E152" s="121" t="n"/>
      <c r="F152" s="121" t="n"/>
      <c r="G152" s="122" t="inlineStr">
        <is>
          <t>string-length(.) &gt; 2</t>
        </is>
      </c>
      <c r="H152" s="122" t="inlineStr">
        <is>
          <t>Please enter the first name of the student.</t>
        </is>
      </c>
      <c r="I152" s="122" t="n"/>
      <c r="J152" s="119" t="n"/>
      <c r="K152" s="119" t="inlineStr">
        <is>
          <t>yes</t>
        </is>
      </c>
      <c r="L152" s="120" t="n"/>
      <c r="M152" s="121" t="n"/>
      <c r="N152" s="120" t="n"/>
      <c r="O152" s="121" t="n"/>
      <c r="P152" s="121" t="n"/>
      <c r="Q152" s="121" t="n"/>
      <c r="R152" s="121" t="n"/>
      <c r="S152" s="120" t="n"/>
      <c r="T152" s="121" t="n"/>
      <c r="U152" s="120" t="n"/>
      <c r="V152" s="120" t="n"/>
      <c r="W152" s="121" t="n"/>
      <c r="X152" s="121" t="n"/>
    </row>
    <row r="153" ht="51" customHeight="1">
      <c r="A153" s="119" t="inlineStr">
        <is>
          <t>text</t>
        </is>
      </c>
      <c r="B153" s="119" t="inlineStr">
        <is>
          <t>new_stud_surname</t>
        </is>
      </c>
      <c r="C153" s="122" t="inlineStr">
        <is>
          <t>What is the correct surname/last name?</t>
        </is>
      </c>
      <c r="D153" s="120" t="n"/>
      <c r="E153" s="121" t="n"/>
      <c r="F153" s="121" t="n"/>
      <c r="G153" s="122" t="inlineStr">
        <is>
          <t>string-length(.) &gt; 2</t>
        </is>
      </c>
      <c r="H153" s="122" t="inlineStr">
        <is>
          <t>Please enter the surname/last name of the student.</t>
        </is>
      </c>
      <c r="I153" s="122" t="n"/>
      <c r="J153" s="119" t="n"/>
      <c r="K153" s="119" t="inlineStr">
        <is>
          <t>yes</t>
        </is>
      </c>
      <c r="L153" s="120" t="n"/>
      <c r="M153" s="121" t="n"/>
      <c r="N153" s="120" t="n"/>
      <c r="O153" s="121" t="n"/>
      <c r="P153" s="121" t="n"/>
      <c r="Q153" s="121" t="n"/>
      <c r="R153" s="121" t="n"/>
      <c r="S153" s="120" t="n"/>
      <c r="T153" s="121" t="n"/>
      <c r="U153" s="120" t="n"/>
      <c r="V153" s="120" t="n"/>
      <c r="W153" s="121" t="n"/>
      <c r="X153" s="121" t="n"/>
    </row>
    <row r="154" ht="17" customHeight="1">
      <c r="A154" s="119" t="inlineStr">
        <is>
          <t>calculate</t>
        </is>
      </c>
      <c r="B154" s="119" t="inlineStr">
        <is>
          <t>new_stud_name</t>
        </is>
      </c>
      <c r="C154" s="122" t="inlineStr">
        <is>
          <t>Returns updated name of student</t>
        </is>
      </c>
      <c r="D154" s="120" t="n"/>
      <c r="E154" s="121" t="n"/>
      <c r="F154" s="121" t="n"/>
      <c r="G154" s="120" t="n"/>
      <c r="H154" s="120" t="n"/>
      <c r="I154" s="122" t="n"/>
      <c r="J154" s="119" t="n"/>
      <c r="K154" s="121" t="n"/>
      <c r="L154" s="120" t="n"/>
      <c r="M154" s="121" t="n"/>
      <c r="N154" s="122" t="inlineStr">
        <is>
          <t>concat(${new_stud_firstname}, ' ', ${new_stud_surname})</t>
        </is>
      </c>
      <c r="O154" s="121" t="n"/>
      <c r="P154" s="121" t="n"/>
      <c r="Q154" s="121" t="n"/>
      <c r="R154" s="121" t="n"/>
      <c r="S154" s="120" t="n"/>
      <c r="T154" s="121" t="n"/>
      <c r="U154" s="120" t="n"/>
      <c r="V154" s="120" t="n"/>
      <c r="W154" s="121" t="n"/>
      <c r="X154" s="121" t="n"/>
    </row>
    <row r="155" ht="102" customHeight="1">
      <c r="A155" s="119" t="inlineStr">
        <is>
          <t>select_one yesno</t>
        </is>
      </c>
      <c r="B155" s="119" t="inlineStr">
        <is>
          <t>same_student_i</t>
        </is>
      </c>
      <c r="C155" s="122" t="inlineStr">
        <is>
          <t>&lt;p&gt;&lt;span style="color: #3366ff;"&gt;&lt;b&gt;DO NOT READ OUT LOUD:&lt;/b&gt;&lt;/span&gt;&lt;/p&gt;
&lt;br&gt;&lt;br&gt;
&lt;p&gt;&lt;span style="color: #3366ff;"&gt;Is this the same student you levelled/assessed at sensitization?&lt;/span&gt;&lt;/p&gt;</t>
        </is>
      </c>
      <c r="D155" s="120" t="n"/>
      <c r="E155" s="121" t="n"/>
      <c r="F155" s="121" t="n"/>
      <c r="G155" s="120" t="n"/>
      <c r="H155" s="120" t="n"/>
      <c r="I155" s="122" t="inlineStr">
        <is>
          <t>selected(${stud_confirm}, '0')</t>
        </is>
      </c>
      <c r="J155" s="119" t="n"/>
      <c r="K155" s="119" t="inlineStr">
        <is>
          <t>yes</t>
        </is>
      </c>
      <c r="L155" s="120" t="n"/>
      <c r="M155" s="121" t="n"/>
      <c r="N155" s="120" t="n"/>
      <c r="O155" s="121" t="n"/>
      <c r="P155" s="121" t="n"/>
      <c r="Q155" s="121" t="n"/>
      <c r="R155" s="121" t="n"/>
      <c r="S155" s="120" t="n"/>
      <c r="T155" s="121" t="n"/>
      <c r="U155" s="120" t="n"/>
      <c r="V155" s="120" t="n"/>
      <c r="W155" s="121" t="n"/>
      <c r="X155" s="121" t="n"/>
    </row>
    <row r="156">
      <c r="A156" s="119" t="inlineStr">
        <is>
          <t>end group</t>
        </is>
      </c>
      <c r="B156" s="119" t="inlineStr">
        <is>
          <t>new_student</t>
        </is>
      </c>
      <c r="C156" s="122" t="n"/>
      <c r="D156" s="120" t="n"/>
      <c r="E156" s="121" t="n"/>
      <c r="F156" s="121" t="n"/>
      <c r="G156" s="120" t="n"/>
      <c r="H156" s="120" t="n"/>
      <c r="I156" s="122" t="n"/>
      <c r="J156" s="119" t="n"/>
      <c r="K156" s="121" t="n"/>
      <c r="L156" s="120" t="n"/>
      <c r="M156" s="121" t="n"/>
      <c r="N156" s="120" t="n"/>
      <c r="O156" s="121" t="n"/>
      <c r="P156" s="121" t="n"/>
      <c r="Q156" s="121" t="n"/>
      <c r="R156" s="121" t="n"/>
      <c r="S156" s="120" t="n"/>
      <c r="T156" s="121" t="n"/>
      <c r="U156" s="120" t="n"/>
      <c r="V156" s="120" t="n"/>
      <c r="W156" s="121" t="n"/>
      <c r="X156" s="121" t="n"/>
    </row>
    <row r="157" ht="85" customHeight="1">
      <c r="A157" s="119" t="inlineStr">
        <is>
          <t>select_one yesno</t>
        </is>
      </c>
      <c r="B157" s="119" t="inlineStr">
        <is>
          <t>sms_received_i</t>
        </is>
      </c>
      <c r="C157" s="122" t="inlineStr">
        <is>
          <t>I have sent you an SMS message with maths problems this week. 
&lt;br&gt;&lt;br&gt;
Have you seen the SMS?</t>
        </is>
      </c>
      <c r="D157" s="120" t="n"/>
      <c r="E157" s="121" t="n"/>
      <c r="F157" s="121" t="n"/>
      <c r="G157" s="120" t="n"/>
      <c r="H157" s="120" t="n"/>
      <c r="I157" s="122" t="n"/>
      <c r="J157" s="119" t="n"/>
      <c r="K157" s="119" t="inlineStr">
        <is>
          <t>yes</t>
        </is>
      </c>
      <c r="L157" s="120" t="n"/>
      <c r="M157" s="121" t="n"/>
      <c r="N157" s="120" t="n"/>
      <c r="O157" s="121" t="n"/>
      <c r="P157" s="121" t="n"/>
      <c r="Q157" s="121" t="n"/>
      <c r="R157" s="121" t="n"/>
      <c r="S157" s="120" t="n"/>
      <c r="T157" s="121" t="n"/>
      <c r="U157" s="120" t="n"/>
      <c r="V157" s="120" t="n"/>
      <c r="W157" s="121" t="n"/>
      <c r="X157" s="121" t="n"/>
    </row>
    <row r="158" ht="119" customHeight="1">
      <c r="A158" s="119" t="inlineStr">
        <is>
          <t>note</t>
        </is>
      </c>
      <c r="B158" s="119" t="inlineStr">
        <is>
          <t>note_sms_no</t>
        </is>
      </c>
      <c r="C158" s="122" t="inlineStr">
        <is>
          <t>Don't worry, we can continue with the call even if you haven't received or seen our SMS. We'll be sending you an SMS with maths problems every week during the program, so be sure to check your phone if you are interested. 
&lt;br&gt;&lt;br&gt;
For the time being, we can continue with our tutoring session.</t>
        </is>
      </c>
      <c r="D158" s="120" t="n"/>
      <c r="E158" s="121" t="n"/>
      <c r="F158" s="121" t="n"/>
      <c r="G158" s="120" t="n"/>
      <c r="H158" s="120" t="n"/>
      <c r="I158" s="122" t="inlineStr">
        <is>
          <t>selected(${sms_received_i}, '0')</t>
        </is>
      </c>
      <c r="J158" s="119" t="n"/>
      <c r="K158" s="121" t="n"/>
      <c r="L158" s="120" t="n"/>
      <c r="M158" s="121" t="n"/>
      <c r="N158" s="120" t="n"/>
      <c r="O158" s="121" t="n"/>
      <c r="P158" s="121" t="n"/>
      <c r="Q158" s="121" t="n"/>
      <c r="R158" s="121" t="n"/>
      <c r="S158" s="120" t="n"/>
      <c r="T158" s="121" t="n"/>
      <c r="U158" s="120" t="n"/>
      <c r="V158" s="120" t="n"/>
      <c r="W158" s="121" t="n"/>
      <c r="X158" s="121" t="n"/>
    </row>
    <row r="159" ht="17" customHeight="1">
      <c r="A159" s="119" t="inlineStr">
        <is>
          <t>begin group</t>
        </is>
      </c>
      <c r="B159" s="119" t="inlineStr">
        <is>
          <t>sms_received_followup</t>
        </is>
      </c>
      <c r="C159" s="122" t="n"/>
      <c r="D159" s="120" t="n"/>
      <c r="E159" s="121" t="n"/>
      <c r="F159" s="119" t="inlineStr">
        <is>
          <t>field-list</t>
        </is>
      </c>
      <c r="G159" s="120" t="n"/>
      <c r="H159" s="120" t="n"/>
      <c r="I159" s="122" t="inlineStr">
        <is>
          <t>selected(${sms_received_i}, '1')</t>
        </is>
      </c>
      <c r="J159" s="119" t="n"/>
      <c r="K159" s="121" t="n"/>
      <c r="L159" s="120" t="n"/>
      <c r="M159" s="121" t="n"/>
      <c r="N159" s="120" t="n"/>
      <c r="O159" s="121" t="n"/>
      <c r="P159" s="121" t="n"/>
      <c r="Q159" s="121" t="n"/>
      <c r="R159" s="121" t="n"/>
      <c r="S159" s="120" t="n"/>
      <c r="T159" s="121" t="n"/>
      <c r="U159" s="120" t="n"/>
      <c r="V159" s="120" t="n"/>
      <c r="W159" s="121" t="n"/>
      <c r="X159" s="121" t="n"/>
    </row>
    <row r="160" ht="102" customHeight="1">
      <c r="A160" s="119" t="inlineStr">
        <is>
          <t>note</t>
        </is>
      </c>
      <c r="B160" s="119" t="inlineStr">
        <is>
          <t>note_sms_yes</t>
        </is>
      </c>
      <c r="C160" s="122" t="inlineStr">
        <is>
          <t>Great! Some of the tutoring that we will do today relates to the SMS we sent. 
&lt;br&gt;&lt;br&gt;
We'll be sending SMS messages with maths problems every week during the program, so be sure to check your phone if you are interested.</t>
        </is>
      </c>
      <c r="D160" s="120" t="n"/>
      <c r="E160" s="121" t="n"/>
      <c r="F160" s="121" t="n"/>
      <c r="G160" s="120" t="n"/>
      <c r="H160" s="120" t="n"/>
      <c r="I160" s="122" t="n"/>
      <c r="J160" s="119" t="n"/>
      <c r="K160" s="121" t="n"/>
      <c r="L160" s="120" t="n"/>
      <c r="M160" s="121" t="n"/>
      <c r="N160" s="120" t="n"/>
      <c r="O160" s="121" t="n"/>
      <c r="P160" s="121" t="n"/>
      <c r="Q160" s="121" t="n"/>
      <c r="R160" s="121" t="n"/>
      <c r="S160" s="120" t="n"/>
      <c r="T160" s="121" t="n"/>
      <c r="U160" s="120" t="n"/>
      <c r="V160" s="120" t="n"/>
      <c r="W160" s="121" t="n"/>
      <c r="X160" s="121" t="n"/>
    </row>
    <row r="161" ht="34" customHeight="1">
      <c r="A161" s="119" t="inlineStr">
        <is>
          <t>select_one yesno</t>
        </is>
      </c>
      <c r="B161" s="119" t="inlineStr">
        <is>
          <t>sms_practice_i</t>
        </is>
      </c>
      <c r="C161" s="122" t="inlineStr">
        <is>
          <t>Did &lt;font color="#14b14b"&gt;&lt;b&gt;&lt;u&gt;${stud_name_i}&lt;/u&gt;&lt;/b&gt;&lt;/font&gt; attempt any of the maths problems sent through SMS this week?</t>
        </is>
      </c>
      <c r="D161" s="120" t="n"/>
      <c r="E161" s="121" t="n"/>
      <c r="F161" s="121" t="n"/>
      <c r="G161" s="120" t="n"/>
      <c r="H161" s="120" t="n"/>
      <c r="I161" s="122" t="inlineStr">
        <is>
          <t>selected(${sms_received_i}, '1')</t>
        </is>
      </c>
      <c r="J161" s="119" t="n"/>
      <c r="K161" s="121" t="n"/>
      <c r="L161" s="120" t="n"/>
      <c r="M161" s="121" t="n"/>
      <c r="N161" s="120" t="n"/>
      <c r="O161" s="121" t="n"/>
      <c r="P161" s="121" t="n"/>
      <c r="Q161" s="121" t="n"/>
      <c r="R161" s="121" t="n"/>
      <c r="S161" s="120" t="n"/>
      <c r="T161" s="121" t="n"/>
      <c r="U161" s="120" t="n"/>
      <c r="V161" s="120" t="n"/>
      <c r="W161" s="121" t="n"/>
      <c r="X161" s="121" t="n"/>
    </row>
    <row r="162">
      <c r="A162" s="119" t="inlineStr">
        <is>
          <t>end group</t>
        </is>
      </c>
      <c r="B162" s="119" t="inlineStr">
        <is>
          <t>sms_received_followup</t>
        </is>
      </c>
      <c r="C162" s="122" t="n"/>
      <c r="D162" s="120" t="n"/>
      <c r="E162" s="121" t="n"/>
      <c r="F162" s="121" t="n"/>
      <c r="G162" s="120" t="n"/>
      <c r="H162" s="120" t="n"/>
      <c r="I162" s="122" t="n"/>
      <c r="J162" s="119" t="n"/>
      <c r="K162" s="121" t="n"/>
      <c r="L162" s="120" t="n"/>
      <c r="M162" s="121" t="n"/>
      <c r="N162" s="120" t="n"/>
      <c r="O162" s="121" t="n"/>
      <c r="P162" s="121" t="n"/>
      <c r="Q162" s="121" t="n"/>
      <c r="R162" s="121" t="n"/>
      <c r="S162" s="120" t="n"/>
      <c r="T162" s="121" t="n"/>
      <c r="U162" s="120" t="n"/>
      <c r="V162" s="120" t="n"/>
      <c r="W162" s="121" t="n"/>
      <c r="X162" s="121" t="n"/>
    </row>
    <row r="163">
      <c r="A163" s="119" t="inlineStr">
        <is>
          <t>begin group</t>
        </is>
      </c>
      <c r="B163" s="119" t="inlineStr">
        <is>
          <t>best_contact_info</t>
        </is>
      </c>
      <c r="C163" s="122" t="n"/>
      <c r="D163" s="120" t="n"/>
      <c r="E163" s="121" t="n"/>
      <c r="F163" s="121" t="n"/>
      <c r="G163" s="120" t="n"/>
      <c r="H163" s="120" t="n"/>
      <c r="I163" s="122" t="n"/>
      <c r="J163" s="119" t="n"/>
      <c r="K163" s="121" t="n"/>
      <c r="L163" s="120" t="n"/>
      <c r="M163" s="121" t="n"/>
      <c r="N163" s="120" t="n"/>
      <c r="O163" s="121" t="n"/>
      <c r="P163" s="121" t="n"/>
      <c r="Q163" s="121" t="n"/>
      <c r="R163" s="121" t="n"/>
      <c r="S163" s="120" t="n"/>
      <c r="T163" s="121" t="n"/>
      <c r="U163" s="120" t="n"/>
      <c r="V163" s="120" t="n"/>
      <c r="W163" s="121" t="n"/>
      <c r="X163" s="121" t="n"/>
    </row>
    <row r="164" ht="119" customHeight="1">
      <c r="A164" s="119" t="inlineStr">
        <is>
          <t>select_one yesno</t>
        </is>
      </c>
      <c r="B164" s="119" t="inlineStr">
        <is>
          <t>confirm_best_phone</t>
        </is>
      </c>
      <c r="C164" s="122" t="inlineStr">
        <is>
          <t>We want to make sure that we have correct information that will allow us to call you each week during the program. 
&lt;br&gt;&lt;br&gt;
Should we continue reaching out to you on this number (&lt;font color="#14b14b"&gt;&lt;b&gt;&lt;u&gt;${selected_phone_no}&lt;/u&gt;&lt;/b&gt;&lt;/font&gt;)?</t>
        </is>
      </c>
      <c r="D164" s="120" t="n"/>
      <c r="E164" s="121" t="n"/>
      <c r="F164" s="121" t="n"/>
      <c r="G164" s="120" t="n"/>
      <c r="H164" s="120" t="n"/>
      <c r="I164" s="122" t="n"/>
      <c r="J164" s="119" t="n"/>
      <c r="K164" s="119" t="inlineStr">
        <is>
          <t>yes</t>
        </is>
      </c>
      <c r="L164" s="120" t="n"/>
      <c r="M164" s="121" t="n"/>
      <c r="N164" s="120" t="n"/>
      <c r="O164" s="121" t="n"/>
      <c r="P164" s="121" t="n"/>
      <c r="Q164" s="121" t="n"/>
      <c r="R164" s="121" t="n"/>
      <c r="S164" s="120" t="n"/>
      <c r="T164" s="121" t="n"/>
      <c r="U164" s="120" t="n"/>
      <c r="V164" s="120" t="n"/>
      <c r="W164" s="121" t="n"/>
      <c r="X164" s="121" t="n"/>
    </row>
    <row r="165" ht="17" customHeight="1">
      <c r="A165" s="119" t="inlineStr">
        <is>
          <t>select_one phones</t>
        </is>
      </c>
      <c r="B165" s="119" t="inlineStr">
        <is>
          <t>confirm_new_best_phone</t>
        </is>
      </c>
      <c r="C165" s="122" t="inlineStr">
        <is>
          <t>What phone number should we reach out to about the tutoring program?</t>
        </is>
      </c>
      <c r="D165" s="120" t="n"/>
      <c r="E165" s="121" t="n"/>
      <c r="F165" s="121" t="n"/>
      <c r="G165" s="120" t="n"/>
      <c r="H165" s="120" t="n"/>
      <c r="I165" s="122" t="inlineStr">
        <is>
          <t>selected(${confirm_best_phone}, '0')</t>
        </is>
      </c>
      <c r="J165" s="119" t="n"/>
      <c r="K165" s="119" t="inlineStr">
        <is>
          <t>yes</t>
        </is>
      </c>
      <c r="L165" s="120" t="n"/>
      <c r="M165" s="121" t="n"/>
      <c r="N165" s="120" t="n"/>
      <c r="O165" s="121" t="n"/>
      <c r="P165" s="121" t="n"/>
      <c r="Q165" s="121" t="n"/>
      <c r="R165" s="121" t="n"/>
      <c r="S165" s="120" t="n"/>
      <c r="T165" s="126" t="inlineStr">
        <is>
          <t>(selected(${contacts}, filter) and not(selected(${phone_select}, filter))) or (filter = 95)</t>
        </is>
      </c>
      <c r="U165" s="120" t="n"/>
      <c r="V165" s="120" t="n"/>
      <c r="W165" s="121" t="n"/>
      <c r="X165" s="121" t="n"/>
    </row>
    <row r="166" ht="51" customHeight="1">
      <c r="A166" s="119" t="inlineStr">
        <is>
          <t>text</t>
        </is>
      </c>
      <c r="B166" s="119" t="inlineStr">
        <is>
          <t>new_best_phone</t>
        </is>
      </c>
      <c r="C166" s="122" t="inlineStr">
        <is>
          <t>Please enter the best phone number to reach you:</t>
        </is>
      </c>
      <c r="D166" s="120" t="n"/>
      <c r="E166" s="121" t="n"/>
      <c r="F166" s="119" t="inlineStr">
        <is>
          <t>numbers</t>
        </is>
      </c>
      <c r="G166" s="122" t="inlineStr">
        <is>
          <t>regex(., '^0\d{10}$')</t>
        </is>
      </c>
      <c r="H166" s="122" t="inlineStr">
        <is>
          <t>Please enter the 11-digit phone number starting with 0.</t>
        </is>
      </c>
      <c r="I166" s="122" t="inlineStr">
        <is>
          <t>selected(${confirm_new_best_phone}, '95')</t>
        </is>
      </c>
      <c r="J166" s="119" t="n"/>
      <c r="K166" s="119" t="inlineStr">
        <is>
          <t>yes</t>
        </is>
      </c>
      <c r="L166" s="120" t="n"/>
      <c r="M166" s="121" t="n"/>
      <c r="N166" s="120" t="n"/>
      <c r="O166" s="121" t="n"/>
      <c r="P166" s="121" t="n"/>
      <c r="Q166" s="121" t="n"/>
      <c r="R166" s="121" t="n"/>
      <c r="S166" s="120" t="n"/>
      <c r="T166" s="121" t="n"/>
      <c r="U166" s="120" t="n"/>
      <c r="V166" s="120" t="n"/>
      <c r="W166" s="121" t="n"/>
      <c r="X166" s="121" t="n"/>
    </row>
    <row r="167" ht="17" customHeight="1">
      <c r="A167" s="119" t="inlineStr">
        <is>
          <t>select_one phone_owner</t>
        </is>
      </c>
      <c r="B167" s="119" t="inlineStr">
        <is>
          <t>new_best_phone_owner</t>
        </is>
      </c>
      <c r="C167" s="122" t="inlineStr">
        <is>
          <t>Who owns this phone number?</t>
        </is>
      </c>
      <c r="D167" s="120" t="n"/>
      <c r="E167" s="121" t="n"/>
      <c r="F167" s="121" t="n"/>
      <c r="G167" s="122" t="n"/>
      <c r="H167" s="120" t="n"/>
      <c r="I167" s="122" t="inlineStr">
        <is>
          <t>selected(${confirm_new_best_phone}, '95')</t>
        </is>
      </c>
      <c r="J167" s="119" t="n"/>
      <c r="K167" s="119" t="inlineStr">
        <is>
          <t>yes</t>
        </is>
      </c>
      <c r="L167" s="120" t="n"/>
      <c r="M167" s="121" t="n"/>
      <c r="N167" s="120" t="n"/>
      <c r="O167" s="121" t="n"/>
      <c r="P167" s="121" t="n"/>
      <c r="Q167" s="121" t="n"/>
      <c r="R167" s="121" t="n"/>
      <c r="S167" s="120" t="n"/>
      <c r="T167" s="121" t="n"/>
      <c r="U167" s="120" t="n"/>
      <c r="V167" s="120" t="n"/>
      <c r="W167" s="121" t="n"/>
      <c r="X167" s="121" t="n"/>
    </row>
    <row r="168" ht="17" customHeight="1">
      <c r="A168" s="119" t="inlineStr">
        <is>
          <t>begin group</t>
        </is>
      </c>
      <c r="B168" s="127" t="inlineStr">
        <is>
          <t>new_best_phone_other_owner</t>
        </is>
      </c>
      <c r="C168" s="122" t="n"/>
      <c r="D168" s="120" t="n"/>
      <c r="E168" s="121" t="n"/>
      <c r="F168" s="119" t="inlineStr">
        <is>
          <t>field-list</t>
        </is>
      </c>
      <c r="G168" s="122" t="n"/>
      <c r="H168" s="120" t="n"/>
      <c r="I168" s="122" t="inlineStr">
        <is>
          <t>selected(${new_best_phone_owner}, '2')</t>
        </is>
      </c>
      <c r="J168" s="119" t="n"/>
      <c r="K168" s="121" t="n"/>
      <c r="L168" s="120" t="n"/>
      <c r="M168" s="121" t="n"/>
      <c r="N168" s="120" t="n"/>
      <c r="O168" s="121" t="n"/>
      <c r="P168" s="121" t="n"/>
      <c r="Q168" s="121" t="n"/>
      <c r="R168" s="121" t="n"/>
      <c r="S168" s="120" t="n"/>
      <c r="T168" s="121" t="n"/>
      <c r="U168" s="120" t="n"/>
      <c r="V168" s="120" t="n"/>
      <c r="W168" s="121" t="n"/>
      <c r="X168" s="121" t="n"/>
    </row>
    <row r="169" ht="34" customHeight="1">
      <c r="A169" s="119" t="inlineStr">
        <is>
          <t>note</t>
        </is>
      </c>
      <c r="B169" s="119" t="inlineStr">
        <is>
          <t>note_new_best_phone_other_owner_intro</t>
        </is>
      </c>
      <c r="C169" s="122" t="inlineStr">
        <is>
          <t>Please enter the following information about the owner of &lt;font color="#14b14b"&gt;&lt;b&gt;&lt;u&gt;${new_best_phone}&lt;/u&gt;&lt;/b&gt;&lt;/font&gt;:</t>
        </is>
      </c>
      <c r="D169" s="120" t="n"/>
      <c r="E169" s="121" t="n"/>
      <c r="F169" s="121" t="n"/>
      <c r="G169" s="122" t="n"/>
      <c r="H169" s="120" t="n"/>
      <c r="I169" s="122" t="n"/>
      <c r="J169" s="119" t="n"/>
      <c r="K169" s="121" t="n"/>
      <c r="L169" s="120" t="n"/>
      <c r="M169" s="121" t="n"/>
      <c r="N169" s="120" t="n"/>
      <c r="O169" s="121" t="n"/>
      <c r="P169" s="121" t="n"/>
      <c r="Q169" s="121" t="n"/>
      <c r="R169" s="121" t="n"/>
      <c r="S169" s="120" t="n"/>
      <c r="T169" s="121" t="n"/>
      <c r="U169" s="120" t="n"/>
      <c r="V169" s="120" t="n"/>
      <c r="W169" s="121" t="n"/>
      <c r="X169" s="121" t="n"/>
    </row>
    <row r="170" ht="153" customHeight="1">
      <c r="A170" s="119" t="inlineStr">
        <is>
          <t>text</t>
        </is>
      </c>
      <c r="B170" s="119" t="inlineStr">
        <is>
          <t>new_best_phone_other_owner_firstname</t>
        </is>
      </c>
      <c r="C170" s="123" t="inlineStr">
        <is>
          <t>First Name:</t>
        </is>
      </c>
      <c r="D170" s="120" t="n"/>
      <c r="E170" s="121" t="n"/>
      <c r="F170" s="121" t="n"/>
      <c r="G170" s="122" t="inlineStr">
        <is>
          <t>regex(.,'^[A-Z][a-z]*$')</t>
        </is>
      </c>
      <c r="H170" s="122" t="inlineStr">
        <is>
          <t>The first letter should be uppercase. 
Subsequent letters should be lowercase. Numbers, spaces, punctuation and special characters are not allowed in the name field.</t>
        </is>
      </c>
      <c r="I170" s="122" t="n"/>
      <c r="J170" s="119" t="n"/>
      <c r="K170" s="119" t="inlineStr">
        <is>
          <t>yes</t>
        </is>
      </c>
      <c r="L170" s="120" t="n"/>
      <c r="M170" s="121" t="n"/>
      <c r="N170" s="120" t="n"/>
      <c r="O170" s="121" t="n"/>
      <c r="P170" s="121" t="n"/>
      <c r="Q170" s="121" t="n"/>
      <c r="R170" s="121" t="n"/>
      <c r="S170" s="120" t="n"/>
      <c r="T170" s="121" t="n"/>
      <c r="U170" s="120" t="n"/>
      <c r="V170" s="120" t="n"/>
      <c r="W170" s="121" t="n"/>
      <c r="X170" s="121" t="n"/>
    </row>
    <row r="171" ht="153" customHeight="1">
      <c r="A171" s="119" t="inlineStr">
        <is>
          <t>text</t>
        </is>
      </c>
      <c r="B171" s="119" t="inlineStr">
        <is>
          <t>new_best_phone_other_owner_surname</t>
        </is>
      </c>
      <c r="C171" s="123" t="inlineStr">
        <is>
          <t>Surname:</t>
        </is>
      </c>
      <c r="D171" s="120" t="n"/>
      <c r="E171" s="121" t="n"/>
      <c r="F171" s="121" t="n"/>
      <c r="G171" s="122" t="inlineStr">
        <is>
          <t>regex(.,'^[A-Z][a-z]*$')</t>
        </is>
      </c>
      <c r="H171" s="122" t="inlineStr">
        <is>
          <t>The first letter should be uppercase. 
Subsequent letters should be lowercase. Numbers, spaces, punctuation and special characters are not allowed in the name field.</t>
        </is>
      </c>
      <c r="I171" s="122" t="n"/>
      <c r="J171" s="119" t="n"/>
      <c r="K171" s="119" t="inlineStr">
        <is>
          <t>yes</t>
        </is>
      </c>
      <c r="L171" s="120" t="n"/>
      <c r="M171" s="121" t="n"/>
      <c r="N171" s="120" t="n"/>
      <c r="O171" s="121" t="n"/>
      <c r="P171" s="121" t="n"/>
      <c r="Q171" s="121" t="n"/>
      <c r="R171" s="121" t="n"/>
      <c r="S171" s="120" t="n"/>
      <c r="T171" s="121" t="n"/>
      <c r="U171" s="120" t="n"/>
      <c r="V171" s="120" t="n"/>
      <c r="W171" s="121" t="n"/>
      <c r="X171" s="121" t="n"/>
    </row>
    <row r="172" ht="17" customHeight="1">
      <c r="A172" s="119" t="inlineStr">
        <is>
          <t>calculate</t>
        </is>
      </c>
      <c r="B172" s="119" t="inlineStr">
        <is>
          <t>new_best_phone_other_owner_name</t>
        </is>
      </c>
      <c r="C172" s="122" t="inlineStr">
        <is>
          <t>Calculates other owner of best phone number</t>
        </is>
      </c>
      <c r="D172" s="120" t="n"/>
      <c r="E172" s="121" t="n"/>
      <c r="F172" s="121" t="n"/>
      <c r="G172" s="122" t="n"/>
      <c r="H172" s="120" t="n"/>
      <c r="I172" s="122" t="n"/>
      <c r="J172" s="119" t="n"/>
      <c r="K172" s="121" t="n"/>
      <c r="L172" s="120" t="n"/>
      <c r="M172" s="121" t="n"/>
      <c r="N172" s="122" t="inlineStr">
        <is>
          <t>concat(${new_best_phone_other_owner_firstname}, ' ', ${new_best_phone_other_owner_surname})</t>
        </is>
      </c>
      <c r="O172" s="121" t="n"/>
      <c r="P172" s="121" t="n"/>
      <c r="Q172" s="121" t="n"/>
      <c r="R172" s="121" t="n"/>
      <c r="S172" s="120" t="n"/>
      <c r="T172" s="121" t="n"/>
      <c r="U172" s="120" t="n"/>
      <c r="V172" s="120" t="n"/>
      <c r="W172" s="121" t="n"/>
      <c r="X172" s="121" t="n"/>
    </row>
    <row r="173" ht="17" customHeight="1">
      <c r="A173" s="119" t="inlineStr">
        <is>
          <t>select_one relationship</t>
        </is>
      </c>
      <c r="B173" s="119" t="inlineStr">
        <is>
          <t>new_best_phone_other_owner_rel</t>
        </is>
      </c>
      <c r="C173" s="122" t="inlineStr">
        <is>
          <t>Relationship to child (&lt;font color="#14b14b"&gt;&lt;b&gt;&lt;u&gt;${stud_name_i}&lt;/u&gt;&lt;/b&gt;&lt;/font&gt;)</t>
        </is>
      </c>
      <c r="D173" s="120" t="n"/>
      <c r="E173" s="121" t="n"/>
      <c r="F173" s="121" t="n"/>
      <c r="G173" s="122" t="n"/>
      <c r="H173" s="120" t="n"/>
      <c r="I173" s="122" t="n"/>
      <c r="J173" s="119" t="n"/>
      <c r="K173" s="119" t="inlineStr">
        <is>
          <t>yes</t>
        </is>
      </c>
      <c r="L173" s="120" t="n"/>
      <c r="M173" s="121" t="n"/>
      <c r="N173" s="120" t="n"/>
      <c r="O173" s="121" t="n"/>
      <c r="P173" s="121" t="n"/>
      <c r="Q173" s="121" t="n"/>
      <c r="R173" s="121" t="n"/>
      <c r="S173" s="120" t="n"/>
      <c r="T173" s="121" t="n"/>
      <c r="U173" s="120" t="n"/>
      <c r="V173" s="120" t="n"/>
      <c r="W173" s="121" t="n"/>
      <c r="X173" s="121" t="n"/>
    </row>
    <row r="174" ht="17" customHeight="1">
      <c r="A174" s="119" t="inlineStr">
        <is>
          <t>calculate</t>
        </is>
      </c>
      <c r="B174" s="119" t="inlineStr">
        <is>
          <t>new_best_phone_other_owner_rel_lab</t>
        </is>
      </c>
      <c r="C174" s="122" t="inlineStr">
        <is>
          <t>Returns choice label of "new_best_phone_other_owner_rel"</t>
        </is>
      </c>
      <c r="D174" s="120" t="n"/>
      <c r="E174" s="121" t="n"/>
      <c r="F174" s="121" t="n"/>
      <c r="G174" s="122" t="n"/>
      <c r="H174" s="120" t="n"/>
      <c r="I174" s="122" t="n"/>
      <c r="J174" s="119" t="n"/>
      <c r="K174" s="121" t="n"/>
      <c r="L174" s="120" t="n"/>
      <c r="M174" s="121" t="n"/>
      <c r="N174" s="122" t="inlineStr">
        <is>
          <t>choice-label(${new_best_phone_other_owner_rel}, ${new_best_phone_other_owner_rel})</t>
        </is>
      </c>
      <c r="O174" s="121" t="n"/>
      <c r="P174" s="121" t="n"/>
      <c r="Q174" s="121" t="n"/>
      <c r="R174" s="121" t="n"/>
      <c r="S174" s="120" t="n"/>
      <c r="T174" s="121" t="n"/>
      <c r="U174" s="120" t="n"/>
      <c r="V174" s="120" t="n"/>
      <c r="W174" s="121" t="n"/>
      <c r="X174" s="121" t="n"/>
    </row>
    <row r="175">
      <c r="A175" s="119" t="inlineStr">
        <is>
          <t>end group</t>
        </is>
      </c>
      <c r="B175" s="119" t="inlineStr">
        <is>
          <t>new_best_phone_other_owner</t>
        </is>
      </c>
      <c r="C175" s="122" t="n"/>
      <c r="D175" s="120" t="n"/>
      <c r="E175" s="121" t="n"/>
      <c r="F175" s="121" t="n"/>
      <c r="G175" s="122" t="n"/>
      <c r="H175" s="120" t="n"/>
      <c r="I175" s="122" t="n"/>
      <c r="J175" s="119" t="n"/>
      <c r="K175" s="121" t="n"/>
      <c r="L175" s="120" t="n"/>
      <c r="M175" s="121" t="n"/>
      <c r="N175" s="120" t="n"/>
      <c r="O175" s="121" t="n"/>
      <c r="P175" s="121" t="n"/>
      <c r="Q175" s="121" t="n"/>
      <c r="R175" s="121" t="n"/>
      <c r="S175" s="120" t="n"/>
      <c r="T175" s="121" t="n"/>
      <c r="U175" s="120" t="n"/>
      <c r="V175" s="120" t="n"/>
      <c r="W175" s="121" t="n"/>
      <c r="X175" s="121" t="n"/>
    </row>
    <row r="176" ht="17" customHeight="1">
      <c r="A176" s="119" t="inlineStr">
        <is>
          <t>calculate</t>
        </is>
      </c>
      <c r="B176" s="119" t="inlineStr">
        <is>
          <t>new_best_phone_name</t>
        </is>
      </c>
      <c r="C176" s="122" t="inlineStr">
        <is>
          <t>Returns name of best phone owner</t>
        </is>
      </c>
      <c r="D176" s="120" t="n"/>
      <c r="E176" s="121" t="n"/>
      <c r="F176" s="121" t="n"/>
      <c r="G176" s="122" t="n"/>
      <c r="H176" s="120" t="n"/>
      <c r="I176" s="122" t="n"/>
      <c r="J176" s="119" t="n"/>
      <c r="K176" s="121" t="n"/>
      <c r="L176" s="120" t="n"/>
      <c r="M176" s="121" t="n"/>
      <c r="N176" s="122" t="inlineStr">
        <is>
          <t>if(${new_best_phone_owner} = 2, ${new_best_phone_other_owner_name}, ${care_name_i})</t>
        </is>
      </c>
      <c r="O176" s="121" t="n"/>
      <c r="P176" s="121" t="n"/>
      <c r="Q176" s="121" t="n"/>
      <c r="R176" s="121" t="n"/>
      <c r="S176" s="120" t="n"/>
      <c r="T176" s="121" t="n"/>
      <c r="U176" s="120" t="n"/>
      <c r="V176" s="120" t="n"/>
      <c r="W176" s="121" t="n"/>
      <c r="X176" s="121" t="n"/>
    </row>
    <row r="177" ht="17" customHeight="1">
      <c r="A177" s="119" t="inlineStr">
        <is>
          <t>calculate</t>
        </is>
      </c>
      <c r="B177" s="119" t="inlineStr">
        <is>
          <t>new_best_phone_rel</t>
        </is>
      </c>
      <c r="C177" s="122" t="inlineStr">
        <is>
          <t>Returns relationship to student (choice label) of best phone owner</t>
        </is>
      </c>
      <c r="D177" s="120" t="n"/>
      <c r="E177" s="121" t="n"/>
      <c r="F177" s="121" t="n"/>
      <c r="G177" s="122" t="n"/>
      <c r="H177" s="120" t="n"/>
      <c r="I177" s="122" t="n"/>
      <c r="J177" s="119" t="n"/>
      <c r="K177" s="121" t="n"/>
      <c r="L177" s="120" t="n"/>
      <c r="M177" s="121" t="n"/>
      <c r="N177" s="122" t="inlineStr">
        <is>
          <t>if(${new_best_phone_owner} = 2, ${new_best_phone_other_owner_rel_lab}, ${care_rel2_lab_i})</t>
        </is>
      </c>
      <c r="O177" s="121" t="n"/>
      <c r="P177" s="121" t="n"/>
      <c r="Q177" s="121" t="n"/>
      <c r="R177" s="121" t="n"/>
      <c r="S177" s="120" t="n"/>
      <c r="T177" s="121" t="n"/>
      <c r="U177" s="120" t="n"/>
      <c r="V177" s="120" t="n"/>
      <c r="W177" s="121" t="n"/>
      <c r="X177" s="121" t="n"/>
    </row>
    <row r="178" ht="153" customHeight="1">
      <c r="A178" s="119" t="inlineStr">
        <is>
          <t>calculate</t>
        </is>
      </c>
      <c r="B178" s="119" t="inlineStr">
        <is>
          <t>new_phone_index</t>
        </is>
      </c>
      <c r="C178" s="122" t="inlineStr">
        <is>
          <t>Returns ordinal no. of new phone</t>
        </is>
      </c>
      <c r="D178" s="120" t="n"/>
      <c r="E178" s="121" t="n"/>
      <c r="F178" s="121" t="n"/>
      <c r="G178" s="122" t="n"/>
      <c r="H178" s="120" t="n"/>
      <c r="I178" s="122" t="n"/>
      <c r="J178" s="119" t="n"/>
      <c r="K178" s="121" t="n"/>
      <c r="L178" s="120" t="n"/>
      <c r="M178" s="121" t="n"/>
      <c r="N178" s="122" t="inlineStr">
        <is>
          <t>if(${confirm_best_phone} = 1 and ${phone_select} = 1, '1',
if(${confirm_best_phone} = 1 and ${phone_select} = 2, '2',
if(${confirm_best_phone} = 1 and ${phone_select} = 3, '3',
if(${confirm_best_phone} = 1 and ${phone_select} = 4, '4',
if(${confirm_best_phone} = 0 and ${confirm_new_best_phone} = 1, '1',
if(${confirm_best_phone} = 0 and ${confirm_new_best_phone} = 2, '2',
if(${confirm_best_phone} = 0 and ${confirm_new_best_phone} = 3, '3',
if(${confirm_best_phone} = 0 and ${confirm_new_best_phone} = 4, '4',
if(${confirm_best_phone} = 0 and ${confirm_new_best_phone} = 95, '5', '')))))))))</t>
        </is>
      </c>
      <c r="O178" s="121" t="n"/>
      <c r="P178" s="121" t="n"/>
      <c r="Q178" s="121" t="n"/>
      <c r="R178" s="121" t="n"/>
      <c r="S178" s="120" t="n"/>
      <c r="T178" s="121" t="n"/>
      <c r="U178" s="120" t="n"/>
      <c r="V178" s="120" t="n"/>
      <c r="W178" s="121" t="n"/>
      <c r="X178" s="121" t="n"/>
    </row>
    <row r="179" ht="153" customHeight="1">
      <c r="A179" s="119" t="inlineStr">
        <is>
          <t>calculate</t>
        </is>
      </c>
      <c r="B179" s="119" t="inlineStr">
        <is>
          <t>new_phone</t>
        </is>
      </c>
      <c r="C179" s="122" t="inlineStr">
        <is>
          <t>Returns the best phone number to reach the household</t>
        </is>
      </c>
      <c r="D179" s="120" t="n"/>
      <c r="E179" s="121" t="n"/>
      <c r="F179" s="121" t="n"/>
      <c r="G179" s="120" t="n"/>
      <c r="H179" s="120" t="n"/>
      <c r="I179" s="122" t="n"/>
      <c r="J179" s="119" t="n"/>
      <c r="K179" s="121" t="n"/>
      <c r="L179" s="120" t="n"/>
      <c r="M179" s="121" t="n"/>
      <c r="N179" s="122" t="inlineStr">
        <is>
          <t>if(${confirm_best_phone} = 1 and ${phone_select} = 1, ${phone1},
if(${confirm_best_phone} = 1 and ${phone_select} = 2, ${phone2},
if(${confirm_best_phone} = 1 and ${phone_select} = 3, ${phone3},
if(${confirm_best_phone} = 1 and ${phone_select} = 4, ${best_phone},
if(${confirm_best_phone} = 0 and ${confirm_new_best_phone} = 1, ${phone1},
if(${confirm_best_phone} = 0 and ${confirm_new_best_phone} = 2, ${phone2},
if(${confirm_best_phone} = 0 and ${confirm_new_best_phone} = 3, ${phone3},
if(${confirm_best_phone} = 0 and ${confirm_new_best_phone} = 4, ${best_phone},
if(${confirm_best_phone} = 0 and ${confirm_new_best_phone} = 95, ${new_best_phone}, '')))))))))</t>
        </is>
      </c>
      <c r="O179" s="121" t="n"/>
      <c r="P179" s="121" t="n"/>
      <c r="Q179" s="121" t="n"/>
      <c r="R179" s="121" t="n"/>
      <c r="S179" s="120" t="n"/>
      <c r="T179" s="121" t="n"/>
      <c r="U179" s="120" t="n"/>
      <c r="V179" s="120" t="n"/>
      <c r="W179" s="121" t="n"/>
      <c r="X179" s="121" t="n"/>
    </row>
    <row r="180" ht="153" customHeight="1">
      <c r="A180" s="119" t="inlineStr">
        <is>
          <t>calculate</t>
        </is>
      </c>
      <c r="B180" s="119" t="inlineStr">
        <is>
          <t>new_phone_name</t>
        </is>
      </c>
      <c r="C180" s="122" t="inlineStr">
        <is>
          <t>Returns the name of the person who owns the best phone number to reach the household</t>
        </is>
      </c>
      <c r="D180" s="120" t="n"/>
      <c r="E180" s="121" t="n"/>
      <c r="F180" s="121" t="n"/>
      <c r="G180" s="120" t="n"/>
      <c r="H180" s="120" t="n"/>
      <c r="I180" s="122" t="n"/>
      <c r="J180" s="119" t="n"/>
      <c r="K180" s="121" t="n"/>
      <c r="L180" s="120" t="n"/>
      <c r="M180" s="121" t="n"/>
      <c r="N180" s="122" t="inlineStr">
        <is>
          <t>if(${confirm_best_phone} = 1 and ${phone_select} = 1, ${phone1_name},
if(${confirm_best_phone} = 1 and ${phone_select} = 2, ${phone2_name},
if(${confirm_best_phone} = 1 and ${phone_select} = 3, ${phone3_name},
if(${confirm_best_phone} = 1 and ${phone_select} = 4, ${best_phone_name},
if(${confirm_best_phone} = 0 and ${confirm_new_best_phone} = 1, ${phone1_name},
if(${confirm_best_phone} = 0 and ${confirm_new_best_phone} = 2, ${phone2_name},
if(${confirm_best_phone} = 0 and ${confirm_new_best_phone} = 3, ${phone3_name},
if(${confirm_best_phone} = 0 and ${confirm_new_best_phone} = 4, ${best_phone_name},
if(${confirm_best_phone} = 0 and ${confirm_new_best_phone} = 95, ${new_best_phone_name}, '')))))))))</t>
        </is>
      </c>
      <c r="O180" s="121" t="n"/>
      <c r="P180" s="121" t="n"/>
      <c r="Q180" s="121" t="n"/>
      <c r="R180" s="121" t="n"/>
      <c r="S180" s="120" t="n"/>
      <c r="T180" s="121" t="n"/>
      <c r="U180" s="120" t="n"/>
      <c r="V180" s="120" t="n"/>
      <c r="W180" s="121" t="n"/>
      <c r="X180" s="121" t="n"/>
    </row>
    <row r="181" ht="153" customHeight="1">
      <c r="A181" s="119" t="inlineStr">
        <is>
          <t>calculate</t>
        </is>
      </c>
      <c r="B181" s="119" t="inlineStr">
        <is>
          <t>new_phone_rel</t>
        </is>
      </c>
      <c r="C181" s="122" t="inlineStr">
        <is>
          <t>Returns the relationship to student of the person who owns the best phone number to reach the household</t>
        </is>
      </c>
      <c r="D181" s="120" t="n"/>
      <c r="E181" s="121" t="n"/>
      <c r="F181" s="121" t="n"/>
      <c r="G181" s="120" t="n"/>
      <c r="H181" s="120" t="n"/>
      <c r="I181" s="122" t="n"/>
      <c r="J181" s="119" t="n"/>
      <c r="K181" s="121" t="n"/>
      <c r="L181" s="120" t="n"/>
      <c r="M181" s="121" t="n"/>
      <c r="N181" s="122" t="inlineStr">
        <is>
          <t>if(${confirm_best_phone} = 1 and ${phone_select} = 1, ${phone1_rel},
if(${confirm_best_phone} = 1 and ${phone_select} = 2, ${phone2_rel},
if(${confirm_best_phone} = 1 and ${phone_select} = 3, ${phone3_rel},
if(${confirm_best_phone} = 1 and ${phone_select} = 4, ${best_phone_rel},
if(${confirm_best_phone} = 0 and ${confirm_new_best_phone} = 1, ${phone1_rel},
if(${confirm_best_phone} = 0 and ${confirm_new_best_phone} = 2, ${phone2_rel},
if(${confirm_best_phone} = 0 and ${confirm_new_best_phone} = 3, ${phone3_rel},
if(${confirm_best_phone} = 0 and ${confirm_new_best_phone} = 4, ${best_phone_rel},
if(${confirm_best_phone} = 0 and ${confirm_new_best_phone} = 95, ${new_best_phone_rel}, '')))))))))</t>
        </is>
      </c>
      <c r="O181" s="121" t="n"/>
      <c r="P181" s="121" t="n"/>
      <c r="Q181" s="121" t="n"/>
      <c r="R181" s="121" t="n"/>
      <c r="S181" s="120" t="n"/>
      <c r="T181" s="121" t="n"/>
      <c r="U181" s="120" t="n"/>
      <c r="V181" s="120" t="n"/>
      <c r="W181" s="121" t="n"/>
      <c r="X181" s="121" t="n"/>
    </row>
    <row r="182" ht="17" customHeight="1">
      <c r="A182" s="119" t="inlineStr">
        <is>
          <t>calculate</t>
        </is>
      </c>
      <c r="B182" s="119" t="inlineStr">
        <is>
          <t>contacts_new</t>
        </is>
      </c>
      <c r="C182" s="122" t="inlineStr">
        <is>
          <t>Counts the number of avail phone number</t>
        </is>
      </c>
      <c r="D182" s="120" t="n"/>
      <c r="E182" s="121" t="n"/>
      <c r="F182" s="121" t="n"/>
      <c r="G182" s="120" t="n"/>
      <c r="H182" s="120" t="n"/>
      <c r="I182" s="122" t="n"/>
      <c r="J182" s="119" t="n"/>
      <c r="K182" s="121" t="n"/>
      <c r="L182" s="120" t="n"/>
      <c r="M182" s="121" t="n"/>
      <c r="N182" s="122" t="inlineStr">
        <is>
          <t>if(${confirm_new_best_phone} = 95, ${contacts} + 1, ${contacts})</t>
        </is>
      </c>
      <c r="O182" s="121" t="n"/>
      <c r="P182" s="121" t="n"/>
      <c r="Q182" s="121" t="n"/>
      <c r="R182" s="121" t="n"/>
      <c r="S182" s="120" t="n"/>
      <c r="T182" s="121" t="n"/>
      <c r="U182" s="120" t="n"/>
      <c r="V182" s="120" t="n"/>
      <c r="W182" s="121" t="n"/>
      <c r="X182" s="121" t="n"/>
    </row>
    <row r="183">
      <c r="A183" s="119" t="inlineStr">
        <is>
          <t>end group</t>
        </is>
      </c>
      <c r="B183" s="119" t="inlineStr">
        <is>
          <t>best_contact_info</t>
        </is>
      </c>
      <c r="C183" s="122" t="n"/>
      <c r="D183" s="120" t="n"/>
      <c r="E183" s="121" t="n"/>
      <c r="F183" s="121" t="n"/>
      <c r="G183" s="122" t="n"/>
      <c r="H183" s="120" t="n"/>
      <c r="I183" s="122" t="n"/>
      <c r="J183" s="119" t="n"/>
      <c r="K183" s="121" t="n"/>
      <c r="L183" s="120" t="n"/>
      <c r="M183" s="121" t="n"/>
      <c r="N183" s="120" t="n"/>
      <c r="O183" s="121" t="n"/>
      <c r="P183" s="121" t="n"/>
      <c r="Q183" s="121" t="n"/>
      <c r="R183" s="121" t="n"/>
      <c r="S183" s="120" t="n"/>
      <c r="T183" s="121" t="n"/>
      <c r="U183" s="120" t="n"/>
      <c r="V183" s="120" t="n"/>
      <c r="W183" s="121" t="n"/>
      <c r="X183" s="121" t="n"/>
    </row>
    <row r="184">
      <c r="A184" s="119" t="inlineStr">
        <is>
          <t>end group</t>
        </is>
      </c>
      <c r="B184" s="119" t="inlineStr">
        <is>
          <t>available</t>
        </is>
      </c>
      <c r="C184" s="122" t="n"/>
      <c r="D184" s="120" t="n"/>
      <c r="E184" s="121" t="n"/>
      <c r="F184" s="121" t="n"/>
      <c r="G184" s="120" t="n"/>
      <c r="H184" s="120" t="n"/>
      <c r="I184" s="122" t="n"/>
      <c r="J184" s="119" t="n"/>
      <c r="K184" s="121" t="n"/>
      <c r="L184" s="120" t="n"/>
      <c r="M184" s="121" t="n"/>
      <c r="N184" s="120" t="n"/>
      <c r="O184" s="121" t="n"/>
      <c r="P184" s="121" t="n"/>
      <c r="Q184" s="121" t="n"/>
      <c r="R184" s="121" t="n"/>
      <c r="S184" s="120" t="n"/>
      <c r="T184" s="121" t="n"/>
      <c r="U184" s="120" t="n"/>
      <c r="V184" s="120" t="n"/>
      <c r="W184" s="121" t="n"/>
      <c r="X184" s="121" t="n"/>
    </row>
    <row r="185">
      <c r="A185" s="119" t="inlineStr">
        <is>
          <t>end group</t>
        </is>
      </c>
      <c r="B185" s="119" t="inlineStr">
        <is>
          <t>caregiver</t>
        </is>
      </c>
      <c r="C185" s="122" t="n"/>
      <c r="D185" s="120" t="n"/>
      <c r="E185" s="121" t="n"/>
      <c r="F185" s="121" t="n"/>
      <c r="G185" s="120" t="n"/>
      <c r="H185" s="120" t="n"/>
      <c r="I185" s="122" t="n"/>
      <c r="J185" s="119" t="n"/>
      <c r="K185" s="121" t="n"/>
      <c r="L185" s="120" t="n"/>
      <c r="M185" s="121" t="n"/>
      <c r="N185" s="120" t="n"/>
      <c r="O185" s="121" t="n"/>
      <c r="P185" s="121" t="n"/>
      <c r="Q185" s="121" t="n"/>
      <c r="R185" s="121" t="n"/>
      <c r="S185" s="120" t="n"/>
      <c r="T185" s="121" t="n"/>
      <c r="U185" s="120" t="n"/>
      <c r="V185" s="120" t="n"/>
      <c r="W185" s="121" t="n"/>
      <c r="X185" s="121" t="n"/>
    </row>
    <row r="186">
      <c r="A186" s="121" t="n"/>
      <c r="B186" s="121" t="n"/>
      <c r="C186" s="122" t="n"/>
      <c r="D186" s="120" t="n"/>
      <c r="E186" s="121" t="n"/>
      <c r="F186" s="121" t="n"/>
      <c r="G186" s="120" t="n"/>
      <c r="H186" s="120" t="n"/>
      <c r="I186" s="122" t="n"/>
      <c r="J186" s="119" t="n"/>
      <c r="K186" s="121" t="n"/>
      <c r="L186" s="120" t="n"/>
      <c r="M186" s="121" t="n"/>
      <c r="N186" s="120" t="n"/>
      <c r="O186" s="121" t="n"/>
      <c r="P186" s="121" t="n"/>
      <c r="Q186" s="121" t="n"/>
      <c r="R186" s="121" t="n"/>
      <c r="S186" s="120" t="n"/>
      <c r="T186" s="121" t="n"/>
      <c r="U186" s="120" t="n"/>
      <c r="V186" s="120" t="n"/>
      <c r="W186" s="121" t="n"/>
      <c r="X186" s="121" t="n"/>
    </row>
    <row r="187" ht="17" customHeight="1">
      <c r="A187" s="119" t="inlineStr">
        <is>
          <t>calculate</t>
        </is>
      </c>
      <c r="B187" s="119" t="inlineStr">
        <is>
          <t>care_name_i</t>
        </is>
      </c>
      <c r="C187" s="122" t="inlineStr">
        <is>
          <t>Returns name of the primary caregiver at sensitization</t>
        </is>
      </c>
      <c r="D187" s="120" t="n"/>
      <c r="E187" s="121" t="n"/>
      <c r="F187" s="121" t="n"/>
      <c r="G187" s="120" t="n"/>
      <c r="H187" s="120" t="n"/>
      <c r="I187" s="122" t="n"/>
      <c r="J187" s="119" t="n"/>
      <c r="K187" s="121" t="n"/>
      <c r="L187" s="120" t="n"/>
      <c r="M187" s="121" t="n"/>
      <c r="N187" s="122" t="inlineStr">
        <is>
          <t>if(${caregiver_confirm} = 0, ${new_care_name}, ${care_name})</t>
        </is>
      </c>
      <c r="O187" s="121" t="n"/>
      <c r="P187" s="121" t="n"/>
      <c r="Q187" s="121" t="n"/>
      <c r="R187" s="121" t="n"/>
      <c r="S187" s="120" t="n"/>
      <c r="T187" s="121" t="n"/>
      <c r="U187" s="120" t="n"/>
      <c r="V187" s="120" t="n"/>
      <c r="W187" s="121" t="n"/>
      <c r="X187" s="121" t="n"/>
    </row>
    <row r="188" ht="17" customHeight="1">
      <c r="A188" s="119" t="inlineStr">
        <is>
          <t>calculate</t>
        </is>
      </c>
      <c r="B188" s="119" t="inlineStr">
        <is>
          <t>care_rel2_i</t>
        </is>
      </c>
      <c r="C188" s="122" t="inlineStr">
        <is>
          <t>Returns relationship of primary caregiver to student at sensitization</t>
        </is>
      </c>
      <c r="D188" s="120" t="n"/>
      <c r="E188" s="121" t="n"/>
      <c r="F188" s="121" t="n"/>
      <c r="G188" s="120" t="n"/>
      <c r="H188" s="120" t="n"/>
      <c r="I188" s="122" t="n"/>
      <c r="J188" s="119" t="n"/>
      <c r="K188" s="121" t="n"/>
      <c r="L188" s="120" t="n"/>
      <c r="M188" s="121" t="n"/>
      <c r="N188" s="122" t="inlineStr">
        <is>
          <t>if(${caregiver_confirm} = 0, ${new_care_rel}, ${care_rel})</t>
        </is>
      </c>
      <c r="O188" s="121" t="n"/>
      <c r="P188" s="121" t="n"/>
      <c r="Q188" s="121" t="n"/>
      <c r="R188" s="121" t="n"/>
      <c r="S188" s="120" t="n"/>
      <c r="T188" s="121" t="n"/>
      <c r="U188" s="120" t="n"/>
      <c r="V188" s="120" t="n"/>
      <c r="W188" s="121" t="n"/>
      <c r="X188" s="121" t="n"/>
    </row>
    <row r="189" ht="17" customHeight="1">
      <c r="A189" s="119" t="inlineStr">
        <is>
          <t>calculate</t>
        </is>
      </c>
      <c r="B189" s="119" t="inlineStr">
        <is>
          <t>care_rel2_lab_i</t>
        </is>
      </c>
      <c r="C189" s="122" t="inlineStr">
        <is>
          <t>Returns relationship of primary caregiver to student (choice label) at sensitization</t>
        </is>
      </c>
      <c r="D189" s="120" t="n"/>
      <c r="E189" s="121" t="n"/>
      <c r="F189" s="121" t="n"/>
      <c r="G189" s="120" t="n"/>
      <c r="H189" s="120" t="n"/>
      <c r="I189" s="122" t="n"/>
      <c r="J189" s="119" t="n"/>
      <c r="K189" s="121" t="n"/>
      <c r="L189" s="120" t="n"/>
      <c r="M189" s="121" t="n"/>
      <c r="N189" s="122" t="inlineStr">
        <is>
          <t>if(${caregiver_confirm} = 0, ${new_care_rel_lab}, ${care_rel_lab})</t>
        </is>
      </c>
      <c r="O189" s="121" t="n"/>
      <c r="P189" s="121" t="n"/>
      <c r="Q189" s="121" t="n"/>
      <c r="R189" s="121" t="n"/>
      <c r="S189" s="120" t="n"/>
      <c r="T189" s="121" t="n"/>
      <c r="U189" s="120" t="n"/>
      <c r="V189" s="120" t="n"/>
      <c r="W189" s="121" t="n"/>
      <c r="X189" s="121" t="n"/>
    </row>
    <row r="190" ht="17" customHeight="1">
      <c r="A190" s="119" t="inlineStr">
        <is>
          <t>calculate</t>
        </is>
      </c>
      <c r="B190" s="119" t="inlineStr">
        <is>
          <t>stud_name_i</t>
        </is>
      </c>
      <c r="C190" s="122" t="inlineStr">
        <is>
          <t>Returns correct student name at sensitization</t>
        </is>
      </c>
      <c r="D190" s="120" t="n"/>
      <c r="E190" s="121" t="n"/>
      <c r="F190" s="121" t="n"/>
      <c r="G190" s="120" t="n"/>
      <c r="H190" s="120" t="n"/>
      <c r="I190" s="122" t="n"/>
      <c r="J190" s="119" t="n"/>
      <c r="K190" s="121" t="n"/>
      <c r="L190" s="120" t="n"/>
      <c r="M190" s="121" t="n"/>
      <c r="N190" s="122" t="inlineStr">
        <is>
          <t>if(${stud_confirm} = 0, ${new_stud_name}, ${stud_name})</t>
        </is>
      </c>
      <c r="O190" s="121" t="n"/>
      <c r="P190" s="121" t="n"/>
      <c r="Q190" s="121" t="n"/>
      <c r="R190" s="121" t="n"/>
      <c r="S190" s="120" t="n"/>
      <c r="T190" s="121" t="n"/>
      <c r="U190" s="120" t="n"/>
      <c r="V190" s="120" t="n"/>
      <c r="W190" s="121" t="n"/>
      <c r="X190" s="121" t="n"/>
    </row>
    <row r="191">
      <c r="A191" s="121" t="n"/>
      <c r="B191" s="121" t="n"/>
      <c r="C191" s="122" t="n"/>
      <c r="D191" s="120" t="n"/>
      <c r="E191" s="121" t="n"/>
      <c r="F191" s="121" t="n"/>
      <c r="G191" s="120" t="n"/>
      <c r="H191" s="120" t="n"/>
      <c r="I191" s="122" t="n"/>
      <c r="J191" s="119" t="n"/>
      <c r="K191" s="121" t="n"/>
      <c r="L191" s="120" t="n"/>
      <c r="M191" s="121" t="n"/>
      <c r="N191" s="120" t="n"/>
      <c r="O191" s="121" t="n"/>
      <c r="P191" s="121" t="n"/>
      <c r="Q191" s="121" t="n"/>
      <c r="R191" s="121" t="n"/>
      <c r="S191" s="120" t="n"/>
      <c r="T191" s="121" t="n"/>
      <c r="U191" s="120" t="n"/>
      <c r="V191" s="120" t="n"/>
      <c r="W191" s="121" t="n"/>
      <c r="X191" s="121" t="n"/>
    </row>
    <row r="192" ht="17" customHeight="1">
      <c r="A192" s="119" t="inlineStr">
        <is>
          <t>begin group</t>
        </is>
      </c>
      <c r="B192" s="119" t="inlineStr">
        <is>
          <t>reschedule</t>
        </is>
      </c>
      <c r="C192" s="122" t="inlineStr">
        <is>
          <t>Reschedule call</t>
        </is>
      </c>
      <c r="D192" s="120" t="n"/>
      <c r="E192" s="121" t="n"/>
      <c r="F192" s="121" t="n"/>
      <c r="G192" s="120" t="n"/>
      <c r="H192" s="120" t="n"/>
      <c r="I192" s="122" t="inlineStr">
        <is>
          <t>selected(${stud_avail}, '0')</t>
        </is>
      </c>
      <c r="J192" s="119" t="n"/>
      <c r="K192" s="121" t="n"/>
      <c r="L192" s="120" t="n"/>
      <c r="M192" s="121" t="n"/>
      <c r="N192" s="120" t="n"/>
      <c r="O192" s="121" t="n"/>
      <c r="P192" s="121" t="n"/>
      <c r="Q192" s="121" t="n"/>
      <c r="R192" s="121" t="n"/>
      <c r="S192" s="120" t="n"/>
      <c r="T192" s="121" t="n"/>
      <c r="U192" s="120" t="n"/>
      <c r="V192" s="120" t="n"/>
      <c r="W192" s="121" t="n"/>
      <c r="X192" s="121" t="n"/>
    </row>
    <row r="193" ht="17" customHeight="1">
      <c r="A193" s="119" t="inlineStr">
        <is>
          <t>begin group</t>
        </is>
      </c>
      <c r="B193" s="119" t="inlineStr">
        <is>
          <t>resched_datetime</t>
        </is>
      </c>
      <c r="C193" s="122" t="n"/>
      <c r="D193" s="120" t="n"/>
      <c r="E193" s="121" t="n"/>
      <c r="F193" s="119" t="inlineStr">
        <is>
          <t>field-list</t>
        </is>
      </c>
      <c r="G193" s="120" t="n"/>
      <c r="H193" s="120" t="n"/>
      <c r="I193" s="122" t="n"/>
      <c r="J193" s="119" t="n"/>
      <c r="K193" s="121" t="n"/>
      <c r="L193" s="120" t="n"/>
      <c r="M193" s="121" t="n"/>
      <c r="N193" s="120" t="n"/>
      <c r="O193" s="121" t="n"/>
      <c r="P193" s="121" t="n"/>
      <c r="Q193" s="121" t="n"/>
      <c r="R193" s="121" t="n"/>
      <c r="S193" s="120" t="n"/>
      <c r="T193" s="121" t="n"/>
      <c r="U193" s="120" t="n"/>
      <c r="V193" s="120" t="n"/>
      <c r="W193" s="121" t="n"/>
      <c r="X193" s="121" t="n"/>
    </row>
    <row r="194" ht="17" customHeight="1">
      <c r="A194" s="119" t="inlineStr">
        <is>
          <t>note</t>
        </is>
      </c>
      <c r="B194" s="119" t="inlineStr">
        <is>
          <t>note_resched</t>
        </is>
      </c>
      <c r="C194" s="122" t="inlineStr">
        <is>
          <t>That's alright. Can you let me know a time when I should call back?</t>
        </is>
      </c>
      <c r="D194" s="120" t="n"/>
      <c r="E194" s="121" t="n"/>
      <c r="F194" s="121" t="n"/>
      <c r="G194" s="120" t="n"/>
      <c r="H194" s="120" t="n"/>
      <c r="I194" s="122" t="n"/>
      <c r="J194" s="119" t="n"/>
      <c r="K194" s="121" t="n"/>
      <c r="L194" s="120" t="n"/>
      <c r="M194" s="121" t="n"/>
      <c r="N194" s="120" t="n"/>
      <c r="O194" s="121" t="n"/>
      <c r="P194" s="121" t="n"/>
      <c r="Q194" s="121" t="n"/>
      <c r="R194" s="121" t="n"/>
      <c r="S194" s="120" t="n"/>
      <c r="T194" s="121" t="n"/>
      <c r="U194" s="120" t="n"/>
      <c r="V194" s="120" t="n"/>
      <c r="W194" s="121" t="n"/>
      <c r="X194" s="121" t="n"/>
    </row>
    <row r="195" ht="68" customHeight="1">
      <c r="A195" s="119" t="inlineStr">
        <is>
          <t>datetime</t>
        </is>
      </c>
      <c r="B195" s="119" t="inlineStr">
        <is>
          <t>temp_resched</t>
        </is>
      </c>
      <c r="C195" s="122" t="inlineStr">
        <is>
          <t>Select the date and time you will call the household back:</t>
        </is>
      </c>
      <c r="D195" s="122" t="inlineStr">
        <is>
          <t>NOTE: When scheduling the callback, check your calendar to make sure you are available for that time.</t>
        </is>
      </c>
      <c r="E195" s="121" t="n"/>
      <c r="F195" s="121" t="n"/>
      <c r="G195" s="122" t="inlineStr">
        <is>
          <t>decimal-date-time(.) &gt; decimal-date-time(now())</t>
        </is>
      </c>
      <c r="H195" s="122" t="inlineStr">
        <is>
          <t>Please select a date and time that is after right now.</t>
        </is>
      </c>
      <c r="I195" s="122" t="n"/>
      <c r="J195" s="119" t="n"/>
      <c r="K195" s="119" t="inlineStr">
        <is>
          <t>yes</t>
        </is>
      </c>
      <c r="L195" s="120" t="n"/>
      <c r="M195" s="121" t="n"/>
      <c r="N195" s="120" t="n"/>
      <c r="O195" s="121" t="n"/>
      <c r="P195" s="121" t="n"/>
      <c r="Q195" s="121" t="n"/>
      <c r="R195" s="121" t="n"/>
      <c r="S195" s="120" t="n"/>
      <c r="T195" s="121" t="n"/>
      <c r="U195" s="120" t="n"/>
      <c r="V195" s="120" t="n"/>
      <c r="W195" s="121" t="n"/>
      <c r="X195" s="121" t="n"/>
    </row>
    <row r="196">
      <c r="A196" s="119" t="inlineStr">
        <is>
          <t>end group</t>
        </is>
      </c>
      <c r="B196" s="119" t="inlineStr">
        <is>
          <t>resched_datetime</t>
        </is>
      </c>
      <c r="C196" s="122" t="n"/>
      <c r="D196" s="120" t="n"/>
      <c r="E196" s="121" t="n"/>
      <c r="F196" s="121" t="n"/>
      <c r="G196" s="120" t="n"/>
      <c r="H196" s="120" t="n"/>
      <c r="I196" s="122" t="n"/>
      <c r="J196" s="119" t="n"/>
      <c r="K196" s="121" t="n"/>
      <c r="L196" s="120" t="n"/>
      <c r="M196" s="121" t="n"/>
      <c r="N196" s="120" t="n"/>
      <c r="O196" s="121" t="n"/>
      <c r="P196" s="121" t="n"/>
      <c r="Q196" s="121" t="n"/>
      <c r="R196" s="121" t="n"/>
      <c r="S196" s="120" t="n"/>
      <c r="T196" s="121" t="n"/>
      <c r="U196" s="120" t="n"/>
      <c r="V196" s="120" t="n"/>
      <c r="W196" s="121" t="n"/>
      <c r="X196" s="121" t="n"/>
    </row>
    <row r="197" ht="17" customHeight="1">
      <c r="A197" s="119" t="inlineStr">
        <is>
          <t>calculate</t>
        </is>
      </c>
      <c r="B197" s="119" t="inlineStr">
        <is>
          <t>callback_time</t>
        </is>
      </c>
      <c r="C197" s="122" t="inlineStr">
        <is>
          <t>Formats the "temp_reschedule" value for publishing.</t>
        </is>
      </c>
      <c r="D197" s="120" t="n"/>
      <c r="E197" s="121" t="n"/>
      <c r="F197" s="121" t="n"/>
      <c r="G197" s="120" t="n"/>
      <c r="H197" s="120" t="n"/>
      <c r="I197" s="122" t="n"/>
      <c r="J197" s="119" t="n"/>
      <c r="K197" s="121" t="n"/>
      <c r="L197" s="120" t="n"/>
      <c r="M197" s="121" t="n"/>
      <c r="N197" s="122" t="inlineStr">
        <is>
          <t>format-date-time(${temp_resched}, '%Y-%m-%d %H:%M')</t>
        </is>
      </c>
      <c r="O197" s="121" t="n"/>
      <c r="P197" s="121" t="n"/>
      <c r="Q197" s="121" t="n"/>
      <c r="R197" s="121" t="n"/>
      <c r="S197" s="120" t="n"/>
      <c r="T197" s="121" t="n"/>
      <c r="U197" s="120" t="n"/>
      <c r="V197" s="120" t="n"/>
      <c r="W197" s="121" t="n"/>
      <c r="X197" s="121" t="n"/>
    </row>
    <row r="198" ht="153" customHeight="1">
      <c r="A198" s="119" t="inlineStr">
        <is>
          <t>note</t>
        </is>
      </c>
      <c r="B198" s="119" t="inlineStr">
        <is>
          <t>note_end_resched</t>
        </is>
      </c>
      <c r="C198" s="122" t="inlineStr">
        <is>
          <t>Thank you so much for taking your time to speak with us. 
&lt;br&gt;&lt;br&gt;
I look forward to calling you back on &lt;font color="#14b14b"&gt;&lt;b&gt;&lt;u&gt;${callback_time}&lt;/u&gt;&lt;/b&gt;&lt;/font&gt;.
&lt;br&gt;&lt;br&gt;
Have a wonderful day!</t>
        </is>
      </c>
      <c r="D198" s="120" t="n"/>
      <c r="E198" s="121" t="n"/>
      <c r="F198" s="121" t="n"/>
      <c r="G198" s="120" t="n"/>
      <c r="H198" s="120" t="n"/>
      <c r="I198" s="122" t="n"/>
      <c r="J198" s="119" t="n"/>
      <c r="K198" s="121" t="n"/>
      <c r="L198" s="120" t="n"/>
      <c r="M198" s="121" t="n"/>
      <c r="N198" s="120" t="n"/>
      <c r="O198" s="121" t="n"/>
      <c r="P198" s="121" t="n"/>
      <c r="Q198" s="121" t="n"/>
      <c r="R198" s="121" t="n"/>
      <c r="S198" s="120" t="n"/>
      <c r="T198" s="121" t="n"/>
      <c r="U198" s="120" t="n"/>
      <c r="V198" s="120" t="n"/>
      <c r="W198" s="121" t="n"/>
      <c r="X198" s="121" t="n"/>
    </row>
    <row r="199" ht="119" customHeight="1">
      <c r="A199" s="119" t="inlineStr">
        <is>
          <t>note</t>
        </is>
      </c>
      <c r="B199" s="119" t="inlineStr">
        <is>
          <t>note_callback_time</t>
        </is>
      </c>
      <c r="C199" s="122" t="inlineStr">
        <is>
          <t>&lt;p&gt;&lt;span style="color: #3366ff;"&gt;&lt;b&gt;INSTRUCTIONS:&lt;/b&gt;&lt;/span&gt;&lt;/p&gt;
&lt;br&gt;&lt;br&gt;
&lt;p&gt;&lt;span style="color: #3366ff;"&gt;You set an appointment to call the household back on &lt;b&gt;&lt;u&gt;${callback_time}&lt;/u&gt;&lt;/b&gt;. Please screenshot this page or note the appointment in your calendar.&lt;/span&gt;&lt;/p&gt;</t>
        </is>
      </c>
      <c r="D199" s="120" t="n"/>
      <c r="E199" s="121" t="n"/>
      <c r="F199" s="121" t="n"/>
      <c r="G199" s="120" t="n"/>
      <c r="H199" s="120" t="n"/>
      <c r="I199" s="122" t="n"/>
      <c r="J199" s="119" t="n"/>
      <c r="K199" s="121" t="n"/>
      <c r="L199" s="120" t="n"/>
      <c r="M199" s="121" t="n"/>
      <c r="N199" s="120" t="n"/>
      <c r="O199" s="121" t="n"/>
      <c r="P199" s="121" t="n"/>
      <c r="Q199" s="121" t="n"/>
      <c r="R199" s="121" t="n"/>
      <c r="S199" s="120" t="n"/>
      <c r="T199" s="121" t="n"/>
      <c r="U199" s="120" t="n"/>
      <c r="V199" s="120" t="n"/>
      <c r="W199" s="121" t="n"/>
      <c r="X199" s="121" t="n"/>
    </row>
    <row r="200">
      <c r="A200" s="119" t="inlineStr">
        <is>
          <t>end group</t>
        </is>
      </c>
      <c r="B200" s="119" t="inlineStr">
        <is>
          <t>reschedule</t>
        </is>
      </c>
      <c r="C200" s="122" t="n"/>
      <c r="D200" s="120" t="n"/>
      <c r="E200" s="121" t="n"/>
      <c r="F200" s="121" t="n"/>
      <c r="G200" s="120" t="n"/>
      <c r="H200" s="120" t="n"/>
      <c r="I200" s="122" t="n"/>
      <c r="J200" s="119" t="n"/>
      <c r="K200" s="121" t="n"/>
      <c r="L200" s="120" t="n"/>
      <c r="M200" s="121" t="n"/>
      <c r="N200" s="120" t="n"/>
      <c r="O200" s="121" t="n"/>
      <c r="P200" s="121" t="n"/>
      <c r="Q200" s="121" t="n"/>
      <c r="R200" s="121" t="n"/>
      <c r="S200" s="120" t="n"/>
      <c r="T200" s="121" t="n"/>
      <c r="U200" s="120" t="n"/>
      <c r="V200" s="120" t="n"/>
      <c r="W200" s="121" t="n"/>
      <c r="X200" s="121" t="n"/>
    </row>
    <row r="201">
      <c r="A201" s="121" t="n"/>
      <c r="B201" s="121" t="n"/>
      <c r="C201" s="122" t="n"/>
      <c r="D201" s="120" t="n"/>
      <c r="E201" s="121" t="n"/>
      <c r="F201" s="121" t="n"/>
      <c r="G201" s="120" t="n"/>
      <c r="H201" s="120" t="n"/>
      <c r="I201" s="122" t="n"/>
      <c r="J201" s="119" t="n"/>
      <c r="K201" s="121" t="n"/>
      <c r="L201" s="120" t="n"/>
      <c r="M201" s="121" t="n"/>
      <c r="N201" s="120" t="n"/>
      <c r="O201" s="121" t="n"/>
      <c r="P201" s="121" t="n"/>
      <c r="Q201" s="121" t="n"/>
      <c r="R201" s="121" t="n"/>
      <c r="S201" s="120" t="n"/>
      <c r="T201" s="121" t="n"/>
      <c r="U201" s="120" t="n"/>
      <c r="V201" s="120" t="n"/>
      <c r="W201" s="121" t="n"/>
      <c r="X201" s="121" t="n"/>
    </row>
    <row r="202" ht="17" customHeight="1">
      <c r="A202" s="128" t="inlineStr">
        <is>
          <t>calculate</t>
        </is>
      </c>
      <c r="B202" s="119" t="inlineStr">
        <is>
          <t>attendance_w1</t>
        </is>
      </c>
      <c r="C202" s="122" t="inlineStr">
        <is>
          <t>Pulls attendance from weekly implementation server dataset</t>
        </is>
      </c>
      <c r="D202" s="120" t="n"/>
      <c r="E202" s="121" t="n"/>
      <c r="F202" s="121" t="n"/>
      <c r="G202" s="120" t="n"/>
      <c r="H202" s="120" t="n"/>
      <c r="I202" s="122" t="n"/>
      <c r="J202" s="119" t="n"/>
      <c r="K202" s="121" t="n"/>
      <c r="L202" s="120" t="n"/>
      <c r="M202" s="121" t="n"/>
      <c r="N202" s="122" t="inlineStr">
        <is>
          <t>pulldata('connected_impl_w1_ph', 'stud_tutored_i', 'hhid', ${hhid})</t>
        </is>
      </c>
      <c r="O202" s="121" t="n"/>
      <c r="P202" s="121" t="n"/>
      <c r="Q202" s="121" t="n"/>
      <c r="R202" s="121" t="n"/>
      <c r="S202" s="120" t="n"/>
      <c r="T202" s="121" t="n"/>
      <c r="U202" s="120" t="n"/>
      <c r="V202" s="120" t="n"/>
      <c r="W202" s="121" t="n"/>
      <c r="X202" s="121" t="n"/>
    </row>
    <row r="203" ht="17" customHeight="1">
      <c r="A203" s="119" t="inlineStr">
        <is>
          <t>calculate</t>
        </is>
      </c>
      <c r="B203" s="119" t="inlineStr">
        <is>
          <t>operation_taught_num_w1</t>
        </is>
      </c>
      <c r="C203" s="122" t="inlineStr">
        <is>
          <t>Pulls operation taught during the week from weekly implementation server dataset</t>
        </is>
      </c>
      <c r="D203" s="120" t="n"/>
      <c r="E203" s="121" t="n"/>
      <c r="F203" s="121" t="n"/>
      <c r="G203" s="120" t="n"/>
      <c r="H203" s="120" t="n"/>
      <c r="I203" s="122" t="n"/>
      <c r="J203" s="119" t="n"/>
      <c r="K203" s="121" t="n"/>
      <c r="L203" s="120" t="n"/>
      <c r="M203" s="121" t="n"/>
      <c r="N203" s="122" t="inlineStr">
        <is>
          <t>pulldata('connected_impl_w1_ph', 'operation_taught_num_i', 'hhid', ${hhid})</t>
        </is>
      </c>
      <c r="O203" s="121" t="n"/>
      <c r="P203" s="121" t="n"/>
      <c r="Q203" s="121" t="n"/>
      <c r="R203" s="121" t="n"/>
      <c r="S203" s="120" t="n"/>
      <c r="T203" s="121" t="n"/>
      <c r="U203" s="120" t="n"/>
      <c r="V203" s="120" t="n"/>
      <c r="W203" s="121" t="n"/>
      <c r="X203" s="121" t="n"/>
    </row>
    <row r="204" ht="17" customHeight="1">
      <c r="A204" s="119" t="inlineStr">
        <is>
          <t>calculate</t>
        </is>
      </c>
      <c r="B204" s="119" t="inlineStr">
        <is>
          <t>operation_taught_num_lab_w1</t>
        </is>
      </c>
      <c r="C204" s="122" t="inlineStr">
        <is>
          <t>Pulls choice label of operation taught during the week from weekly implementation server dataset</t>
        </is>
      </c>
      <c r="D204" s="120" t="n"/>
      <c r="E204" s="121" t="n"/>
      <c r="F204" s="121" t="n"/>
      <c r="G204" s="120" t="n"/>
      <c r="H204" s="120" t="n"/>
      <c r="I204" s="122" t="n"/>
      <c r="J204" s="119" t="n"/>
      <c r="K204" s="121" t="n"/>
      <c r="L204" s="120" t="n"/>
      <c r="M204" s="121" t="n"/>
      <c r="N204" s="122" t="inlineStr">
        <is>
          <t>pulldata('connected_impl_w1_ph', 'operation_taught_num_lab_i', 'hhid', ${hhid})</t>
        </is>
      </c>
      <c r="O204" s="121" t="n"/>
      <c r="P204" s="121" t="n"/>
      <c r="Q204" s="121" t="n"/>
      <c r="R204" s="121" t="n"/>
      <c r="S204" s="120" t="n"/>
      <c r="T204" s="121" t="n"/>
      <c r="U204" s="120" t="n"/>
      <c r="V204" s="120" t="n"/>
      <c r="W204" s="121" t="n"/>
      <c r="X204" s="121" t="n"/>
    </row>
    <row r="205" ht="17" customHeight="1">
      <c r="A205" s="119" t="inlineStr">
        <is>
          <t>calculate</t>
        </is>
      </c>
      <c r="B205" s="119" t="inlineStr">
        <is>
          <t>checkpoint1_num_w1</t>
        </is>
      </c>
      <c r="C205" s="122" t="inlineStr">
        <is>
          <t>Pulls checkpoint question asked from weekly implementation server dataset</t>
        </is>
      </c>
      <c r="D205" s="120" t="n"/>
      <c r="E205" s="121" t="n"/>
      <c r="F205" s="121" t="n"/>
      <c r="G205" s="120" t="n"/>
      <c r="H205" s="120" t="n"/>
      <c r="I205" s="122" t="n"/>
      <c r="J205" s="119" t="n"/>
      <c r="K205" s="121" t="n"/>
      <c r="L205" s="120" t="n"/>
      <c r="M205" s="121" t="n"/>
      <c r="N205" s="122" t="inlineStr">
        <is>
          <t>pulldata('connected_impl_w1_ph', 'checkpoint1_num_i', 'hhid', ${hhid})</t>
        </is>
      </c>
      <c r="O205" s="121" t="n"/>
      <c r="P205" s="121" t="n"/>
      <c r="Q205" s="121" t="n"/>
      <c r="R205" s="121" t="n"/>
      <c r="S205" s="120" t="n"/>
      <c r="T205" s="121" t="n"/>
      <c r="U205" s="120" t="n"/>
      <c r="V205" s="120" t="n"/>
      <c r="W205" s="121" t="n"/>
      <c r="X205" s="121" t="n"/>
    </row>
    <row r="206" ht="17" customHeight="1">
      <c r="A206" s="119" t="inlineStr">
        <is>
          <t>calculate</t>
        </is>
      </c>
      <c r="B206" s="119" t="inlineStr">
        <is>
          <t>checkpoint1_num_lab_w1</t>
        </is>
      </c>
      <c r="C206" s="122" t="inlineStr">
        <is>
          <t>Pulls checkpoint question asked from weekly implementation server dataset</t>
        </is>
      </c>
      <c r="D206" s="120" t="n"/>
      <c r="E206" s="121" t="n"/>
      <c r="F206" s="121" t="n"/>
      <c r="G206" s="120" t="n"/>
      <c r="H206" s="120" t="n"/>
      <c r="I206" s="122" t="n"/>
      <c r="J206" s="119" t="n"/>
      <c r="K206" s="121" t="n"/>
      <c r="L206" s="120" t="n"/>
      <c r="M206" s="121" t="n"/>
      <c r="N206" s="122" t="inlineStr">
        <is>
          <t>pulldata('connected_impl_w1_ph', 'checkpoint1_num_lab_i', 'hhid', ${hhid})</t>
        </is>
      </c>
      <c r="O206" s="121" t="n"/>
      <c r="P206" s="121" t="n"/>
      <c r="Q206" s="121" t="n"/>
      <c r="R206" s="121" t="n"/>
      <c r="S206" s="120" t="n"/>
      <c r="T206" s="121" t="n"/>
      <c r="U206" s="120" t="n"/>
      <c r="V206" s="120" t="n"/>
      <c r="W206" s="121" t="n"/>
      <c r="X206" s="121" t="n"/>
    </row>
    <row r="207" ht="17" customHeight="1">
      <c r="A207" s="119" t="inlineStr">
        <is>
          <t>calculate</t>
        </is>
      </c>
      <c r="B207" s="119" t="inlineStr">
        <is>
          <t>checkpoint1_correct_num_w1</t>
        </is>
      </c>
      <c r="C207" s="122" t="inlineStr">
        <is>
          <t>Pulls checkpoint correct indicator from weekly implementation server dataset</t>
        </is>
      </c>
      <c r="D207" s="120" t="n"/>
      <c r="E207" s="121" t="n"/>
      <c r="F207" s="121" t="n"/>
      <c r="G207" s="120" t="n"/>
      <c r="H207" s="120" t="n"/>
      <c r="I207" s="122" t="n"/>
      <c r="J207" s="119" t="n"/>
      <c r="K207" s="121" t="n"/>
      <c r="L207" s="120" t="n"/>
      <c r="M207" s="121" t="n"/>
      <c r="N207" s="122" t="inlineStr">
        <is>
          <t>pulldata('connected_impl_w1_ph', 'checkpoint1_correct_num_i', 'hhid', ${hhid})</t>
        </is>
      </c>
      <c r="O207" s="121" t="n"/>
      <c r="P207" s="121" t="n"/>
      <c r="Q207" s="121" t="n"/>
      <c r="R207" s="121" t="n"/>
      <c r="S207" s="120" t="n"/>
      <c r="T207" s="121" t="n"/>
      <c r="U207" s="120" t="n"/>
      <c r="V207" s="120" t="n"/>
      <c r="W207" s="121" t="n"/>
      <c r="X207" s="121" t="n"/>
    </row>
    <row r="208" ht="17" customHeight="1">
      <c r="A208" s="119" t="inlineStr">
        <is>
          <t>calculate</t>
        </is>
      </c>
      <c r="B208" s="119" t="inlineStr">
        <is>
          <t>checkpoint1_correct_num_lab_w1</t>
        </is>
      </c>
      <c r="C208" s="122" t="inlineStr">
        <is>
          <t>Pulls checkpoint correct indicator from weekly implementation server dataset</t>
        </is>
      </c>
      <c r="D208" s="120" t="n"/>
      <c r="E208" s="121" t="n"/>
      <c r="F208" s="121" t="n"/>
      <c r="G208" s="120" t="n"/>
      <c r="H208" s="120" t="n"/>
      <c r="I208" s="122" t="n"/>
      <c r="J208" s="119" t="n"/>
      <c r="K208" s="121" t="n"/>
      <c r="L208" s="120" t="n"/>
      <c r="M208" s="121" t="n"/>
      <c r="N208" s="122" t="inlineStr">
        <is>
          <t>pulldata('connected_impl_w1_ph', 'checkpoint1_correct_num_lab_i', 'hhid', ${hhid})</t>
        </is>
      </c>
      <c r="O208" s="121" t="n"/>
      <c r="P208" s="121" t="n"/>
      <c r="Q208" s="121" t="n"/>
      <c r="R208" s="121" t="n"/>
      <c r="S208" s="120" t="n"/>
      <c r="T208" s="121" t="n"/>
      <c r="U208" s="120" t="n"/>
      <c r="V208" s="120" t="n"/>
      <c r="W208" s="121" t="n"/>
      <c r="X208" s="121" t="n"/>
    </row>
    <row r="209" ht="17" customHeight="1">
      <c r="A209" s="119" t="inlineStr">
        <is>
          <t>calculate</t>
        </is>
      </c>
      <c r="B209" s="119" t="inlineStr">
        <is>
          <t>suggested_lesson2_i</t>
        </is>
      </c>
      <c r="C209" s="122" t="inlineStr">
        <is>
          <t>Pulls suggested tutorial lesson from weekly implementation server dataset</t>
        </is>
      </c>
      <c r="D209" s="120" t="n"/>
      <c r="E209" s="121" t="n"/>
      <c r="F209" s="121" t="n"/>
      <c r="G209" s="120" t="n"/>
      <c r="H209" s="120" t="n"/>
      <c r="I209" s="122" t="n"/>
      <c r="J209" s="119" t="n"/>
      <c r="K209" s="121" t="n"/>
      <c r="L209" s="120" t="n"/>
      <c r="M209" s="121" t="n"/>
      <c r="N209" s="122" t="inlineStr">
        <is>
          <t>pulldata('connected_impl_w1_ph', 'suggested_lesson_i', 'hhid', ${hhid})</t>
        </is>
      </c>
      <c r="O209" s="121" t="n"/>
      <c r="P209" s="121" t="n"/>
      <c r="Q209" s="121" t="n"/>
      <c r="R209" s="121" t="n"/>
      <c r="S209" s="120" t="n"/>
      <c r="T209" s="121" t="n"/>
      <c r="U209" s="120" t="n"/>
      <c r="V209" s="120" t="n"/>
      <c r="W209" s="121" t="n"/>
      <c r="X209" s="121" t="n"/>
    </row>
    <row r="210" ht="17" customHeight="1">
      <c r="A210" s="119" t="inlineStr">
        <is>
          <t>calculate</t>
        </is>
      </c>
      <c r="B210" s="119" t="inlineStr">
        <is>
          <t>suggested_lesson2_lab_i</t>
        </is>
      </c>
      <c r="C210" s="122" t="inlineStr">
        <is>
          <t>Pulls choice label of suggested tutorial lesson from weekly implementation server dataset</t>
        </is>
      </c>
      <c r="D210" s="120" t="n"/>
      <c r="E210" s="121" t="n"/>
      <c r="F210" s="121" t="n"/>
      <c r="G210" s="120" t="n"/>
      <c r="H210" s="120" t="n"/>
      <c r="I210" s="122" t="n"/>
      <c r="J210" s="119" t="n"/>
      <c r="K210" s="121" t="n"/>
      <c r="L210" s="120" t="n"/>
      <c r="M210" s="121" t="n"/>
      <c r="N210" s="122" t="inlineStr">
        <is>
          <t>pulldata('connected_impl_w1_ph', 'suggested_lesson_lab_i', 'hhid', ${hhid})</t>
        </is>
      </c>
      <c r="O210" s="121" t="n"/>
      <c r="P210" s="121" t="n"/>
      <c r="Q210" s="121" t="n"/>
      <c r="R210" s="121" t="n"/>
      <c r="S210" s="120" t="n"/>
      <c r="T210" s="121" t="n"/>
      <c r="U210" s="120" t="n"/>
      <c r="V210" s="120" t="n"/>
      <c r="W210" s="121" t="n"/>
      <c r="X210" s="121" t="n"/>
    </row>
    <row r="211" ht="17" customHeight="1">
      <c r="A211" s="128" t="inlineStr">
        <is>
          <t>calculate</t>
        </is>
      </c>
      <c r="B211" s="119" t="inlineStr">
        <is>
          <t>attendance_w2</t>
        </is>
      </c>
      <c r="C211" s="122" t="inlineStr">
        <is>
          <t>Pulls attendance from weekly implementation server dataset</t>
        </is>
      </c>
      <c r="D211" s="120" t="n"/>
      <c r="E211" s="121" t="n"/>
      <c r="F211" s="121" t="n"/>
      <c r="G211" s="120" t="n"/>
      <c r="H211" s="120" t="n"/>
      <c r="I211" s="122" t="n"/>
      <c r="J211" s="119" t="n"/>
      <c r="K211" s="121" t="n"/>
      <c r="L211" s="120" t="n"/>
      <c r="M211" s="121" t="n"/>
      <c r="N211" s="122" t="inlineStr">
        <is>
          <t>pulldata('connected_impl_w2_ph', 'stud_tutored_i', 'hhid', ${hhid})</t>
        </is>
      </c>
      <c r="O211" s="121" t="n"/>
      <c r="P211" s="121" t="n"/>
      <c r="Q211" s="121" t="n"/>
      <c r="R211" s="121" t="n"/>
      <c r="S211" s="120" t="n"/>
      <c r="T211" s="121" t="n"/>
      <c r="U211" s="120" t="n"/>
      <c r="V211" s="120" t="n"/>
      <c r="W211" s="121" t="n"/>
      <c r="X211" s="121" t="n"/>
    </row>
    <row r="212" ht="17" customHeight="1">
      <c r="A212" s="119" t="inlineStr">
        <is>
          <t>calculate</t>
        </is>
      </c>
      <c r="B212" s="119" t="inlineStr">
        <is>
          <t>operation_taught_num_w2</t>
        </is>
      </c>
      <c r="C212" s="122" t="inlineStr">
        <is>
          <t>Pulls operation taught during the week from weekly implementation server dataset</t>
        </is>
      </c>
      <c r="D212" s="120" t="n"/>
      <c r="E212" s="121" t="n"/>
      <c r="F212" s="121" t="n"/>
      <c r="G212" s="120" t="n"/>
      <c r="H212" s="120" t="n"/>
      <c r="I212" s="122" t="n"/>
      <c r="J212" s="119" t="n"/>
      <c r="K212" s="121" t="n"/>
      <c r="L212" s="120" t="n"/>
      <c r="M212" s="121" t="n"/>
      <c r="N212" s="122" t="inlineStr">
        <is>
          <t>pulldata('connected_impl_w2_ph', 'operation_taught_num_i', 'hhid', ${hhid})</t>
        </is>
      </c>
      <c r="O212" s="121" t="n"/>
      <c r="P212" s="121" t="n"/>
      <c r="Q212" s="121" t="n"/>
      <c r="R212" s="121" t="n"/>
      <c r="S212" s="120" t="n"/>
      <c r="T212" s="121" t="n"/>
      <c r="U212" s="120" t="n"/>
      <c r="V212" s="120" t="n"/>
      <c r="W212" s="121" t="n"/>
      <c r="X212" s="121" t="n"/>
    </row>
    <row r="213" ht="17" customHeight="1">
      <c r="A213" s="119" t="inlineStr">
        <is>
          <t>calculate</t>
        </is>
      </c>
      <c r="B213" s="119" t="inlineStr">
        <is>
          <t>operation_taught_num_lab_w2</t>
        </is>
      </c>
      <c r="C213" s="122" t="inlineStr">
        <is>
          <t>Pulls choice label of operation taught during the week from weekly implementation server dataset</t>
        </is>
      </c>
      <c r="D213" s="120" t="n"/>
      <c r="E213" s="121" t="n"/>
      <c r="F213" s="121" t="n"/>
      <c r="G213" s="120" t="n"/>
      <c r="H213" s="120" t="n"/>
      <c r="I213" s="122" t="n"/>
      <c r="J213" s="119" t="n"/>
      <c r="K213" s="121" t="n"/>
      <c r="L213" s="120" t="n"/>
      <c r="M213" s="121" t="n"/>
      <c r="N213" s="122" t="inlineStr">
        <is>
          <t>pulldata('connected_impl_w2_ph', 'operation_taught_num_lab_i', 'hhid', ${hhid})</t>
        </is>
      </c>
      <c r="O213" s="121" t="n"/>
      <c r="P213" s="121" t="n"/>
      <c r="Q213" s="121" t="n"/>
      <c r="R213" s="121" t="n"/>
      <c r="S213" s="120" t="n"/>
      <c r="T213" s="121" t="n"/>
      <c r="U213" s="120" t="n"/>
      <c r="V213" s="120" t="n"/>
      <c r="W213" s="121" t="n"/>
      <c r="X213" s="121" t="n"/>
    </row>
    <row r="214" ht="17" customHeight="1">
      <c r="A214" s="119" t="inlineStr">
        <is>
          <t>calculate</t>
        </is>
      </c>
      <c r="B214" s="119" t="inlineStr">
        <is>
          <t>checkpoint1_num_w2</t>
        </is>
      </c>
      <c r="C214" s="122" t="inlineStr">
        <is>
          <t>Pulls checkpoint question asked from weekly implementation server dataset</t>
        </is>
      </c>
      <c r="D214" s="120" t="n"/>
      <c r="E214" s="121" t="n"/>
      <c r="F214" s="121" t="n"/>
      <c r="G214" s="120" t="n"/>
      <c r="H214" s="120" t="n"/>
      <c r="I214" s="122" t="n"/>
      <c r="J214" s="119" t="n"/>
      <c r="K214" s="121" t="n"/>
      <c r="L214" s="120" t="n"/>
      <c r="M214" s="121" t="n"/>
      <c r="N214" s="122" t="inlineStr">
        <is>
          <t>pulldata('connected_impl_w2_ph', 'checkpoint1_num_i', 'hhid', ${hhid})</t>
        </is>
      </c>
      <c r="O214" s="121" t="n"/>
      <c r="P214" s="121" t="n"/>
      <c r="Q214" s="121" t="n"/>
      <c r="R214" s="121" t="n"/>
      <c r="S214" s="120" t="n"/>
      <c r="T214" s="121" t="n"/>
      <c r="U214" s="120" t="n"/>
      <c r="V214" s="120" t="n"/>
      <c r="W214" s="121" t="n"/>
      <c r="X214" s="121" t="n"/>
    </row>
    <row r="215" ht="17" customHeight="1">
      <c r="A215" s="119" t="inlineStr">
        <is>
          <t>calculate</t>
        </is>
      </c>
      <c r="B215" s="119" t="inlineStr">
        <is>
          <t>checkpoint1_num_lab_w2</t>
        </is>
      </c>
      <c r="C215" s="122" t="inlineStr">
        <is>
          <t>Pulls checkpoint question asked from weekly implementation server dataset</t>
        </is>
      </c>
      <c r="D215" s="120" t="n"/>
      <c r="E215" s="121" t="n"/>
      <c r="F215" s="121" t="n"/>
      <c r="G215" s="120" t="n"/>
      <c r="H215" s="120" t="n"/>
      <c r="I215" s="122" t="n"/>
      <c r="J215" s="119" t="n"/>
      <c r="K215" s="121" t="n"/>
      <c r="L215" s="120" t="n"/>
      <c r="M215" s="121" t="n"/>
      <c r="N215" s="122" t="inlineStr">
        <is>
          <t>pulldata('connected_impl_w2_ph', 'checkpoint1_num_lab_i', 'hhid', ${hhid})</t>
        </is>
      </c>
      <c r="O215" s="121" t="n"/>
      <c r="P215" s="121" t="n"/>
      <c r="Q215" s="121" t="n"/>
      <c r="R215" s="121" t="n"/>
      <c r="S215" s="120" t="n"/>
      <c r="T215" s="121" t="n"/>
      <c r="U215" s="120" t="n"/>
      <c r="V215" s="120" t="n"/>
      <c r="W215" s="121" t="n"/>
      <c r="X215" s="121" t="n"/>
    </row>
    <row r="216" ht="17" customHeight="1">
      <c r="A216" s="119" t="inlineStr">
        <is>
          <t>calculate</t>
        </is>
      </c>
      <c r="B216" s="119" t="inlineStr">
        <is>
          <t>checkpoint1_correct_num_w2</t>
        </is>
      </c>
      <c r="C216" s="122" t="inlineStr">
        <is>
          <t>Pulls checkpoint correct indicator from weekly implementation server dataset</t>
        </is>
      </c>
      <c r="D216" s="120" t="n"/>
      <c r="E216" s="121" t="n"/>
      <c r="F216" s="121" t="n"/>
      <c r="G216" s="120" t="n"/>
      <c r="H216" s="120" t="n"/>
      <c r="I216" s="122" t="n"/>
      <c r="J216" s="119" t="n"/>
      <c r="K216" s="121" t="n"/>
      <c r="L216" s="120" t="n"/>
      <c r="M216" s="121" t="n"/>
      <c r="N216" s="122" t="inlineStr">
        <is>
          <t>pulldata('connected_impl_w2_ph', 'checkpoint1_correct_num_i', 'hhid', ${hhid})</t>
        </is>
      </c>
      <c r="O216" s="121" t="n"/>
      <c r="P216" s="121" t="n"/>
      <c r="Q216" s="121" t="n"/>
      <c r="R216" s="121" t="n"/>
      <c r="S216" s="120" t="n"/>
      <c r="T216" s="121" t="n"/>
      <c r="U216" s="120" t="n"/>
      <c r="V216" s="120" t="n"/>
      <c r="W216" s="121" t="n"/>
      <c r="X216" s="121" t="n"/>
    </row>
    <row r="217" ht="17" customHeight="1">
      <c r="A217" s="119" t="inlineStr">
        <is>
          <t>calculate</t>
        </is>
      </c>
      <c r="B217" s="119" t="inlineStr">
        <is>
          <t>checkpoint1_correct_num_lab_w2</t>
        </is>
      </c>
      <c r="C217" s="122" t="inlineStr">
        <is>
          <t>Pulls checkpoint correct indicator from weekly implementation server dataset</t>
        </is>
      </c>
      <c r="D217" s="120" t="n"/>
      <c r="E217" s="121" t="n"/>
      <c r="F217" s="121" t="n"/>
      <c r="G217" s="120" t="n"/>
      <c r="H217" s="120" t="n"/>
      <c r="I217" s="122" t="n"/>
      <c r="J217" s="119" t="n"/>
      <c r="K217" s="121" t="n"/>
      <c r="L217" s="120" t="n"/>
      <c r="M217" s="121" t="n"/>
      <c r="N217" s="122" t="inlineStr">
        <is>
          <t>pulldata('connected_impl_w2_ph', 'checkpoint1_correct_num_lab_i', 'hhid', ${hhid})</t>
        </is>
      </c>
      <c r="O217" s="121" t="n"/>
      <c r="P217" s="121" t="n"/>
      <c r="Q217" s="121" t="n"/>
      <c r="R217" s="121" t="n"/>
      <c r="S217" s="120" t="n"/>
      <c r="T217" s="121" t="n"/>
      <c r="U217" s="120" t="n"/>
      <c r="V217" s="120" t="n"/>
      <c r="W217" s="121" t="n"/>
      <c r="X217" s="121" t="n"/>
    </row>
    <row r="218" ht="17" customHeight="1">
      <c r="A218" s="119" t="inlineStr">
        <is>
          <t>calculate</t>
        </is>
      </c>
      <c r="B218" s="119" t="inlineStr">
        <is>
          <t>suggested_lesson3_i</t>
        </is>
      </c>
      <c r="C218" s="122" t="inlineStr">
        <is>
          <t>Pulls suggested tutorial lesson from weekly implementation server dataset</t>
        </is>
      </c>
      <c r="D218" s="120" t="n"/>
      <c r="E218" s="121" t="n"/>
      <c r="F218" s="121" t="n"/>
      <c r="G218" s="120" t="n"/>
      <c r="H218" s="120" t="n"/>
      <c r="I218" s="122" t="n"/>
      <c r="J218" s="119" t="n"/>
      <c r="K218" s="121" t="n"/>
      <c r="L218" s="120" t="n"/>
      <c r="M218" s="121" t="n"/>
      <c r="N218" s="122" t="inlineStr">
        <is>
          <t>pulldata('connected_impl_w2_ph', 'suggested_lesson_i', 'hhid', ${hhid})</t>
        </is>
      </c>
      <c r="O218" s="121" t="n"/>
      <c r="P218" s="121" t="n"/>
      <c r="Q218" s="121" t="n"/>
      <c r="R218" s="121" t="n"/>
      <c r="S218" s="120" t="n"/>
      <c r="T218" s="121" t="n"/>
      <c r="U218" s="120" t="n"/>
      <c r="V218" s="120" t="n"/>
      <c r="W218" s="121" t="n"/>
      <c r="X218" s="121" t="n"/>
    </row>
    <row r="219" ht="17" customHeight="1">
      <c r="A219" s="119" t="inlineStr">
        <is>
          <t>calculate</t>
        </is>
      </c>
      <c r="B219" s="119" t="inlineStr">
        <is>
          <t>suggested_lesson3_lab_i</t>
        </is>
      </c>
      <c r="C219" s="122" t="inlineStr">
        <is>
          <t>Pulls choice label of suggested tutorial lesson from weekly implementation server dataset</t>
        </is>
      </c>
      <c r="D219" s="120" t="n"/>
      <c r="E219" s="121" t="n"/>
      <c r="F219" s="121" t="n"/>
      <c r="G219" s="120" t="n"/>
      <c r="H219" s="120" t="n"/>
      <c r="I219" s="122" t="n"/>
      <c r="J219" s="119" t="n"/>
      <c r="K219" s="121" t="n"/>
      <c r="L219" s="120" t="n"/>
      <c r="M219" s="121" t="n"/>
      <c r="N219" s="122" t="inlineStr">
        <is>
          <t>pulldata('connected_impl_w2_ph', 'suggested_lesson_lab_i', 'hhid', ${hhid})</t>
        </is>
      </c>
      <c r="O219" s="121" t="n"/>
      <c r="P219" s="121" t="n"/>
      <c r="Q219" s="121" t="n"/>
      <c r="R219" s="121" t="n"/>
      <c r="S219" s="120" t="n"/>
      <c r="T219" s="121" t="n"/>
      <c r="U219" s="120" t="n"/>
      <c r="V219" s="120" t="n"/>
      <c r="W219" s="121" t="n"/>
      <c r="X219" s="121" t="n"/>
    </row>
    <row r="220" ht="17" customHeight="1">
      <c r="A220" s="128" t="inlineStr">
        <is>
          <t>calculate</t>
        </is>
      </c>
      <c r="B220" s="119" t="inlineStr">
        <is>
          <t>attendance_w3</t>
        </is>
      </c>
      <c r="C220" s="122" t="inlineStr">
        <is>
          <t>Pulls attendance from weekly implementation server dataset</t>
        </is>
      </c>
      <c r="D220" s="120" t="n"/>
      <c r="E220" s="121" t="n"/>
      <c r="F220" s="121" t="n"/>
      <c r="G220" s="120" t="n"/>
      <c r="H220" s="120" t="n"/>
      <c r="I220" s="122" t="n"/>
      <c r="J220" s="119" t="n"/>
      <c r="K220" s="121" t="n"/>
      <c r="L220" s="120" t="n"/>
      <c r="M220" s="121" t="n"/>
      <c r="N220" s="122" t="inlineStr">
        <is>
          <t>pulldata('connected_impl_w3_ph', 'stud_tutored_i', 'hhid', ${hhid})</t>
        </is>
      </c>
      <c r="O220" s="121" t="n"/>
      <c r="P220" s="121" t="n"/>
      <c r="Q220" s="121" t="n"/>
      <c r="R220" s="121" t="n"/>
      <c r="S220" s="120" t="n"/>
      <c r="T220" s="121" t="n"/>
      <c r="U220" s="120" t="n"/>
      <c r="V220" s="120" t="n"/>
      <c r="W220" s="121" t="n"/>
      <c r="X220" s="121" t="n"/>
    </row>
    <row r="221" ht="17" customHeight="1">
      <c r="A221" s="119" t="inlineStr">
        <is>
          <t>calculate</t>
        </is>
      </c>
      <c r="B221" s="119" t="inlineStr">
        <is>
          <t>operation_taught_num_w3</t>
        </is>
      </c>
      <c r="C221" s="122" t="inlineStr">
        <is>
          <t>Pulls operation taught during the week from weekly implementation server dataset</t>
        </is>
      </c>
      <c r="D221" s="120" t="n"/>
      <c r="E221" s="121" t="n"/>
      <c r="F221" s="121" t="n"/>
      <c r="G221" s="120" t="n"/>
      <c r="H221" s="120" t="n"/>
      <c r="I221" s="122" t="n"/>
      <c r="J221" s="119" t="n"/>
      <c r="K221" s="121" t="n"/>
      <c r="L221" s="120" t="n"/>
      <c r="M221" s="121" t="n"/>
      <c r="N221" s="122" t="inlineStr">
        <is>
          <t>pulldata('connected_impl_w3_ph', 'operation_taught_num_i', 'hhid', ${hhid})</t>
        </is>
      </c>
      <c r="O221" s="121" t="n"/>
      <c r="P221" s="121" t="n"/>
      <c r="Q221" s="121" t="n"/>
      <c r="R221" s="121" t="n"/>
      <c r="S221" s="120" t="n"/>
      <c r="T221" s="121" t="n"/>
      <c r="U221" s="120" t="n"/>
      <c r="V221" s="120" t="n"/>
      <c r="W221" s="121" t="n"/>
      <c r="X221" s="121" t="n"/>
    </row>
    <row r="222" ht="17" customHeight="1">
      <c r="A222" s="119" t="inlineStr">
        <is>
          <t>calculate</t>
        </is>
      </c>
      <c r="B222" s="119" t="inlineStr">
        <is>
          <t>operation_taught_num_lab_w3</t>
        </is>
      </c>
      <c r="C222" s="122" t="inlineStr">
        <is>
          <t>Pulls choice label of operation taught during the week from weekly implementation server dataset</t>
        </is>
      </c>
      <c r="D222" s="120" t="n"/>
      <c r="E222" s="121" t="n"/>
      <c r="F222" s="121" t="n"/>
      <c r="G222" s="120" t="n"/>
      <c r="H222" s="120" t="n"/>
      <c r="I222" s="122" t="n"/>
      <c r="J222" s="119" t="n"/>
      <c r="K222" s="121" t="n"/>
      <c r="L222" s="120" t="n"/>
      <c r="M222" s="121" t="n"/>
      <c r="N222" s="122" t="inlineStr">
        <is>
          <t>pulldata('connected_impl_w3_ph', 'operation_taught_num_lab_i', 'hhid', ${hhid})</t>
        </is>
      </c>
      <c r="O222" s="121" t="n"/>
      <c r="P222" s="121" t="n"/>
      <c r="Q222" s="121" t="n"/>
      <c r="R222" s="121" t="n"/>
      <c r="S222" s="120" t="n"/>
      <c r="T222" s="121" t="n"/>
      <c r="U222" s="120" t="n"/>
      <c r="V222" s="120" t="n"/>
      <c r="W222" s="121" t="n"/>
      <c r="X222" s="121" t="n"/>
    </row>
    <row r="223" ht="17" customHeight="1">
      <c r="A223" s="119" t="inlineStr">
        <is>
          <t>calculate</t>
        </is>
      </c>
      <c r="B223" s="119" t="inlineStr">
        <is>
          <t>checkpoint1_num_w3</t>
        </is>
      </c>
      <c r="C223" s="122" t="inlineStr">
        <is>
          <t>Pulls checkpoint question asked from weekly implementation server dataset</t>
        </is>
      </c>
      <c r="D223" s="120" t="n"/>
      <c r="E223" s="121" t="n"/>
      <c r="F223" s="121" t="n"/>
      <c r="G223" s="120" t="n"/>
      <c r="H223" s="120" t="n"/>
      <c r="I223" s="122" t="n"/>
      <c r="J223" s="119" t="n"/>
      <c r="K223" s="121" t="n"/>
      <c r="L223" s="120" t="n"/>
      <c r="M223" s="121" t="n"/>
      <c r="N223" s="122" t="inlineStr">
        <is>
          <t>pulldata('connected_impl_w3_ph', 'checkpoint1_num_i', 'hhid', ${hhid})</t>
        </is>
      </c>
      <c r="O223" s="121" t="n"/>
      <c r="P223" s="121" t="n"/>
      <c r="Q223" s="121" t="n"/>
      <c r="R223" s="121" t="n"/>
      <c r="S223" s="120" t="n"/>
      <c r="T223" s="121" t="n"/>
      <c r="U223" s="120" t="n"/>
      <c r="V223" s="120" t="n"/>
      <c r="W223" s="121" t="n"/>
      <c r="X223" s="121" t="n"/>
    </row>
    <row r="224" ht="17" customHeight="1">
      <c r="A224" s="119" t="inlineStr">
        <is>
          <t>calculate</t>
        </is>
      </c>
      <c r="B224" s="119" t="inlineStr">
        <is>
          <t>checkpoint1_num_lab_w3</t>
        </is>
      </c>
      <c r="C224" s="122" t="inlineStr">
        <is>
          <t>Pulls checkpoint question asked from weekly implementation server dataset</t>
        </is>
      </c>
      <c r="D224" s="120" t="n"/>
      <c r="E224" s="121" t="n"/>
      <c r="F224" s="121" t="n"/>
      <c r="G224" s="120" t="n"/>
      <c r="H224" s="120" t="n"/>
      <c r="I224" s="122" t="n"/>
      <c r="J224" s="119" t="n"/>
      <c r="K224" s="121" t="n"/>
      <c r="L224" s="120" t="n"/>
      <c r="M224" s="121" t="n"/>
      <c r="N224" s="122" t="inlineStr">
        <is>
          <t>pulldata('connected_impl_w3_ph', 'checkpoint1_num_lab_i', 'hhid', ${hhid})</t>
        </is>
      </c>
      <c r="O224" s="121" t="n"/>
      <c r="P224" s="121" t="n"/>
      <c r="Q224" s="121" t="n"/>
      <c r="R224" s="121" t="n"/>
      <c r="S224" s="120" t="n"/>
      <c r="T224" s="121" t="n"/>
      <c r="U224" s="120" t="n"/>
      <c r="V224" s="120" t="n"/>
      <c r="W224" s="121" t="n"/>
      <c r="X224" s="121" t="n"/>
    </row>
    <row r="225" ht="17" customHeight="1">
      <c r="A225" s="119" t="inlineStr">
        <is>
          <t>calculate</t>
        </is>
      </c>
      <c r="B225" s="119" t="inlineStr">
        <is>
          <t>checkpoint1_correct_num_w3</t>
        </is>
      </c>
      <c r="C225" s="122" t="inlineStr">
        <is>
          <t>Pulls checkpoint correct indicator from weekly implementation server dataset</t>
        </is>
      </c>
      <c r="D225" s="120" t="n"/>
      <c r="E225" s="121" t="n"/>
      <c r="F225" s="121" t="n"/>
      <c r="G225" s="120" t="n"/>
      <c r="H225" s="120" t="n"/>
      <c r="I225" s="122" t="n"/>
      <c r="J225" s="119" t="n"/>
      <c r="K225" s="121" t="n"/>
      <c r="L225" s="120" t="n"/>
      <c r="M225" s="121" t="n"/>
      <c r="N225" s="122" t="inlineStr">
        <is>
          <t>pulldata('connected_impl_w3_ph', 'checkpoint1_correct_num_i', 'hhid', ${hhid})</t>
        </is>
      </c>
      <c r="O225" s="121" t="n"/>
      <c r="P225" s="121" t="n"/>
      <c r="Q225" s="121" t="n"/>
      <c r="R225" s="121" t="n"/>
      <c r="S225" s="120" t="n"/>
      <c r="T225" s="121" t="n"/>
      <c r="U225" s="120" t="n"/>
      <c r="V225" s="120" t="n"/>
      <c r="W225" s="121" t="n"/>
      <c r="X225" s="121" t="n"/>
    </row>
    <row r="226" ht="17" customHeight="1">
      <c r="A226" s="119" t="inlineStr">
        <is>
          <t>calculate</t>
        </is>
      </c>
      <c r="B226" s="119" t="inlineStr">
        <is>
          <t>checkpoint1_correct_num_lab_w3</t>
        </is>
      </c>
      <c r="C226" s="122" t="inlineStr">
        <is>
          <t>Pulls checkpoint correct indicator from weekly implementation server dataset</t>
        </is>
      </c>
      <c r="D226" s="120" t="n"/>
      <c r="E226" s="121" t="n"/>
      <c r="F226" s="121" t="n"/>
      <c r="G226" s="120" t="n"/>
      <c r="H226" s="120" t="n"/>
      <c r="I226" s="122" t="n"/>
      <c r="J226" s="119" t="n"/>
      <c r="K226" s="121" t="n"/>
      <c r="L226" s="120" t="n"/>
      <c r="M226" s="121" t="n"/>
      <c r="N226" s="122" t="inlineStr">
        <is>
          <t>pulldata('connected_impl_w3_ph', 'checkpoint1_correct_num_lab_i', 'hhid', ${hhid})</t>
        </is>
      </c>
      <c r="O226" s="121" t="n"/>
      <c r="P226" s="121" t="n"/>
      <c r="Q226" s="121" t="n"/>
      <c r="R226" s="121" t="n"/>
      <c r="S226" s="120" t="n"/>
      <c r="T226" s="121" t="n"/>
      <c r="U226" s="120" t="n"/>
      <c r="V226" s="120" t="n"/>
      <c r="W226" s="121" t="n"/>
      <c r="X226" s="121" t="n"/>
    </row>
    <row r="227" ht="17" customHeight="1">
      <c r="A227" s="119" t="inlineStr">
        <is>
          <t>calculate</t>
        </is>
      </c>
      <c r="B227" s="119" t="inlineStr">
        <is>
          <t>suggested_lesson4_i</t>
        </is>
      </c>
      <c r="C227" s="122" t="inlineStr">
        <is>
          <t>Pulls suggested tutorial lesson from weekly implementation server dataset</t>
        </is>
      </c>
      <c r="D227" s="120" t="n"/>
      <c r="E227" s="121" t="n"/>
      <c r="F227" s="121" t="n"/>
      <c r="G227" s="120" t="n"/>
      <c r="H227" s="120" t="n"/>
      <c r="I227" s="122" t="n"/>
      <c r="J227" s="119" t="n"/>
      <c r="K227" s="121" t="n"/>
      <c r="L227" s="120" t="n"/>
      <c r="M227" s="121" t="n"/>
      <c r="N227" s="122" t="inlineStr">
        <is>
          <t>pulldata('connected_impl_w3_ph', 'suggested_lesson_i', 'hhid', ${hhid})</t>
        </is>
      </c>
      <c r="O227" s="121" t="n"/>
      <c r="P227" s="121" t="n"/>
      <c r="Q227" s="121" t="n"/>
      <c r="R227" s="121" t="n"/>
      <c r="S227" s="120" t="n"/>
      <c r="T227" s="121" t="n"/>
      <c r="U227" s="120" t="n"/>
      <c r="V227" s="120" t="n"/>
      <c r="W227" s="121" t="n"/>
      <c r="X227" s="121" t="n"/>
    </row>
    <row r="228" ht="17" customHeight="1">
      <c r="A228" s="119" t="inlineStr">
        <is>
          <t>calculate</t>
        </is>
      </c>
      <c r="B228" s="119" t="inlineStr">
        <is>
          <t>suggested_lesson4_lab_i</t>
        </is>
      </c>
      <c r="C228" s="122" t="inlineStr">
        <is>
          <t>Pulls choice label of suggested tutorial lesson from weekly implementation server dataset</t>
        </is>
      </c>
      <c r="D228" s="120" t="n"/>
      <c r="E228" s="121" t="n"/>
      <c r="F228" s="121" t="n"/>
      <c r="G228" s="120" t="n"/>
      <c r="H228" s="120" t="n"/>
      <c r="I228" s="122" t="n"/>
      <c r="J228" s="119" t="n"/>
      <c r="K228" s="121" t="n"/>
      <c r="L228" s="120" t="n"/>
      <c r="M228" s="121" t="n"/>
      <c r="N228" s="122" t="inlineStr">
        <is>
          <t>pulldata('connected_impl_w3_ph', 'suggested_lesson_lab_i', 'hhid', ${hhid})</t>
        </is>
      </c>
      <c r="O228" s="121" t="n"/>
      <c r="P228" s="121" t="n"/>
      <c r="Q228" s="121" t="n"/>
      <c r="R228" s="121" t="n"/>
      <c r="S228" s="120" t="n"/>
      <c r="T228" s="121" t="n"/>
      <c r="U228" s="120" t="n"/>
      <c r="V228" s="120" t="n"/>
      <c r="W228" s="121" t="n"/>
      <c r="X228" s="121" t="n"/>
    </row>
    <row r="229" ht="17" customHeight="1">
      <c r="A229" s="128" t="inlineStr">
        <is>
          <t>calculate</t>
        </is>
      </c>
      <c r="B229" s="119" t="inlineStr">
        <is>
          <t>attendance_w4</t>
        </is>
      </c>
      <c r="C229" s="122" t="inlineStr">
        <is>
          <t>Pulls attendance from weekly implementation server dataset</t>
        </is>
      </c>
      <c r="D229" s="120" t="n"/>
      <c r="E229" s="121" t="n"/>
      <c r="F229" s="121" t="n"/>
      <c r="G229" s="120" t="n"/>
      <c r="H229" s="120" t="n"/>
      <c r="I229" s="122" t="n"/>
      <c r="J229" s="119" t="n"/>
      <c r="K229" s="121" t="n"/>
      <c r="L229" s="120" t="n"/>
      <c r="M229" s="121" t="n"/>
      <c r="N229" s="122" t="inlineStr">
        <is>
          <t>pulldata('connected_impl_w4_ph', 'stud_tutored_i', 'hhid', ${hhid})</t>
        </is>
      </c>
      <c r="O229" s="121" t="n"/>
      <c r="P229" s="121" t="n"/>
      <c r="Q229" s="121" t="n"/>
      <c r="R229" s="121" t="n"/>
      <c r="S229" s="120" t="n"/>
      <c r="T229" s="121" t="n"/>
      <c r="U229" s="120" t="n"/>
      <c r="V229" s="120" t="n"/>
      <c r="W229" s="121" t="n"/>
      <c r="X229" s="121" t="n"/>
    </row>
    <row r="230" ht="17" customHeight="1">
      <c r="A230" s="119" t="inlineStr">
        <is>
          <t>calculate</t>
        </is>
      </c>
      <c r="B230" s="119" t="inlineStr">
        <is>
          <t>operation_taught_num_w4</t>
        </is>
      </c>
      <c r="C230" s="122" t="inlineStr">
        <is>
          <t>Pulls operation taught during the week from weekly implementation server dataset</t>
        </is>
      </c>
      <c r="D230" s="120" t="n"/>
      <c r="E230" s="121" t="n"/>
      <c r="F230" s="121" t="n"/>
      <c r="G230" s="120" t="n"/>
      <c r="H230" s="120" t="n"/>
      <c r="I230" s="122" t="n"/>
      <c r="J230" s="119" t="n"/>
      <c r="K230" s="121" t="n"/>
      <c r="L230" s="120" t="n"/>
      <c r="M230" s="121" t="n"/>
      <c r="N230" s="122" t="inlineStr">
        <is>
          <t>pulldata('connected_impl_w4_ph', 'operation_taught_num_i', 'hhid', ${hhid})</t>
        </is>
      </c>
      <c r="O230" s="121" t="n"/>
      <c r="P230" s="121" t="n"/>
      <c r="Q230" s="121" t="n"/>
      <c r="R230" s="121" t="n"/>
      <c r="S230" s="120" t="n"/>
      <c r="T230" s="121" t="n"/>
      <c r="U230" s="120" t="n"/>
      <c r="V230" s="120" t="n"/>
      <c r="W230" s="121" t="n"/>
      <c r="X230" s="121" t="n"/>
    </row>
    <row r="231" ht="17" customHeight="1">
      <c r="A231" s="119" t="inlineStr">
        <is>
          <t>calculate</t>
        </is>
      </c>
      <c r="B231" s="119" t="inlineStr">
        <is>
          <t>operation_taught_num_lab_w4</t>
        </is>
      </c>
      <c r="C231" s="122" t="inlineStr">
        <is>
          <t>Pulls choice label of operation taught during the week from weekly implementation server dataset</t>
        </is>
      </c>
      <c r="D231" s="120" t="n"/>
      <c r="E231" s="121" t="n"/>
      <c r="F231" s="121" t="n"/>
      <c r="G231" s="120" t="n"/>
      <c r="H231" s="120" t="n"/>
      <c r="I231" s="122" t="n"/>
      <c r="J231" s="119" t="n"/>
      <c r="K231" s="121" t="n"/>
      <c r="L231" s="120" t="n"/>
      <c r="M231" s="121" t="n"/>
      <c r="N231" s="122" t="inlineStr">
        <is>
          <t>pulldata('connected_impl_w4_ph', 'operation_taught_num_lab_i', 'hhid', ${hhid})</t>
        </is>
      </c>
      <c r="O231" s="121" t="n"/>
      <c r="P231" s="121" t="n"/>
      <c r="Q231" s="121" t="n"/>
      <c r="R231" s="121" t="n"/>
      <c r="S231" s="120" t="n"/>
      <c r="T231" s="121" t="n"/>
      <c r="U231" s="120" t="n"/>
      <c r="V231" s="120" t="n"/>
      <c r="W231" s="121" t="n"/>
      <c r="X231" s="121" t="n"/>
    </row>
    <row r="232" ht="17" customHeight="1">
      <c r="A232" s="119" t="inlineStr">
        <is>
          <t>calculate</t>
        </is>
      </c>
      <c r="B232" s="119" t="inlineStr">
        <is>
          <t>checkpoint1_num_w4</t>
        </is>
      </c>
      <c r="C232" s="122" t="inlineStr">
        <is>
          <t>Pulls checkpoint question asked from weekly implementation server dataset</t>
        </is>
      </c>
      <c r="D232" s="120" t="n"/>
      <c r="E232" s="121" t="n"/>
      <c r="F232" s="121" t="n"/>
      <c r="G232" s="120" t="n"/>
      <c r="H232" s="120" t="n"/>
      <c r="I232" s="122" t="n"/>
      <c r="J232" s="119" t="n"/>
      <c r="K232" s="121" t="n"/>
      <c r="L232" s="120" t="n"/>
      <c r="M232" s="121" t="n"/>
      <c r="N232" s="122" t="inlineStr">
        <is>
          <t>pulldata('connected_impl_w4_ph', 'checkpoint1_num_i', 'hhid', ${hhid})</t>
        </is>
      </c>
      <c r="O232" s="121" t="n"/>
      <c r="P232" s="121" t="n"/>
      <c r="Q232" s="121" t="n"/>
      <c r="R232" s="121" t="n"/>
      <c r="S232" s="120" t="n"/>
      <c r="T232" s="121" t="n"/>
      <c r="U232" s="120" t="n"/>
      <c r="V232" s="120" t="n"/>
      <c r="W232" s="121" t="n"/>
      <c r="X232" s="121" t="n"/>
    </row>
    <row r="233" ht="17" customHeight="1">
      <c r="A233" s="119" t="inlineStr">
        <is>
          <t>calculate</t>
        </is>
      </c>
      <c r="B233" s="119" t="inlineStr">
        <is>
          <t>checkpoint1_num_lab_w4</t>
        </is>
      </c>
      <c r="C233" s="122" t="inlineStr">
        <is>
          <t>Pulls checkpoint question asked from weekly implementation server dataset</t>
        </is>
      </c>
      <c r="D233" s="120" t="n"/>
      <c r="E233" s="121" t="n"/>
      <c r="F233" s="121" t="n"/>
      <c r="G233" s="120" t="n"/>
      <c r="H233" s="120" t="n"/>
      <c r="I233" s="122" t="n"/>
      <c r="J233" s="119" t="n"/>
      <c r="K233" s="121" t="n"/>
      <c r="L233" s="120" t="n"/>
      <c r="M233" s="121" t="n"/>
      <c r="N233" s="122" t="inlineStr">
        <is>
          <t>pulldata('connected_impl_w4_ph', 'checkpoint1_num_lab_i', 'hhid', ${hhid})</t>
        </is>
      </c>
      <c r="O233" s="121" t="n"/>
      <c r="P233" s="121" t="n"/>
      <c r="Q233" s="121" t="n"/>
      <c r="R233" s="121" t="n"/>
      <c r="S233" s="120" t="n"/>
      <c r="T233" s="121" t="n"/>
      <c r="U233" s="120" t="n"/>
      <c r="V233" s="120" t="n"/>
      <c r="W233" s="121" t="n"/>
      <c r="X233" s="121" t="n"/>
    </row>
    <row r="234" ht="17" customHeight="1">
      <c r="A234" s="119" t="inlineStr">
        <is>
          <t>calculate</t>
        </is>
      </c>
      <c r="B234" s="119" t="inlineStr">
        <is>
          <t>checkpoint1_correct_num_w4</t>
        </is>
      </c>
      <c r="C234" s="122" t="inlineStr">
        <is>
          <t>Pulls checkpoint correct indicator from weekly implementation server dataset</t>
        </is>
      </c>
      <c r="D234" s="120" t="n"/>
      <c r="E234" s="121" t="n"/>
      <c r="F234" s="121" t="n"/>
      <c r="G234" s="120" t="n"/>
      <c r="H234" s="120" t="n"/>
      <c r="I234" s="122" t="n"/>
      <c r="J234" s="119" t="n"/>
      <c r="K234" s="121" t="n"/>
      <c r="L234" s="120" t="n"/>
      <c r="M234" s="121" t="n"/>
      <c r="N234" s="122" t="inlineStr">
        <is>
          <t>pulldata('connected_impl_w4_ph', 'checkpoint1_correct_num_i', 'hhid', ${hhid})</t>
        </is>
      </c>
      <c r="O234" s="121" t="n"/>
      <c r="P234" s="121" t="n"/>
      <c r="Q234" s="121" t="n"/>
      <c r="R234" s="121" t="n"/>
      <c r="S234" s="120" t="n"/>
      <c r="T234" s="121" t="n"/>
      <c r="U234" s="120" t="n"/>
      <c r="V234" s="120" t="n"/>
      <c r="W234" s="121" t="n"/>
      <c r="X234" s="121" t="n"/>
    </row>
    <row r="235" ht="17" customHeight="1">
      <c r="A235" s="119" t="inlineStr">
        <is>
          <t>calculate</t>
        </is>
      </c>
      <c r="B235" s="119" t="inlineStr">
        <is>
          <t>checkpoint1_correct_num_lab_w4</t>
        </is>
      </c>
      <c r="C235" s="122" t="inlineStr">
        <is>
          <t>Pulls checkpoint correct indicator from weekly implementation server dataset</t>
        </is>
      </c>
      <c r="D235" s="120" t="n"/>
      <c r="E235" s="121" t="n"/>
      <c r="F235" s="121" t="n"/>
      <c r="G235" s="120" t="n"/>
      <c r="H235" s="120" t="n"/>
      <c r="I235" s="122" t="n"/>
      <c r="J235" s="119" t="n"/>
      <c r="K235" s="121" t="n"/>
      <c r="L235" s="120" t="n"/>
      <c r="M235" s="121" t="n"/>
      <c r="N235" s="122" t="inlineStr">
        <is>
          <t>pulldata('connected_impl_w4_ph', 'checkpoint1_correct_num_lab_i', 'hhid', ${hhid})</t>
        </is>
      </c>
      <c r="O235" s="121" t="n"/>
      <c r="P235" s="121" t="n"/>
      <c r="Q235" s="121" t="n"/>
      <c r="R235" s="121" t="n"/>
      <c r="S235" s="120" t="n"/>
      <c r="T235" s="121" t="n"/>
      <c r="U235" s="120" t="n"/>
      <c r="V235" s="120" t="n"/>
      <c r="W235" s="121" t="n"/>
      <c r="X235" s="121" t="n"/>
    </row>
    <row r="236" ht="17" customHeight="1">
      <c r="A236" s="119" t="inlineStr">
        <is>
          <t>calculate</t>
        </is>
      </c>
      <c r="B236" s="119" t="inlineStr">
        <is>
          <t>suggested_lesson5_i</t>
        </is>
      </c>
      <c r="C236" s="122" t="inlineStr">
        <is>
          <t>Pulls suggested tutorial lesson from weekly implementation server dataset</t>
        </is>
      </c>
      <c r="D236" s="120" t="n"/>
      <c r="E236" s="121" t="n"/>
      <c r="F236" s="121" t="n"/>
      <c r="G236" s="120" t="n"/>
      <c r="H236" s="120" t="n"/>
      <c r="I236" s="122" t="n"/>
      <c r="J236" s="119" t="n"/>
      <c r="K236" s="121" t="n"/>
      <c r="L236" s="120" t="n"/>
      <c r="M236" s="121" t="n"/>
      <c r="N236" s="122" t="inlineStr">
        <is>
          <t>pulldata('connected_impl_w4_ph', 'suggested_lesson_i', 'hhid', ${hhid})</t>
        </is>
      </c>
      <c r="O236" s="121" t="n"/>
      <c r="P236" s="121" t="n"/>
      <c r="Q236" s="121" t="n"/>
      <c r="R236" s="121" t="n"/>
      <c r="S236" s="120" t="n"/>
      <c r="T236" s="121" t="n"/>
      <c r="U236" s="120" t="n"/>
      <c r="V236" s="120" t="n"/>
      <c r="W236" s="121" t="n"/>
      <c r="X236" s="121" t="n"/>
    </row>
    <row r="237" ht="17" customHeight="1">
      <c r="A237" s="119" t="inlineStr">
        <is>
          <t>calculate</t>
        </is>
      </c>
      <c r="B237" s="119" t="inlineStr">
        <is>
          <t>suggested_lesson5_lab_i</t>
        </is>
      </c>
      <c r="C237" s="122" t="inlineStr">
        <is>
          <t>Pulls choice label of suggested tutorial lesson from weekly implementation server dataset</t>
        </is>
      </c>
      <c r="D237" s="120" t="n"/>
      <c r="E237" s="121" t="n"/>
      <c r="F237" s="121" t="n"/>
      <c r="G237" s="120" t="n"/>
      <c r="H237" s="120" t="n"/>
      <c r="I237" s="122" t="n"/>
      <c r="J237" s="119" t="n"/>
      <c r="K237" s="121" t="n"/>
      <c r="L237" s="120" t="n"/>
      <c r="M237" s="121" t="n"/>
      <c r="N237" s="122" t="inlineStr">
        <is>
          <t>pulldata('connected_impl_w4_ph', 'suggested_lesson_lab_i', 'hhid', ${hhid})</t>
        </is>
      </c>
      <c r="O237" s="121" t="n"/>
      <c r="P237" s="121" t="n"/>
      <c r="Q237" s="121" t="n"/>
      <c r="R237" s="121" t="n"/>
      <c r="S237" s="120" t="n"/>
      <c r="T237" s="121" t="n"/>
      <c r="U237" s="120" t="n"/>
      <c r="V237" s="120" t="n"/>
      <c r="W237" s="121" t="n"/>
      <c r="X237" s="121" t="n"/>
    </row>
    <row r="238" ht="17" customHeight="1">
      <c r="A238" s="128" t="inlineStr">
        <is>
          <t>calculate</t>
        </is>
      </c>
      <c r="B238" s="119" t="inlineStr">
        <is>
          <t>attendance_w5</t>
        </is>
      </c>
      <c r="C238" s="122" t="inlineStr">
        <is>
          <t>Pulls attendance from weekly implementation server dataset</t>
        </is>
      </c>
      <c r="D238" s="120" t="n"/>
      <c r="E238" s="121" t="n"/>
      <c r="F238" s="121" t="n"/>
      <c r="G238" s="120" t="n"/>
      <c r="H238" s="120" t="n"/>
      <c r="I238" s="122" t="n"/>
      <c r="J238" s="119" t="n"/>
      <c r="K238" s="121" t="n"/>
      <c r="L238" s="120" t="n"/>
      <c r="M238" s="121" t="n"/>
      <c r="N238" s="122" t="inlineStr">
        <is>
          <t>pulldata('connected_impl_w5_ph', 'stud_tutored_i', 'hhid', ${hhid})</t>
        </is>
      </c>
      <c r="O238" s="121" t="n"/>
      <c r="P238" s="121" t="n"/>
      <c r="Q238" s="121" t="n"/>
      <c r="R238" s="121" t="n"/>
      <c r="S238" s="120" t="n"/>
      <c r="T238" s="121" t="n"/>
      <c r="U238" s="120" t="n"/>
      <c r="V238" s="120" t="n"/>
      <c r="W238" s="121" t="n"/>
      <c r="X238" s="121" t="n"/>
    </row>
    <row r="239" ht="17" customHeight="1">
      <c r="A239" s="119" t="inlineStr">
        <is>
          <t>calculate</t>
        </is>
      </c>
      <c r="B239" s="119" t="inlineStr">
        <is>
          <t>operation_taught_num_w5</t>
        </is>
      </c>
      <c r="C239" s="122" t="inlineStr">
        <is>
          <t>Pulls operation taught during the week from weekly implementation server dataset</t>
        </is>
      </c>
      <c r="D239" s="120" t="n"/>
      <c r="E239" s="121" t="n"/>
      <c r="F239" s="121" t="n"/>
      <c r="G239" s="120" t="n"/>
      <c r="H239" s="120" t="n"/>
      <c r="I239" s="122" t="n"/>
      <c r="J239" s="119" t="n"/>
      <c r="K239" s="121" t="n"/>
      <c r="L239" s="120" t="n"/>
      <c r="M239" s="121" t="n"/>
      <c r="N239" s="122" t="inlineStr">
        <is>
          <t>pulldata('connected_impl_w5_ph', 'operation_taught_num_i', 'hhid', ${hhid})</t>
        </is>
      </c>
      <c r="O239" s="121" t="n"/>
      <c r="P239" s="121" t="n"/>
      <c r="Q239" s="121" t="n"/>
      <c r="R239" s="121" t="n"/>
      <c r="S239" s="120" t="n"/>
      <c r="T239" s="121" t="n"/>
      <c r="U239" s="120" t="n"/>
      <c r="V239" s="120" t="n"/>
      <c r="W239" s="121" t="n"/>
      <c r="X239" s="121" t="n"/>
    </row>
    <row r="240" ht="17" customHeight="1">
      <c r="A240" s="119" t="inlineStr">
        <is>
          <t>calculate</t>
        </is>
      </c>
      <c r="B240" s="119" t="inlineStr">
        <is>
          <t>operation_taught_num_lab_w5</t>
        </is>
      </c>
      <c r="C240" s="122" t="inlineStr">
        <is>
          <t>Pulls choice label of operation taught during the week from weekly implementation server dataset</t>
        </is>
      </c>
      <c r="D240" s="120" t="n"/>
      <c r="E240" s="121" t="n"/>
      <c r="F240" s="121" t="n"/>
      <c r="G240" s="120" t="n"/>
      <c r="H240" s="120" t="n"/>
      <c r="I240" s="122" t="n"/>
      <c r="J240" s="119" t="n"/>
      <c r="K240" s="121" t="n"/>
      <c r="L240" s="120" t="n"/>
      <c r="M240" s="121" t="n"/>
      <c r="N240" s="122" t="inlineStr">
        <is>
          <t>pulldata('connected_impl_w5_ph', 'operation_taught_num_lab_i', 'hhid', ${hhid})</t>
        </is>
      </c>
      <c r="O240" s="121" t="n"/>
      <c r="P240" s="121" t="n"/>
      <c r="Q240" s="121" t="n"/>
      <c r="R240" s="121" t="n"/>
      <c r="S240" s="120" t="n"/>
      <c r="T240" s="121" t="n"/>
      <c r="U240" s="120" t="n"/>
      <c r="V240" s="120" t="n"/>
      <c r="W240" s="121" t="n"/>
      <c r="X240" s="121" t="n"/>
    </row>
    <row r="241" ht="17" customHeight="1">
      <c r="A241" s="119" t="inlineStr">
        <is>
          <t>calculate</t>
        </is>
      </c>
      <c r="B241" s="119" t="inlineStr">
        <is>
          <t>checkpoint1_num_w5</t>
        </is>
      </c>
      <c r="C241" s="122" t="inlineStr">
        <is>
          <t>Pulls checkpoint question asked from weekly implementation server dataset</t>
        </is>
      </c>
      <c r="D241" s="120" t="n"/>
      <c r="E241" s="121" t="n"/>
      <c r="F241" s="121" t="n"/>
      <c r="G241" s="120" t="n"/>
      <c r="H241" s="120" t="n"/>
      <c r="I241" s="122" t="n"/>
      <c r="J241" s="119" t="n"/>
      <c r="K241" s="121" t="n"/>
      <c r="L241" s="120" t="n"/>
      <c r="M241" s="121" t="n"/>
      <c r="N241" s="122" t="inlineStr">
        <is>
          <t>pulldata('connected_impl_w5_ph', 'checkpoint1_num_i', 'hhid', ${hhid})</t>
        </is>
      </c>
      <c r="O241" s="121" t="n"/>
      <c r="P241" s="121" t="n"/>
      <c r="Q241" s="121" t="n"/>
      <c r="R241" s="121" t="n"/>
      <c r="S241" s="120" t="n"/>
      <c r="T241" s="121" t="n"/>
      <c r="U241" s="120" t="n"/>
      <c r="V241" s="120" t="n"/>
      <c r="W241" s="121" t="n"/>
      <c r="X241" s="121" t="n"/>
    </row>
    <row r="242" ht="17" customHeight="1">
      <c r="A242" s="119" t="inlineStr">
        <is>
          <t>calculate</t>
        </is>
      </c>
      <c r="B242" s="119" t="inlineStr">
        <is>
          <t>checkpoint1_num_lab_w5</t>
        </is>
      </c>
      <c r="C242" s="122" t="inlineStr">
        <is>
          <t>Pulls checkpoint question asked from weekly implementation server dataset</t>
        </is>
      </c>
      <c r="D242" s="120" t="n"/>
      <c r="E242" s="121" t="n"/>
      <c r="F242" s="121" t="n"/>
      <c r="G242" s="120" t="n"/>
      <c r="H242" s="120" t="n"/>
      <c r="I242" s="122" t="n"/>
      <c r="J242" s="119" t="n"/>
      <c r="K242" s="121" t="n"/>
      <c r="L242" s="120" t="n"/>
      <c r="M242" s="121" t="n"/>
      <c r="N242" s="122" t="inlineStr">
        <is>
          <t>pulldata('connected_impl_w5_ph', 'checkpoint1_num_lab_i', 'hhid', ${hhid})</t>
        </is>
      </c>
      <c r="O242" s="121" t="n"/>
      <c r="P242" s="121" t="n"/>
      <c r="Q242" s="121" t="n"/>
      <c r="R242" s="121" t="n"/>
      <c r="S242" s="120" t="n"/>
      <c r="T242" s="121" t="n"/>
      <c r="U242" s="120" t="n"/>
      <c r="V242" s="120" t="n"/>
      <c r="W242" s="121" t="n"/>
      <c r="X242" s="121" t="n"/>
    </row>
    <row r="243" ht="17" customHeight="1">
      <c r="A243" s="119" t="inlineStr">
        <is>
          <t>calculate</t>
        </is>
      </c>
      <c r="B243" s="119" t="inlineStr">
        <is>
          <t>checkpoint1_correct_num_w5</t>
        </is>
      </c>
      <c r="C243" s="122" t="inlineStr">
        <is>
          <t>Pulls checkpoint correct indicator from weekly implementation server dataset</t>
        </is>
      </c>
      <c r="D243" s="120" t="n"/>
      <c r="E243" s="121" t="n"/>
      <c r="F243" s="121" t="n"/>
      <c r="G243" s="120" t="n"/>
      <c r="H243" s="120" t="n"/>
      <c r="I243" s="122" t="n"/>
      <c r="J243" s="119" t="n"/>
      <c r="K243" s="121" t="n"/>
      <c r="L243" s="120" t="n"/>
      <c r="M243" s="121" t="n"/>
      <c r="N243" s="122" t="inlineStr">
        <is>
          <t>pulldata('connected_impl_w5_ph', 'checkpoint1_correct_num_i', 'hhid', ${hhid})</t>
        </is>
      </c>
      <c r="O243" s="121" t="n"/>
      <c r="P243" s="121" t="n"/>
      <c r="Q243" s="121" t="n"/>
      <c r="R243" s="121" t="n"/>
      <c r="S243" s="120" t="n"/>
      <c r="T243" s="121" t="n"/>
      <c r="U243" s="120" t="n"/>
      <c r="V243" s="120" t="n"/>
      <c r="W243" s="121" t="n"/>
      <c r="X243" s="121" t="n"/>
    </row>
    <row r="244" ht="17" customHeight="1">
      <c r="A244" s="119" t="inlineStr">
        <is>
          <t>calculate</t>
        </is>
      </c>
      <c r="B244" s="119" t="inlineStr">
        <is>
          <t>checkpoint1_correct_num_lab_w5</t>
        </is>
      </c>
      <c r="C244" s="122" t="inlineStr">
        <is>
          <t>Pulls checkpoint correct indicator from weekly implementation server dataset</t>
        </is>
      </c>
      <c r="D244" s="120" t="n"/>
      <c r="E244" s="121" t="n"/>
      <c r="F244" s="121" t="n"/>
      <c r="G244" s="120" t="n"/>
      <c r="H244" s="120" t="n"/>
      <c r="I244" s="122" t="n"/>
      <c r="J244" s="119" t="n"/>
      <c r="K244" s="121" t="n"/>
      <c r="L244" s="120" t="n"/>
      <c r="M244" s="121" t="n"/>
      <c r="N244" s="122" t="inlineStr">
        <is>
          <t>pulldata('connected_impl_w5_ph', 'checkpoint1_correct_num_lab_i', 'hhid', ${hhid})</t>
        </is>
      </c>
      <c r="O244" s="121" t="n"/>
      <c r="P244" s="121" t="n"/>
      <c r="Q244" s="121" t="n"/>
      <c r="R244" s="121" t="n"/>
      <c r="S244" s="120" t="n"/>
      <c r="T244" s="121" t="n"/>
      <c r="U244" s="120" t="n"/>
      <c r="V244" s="120" t="n"/>
      <c r="W244" s="121" t="n"/>
      <c r="X244" s="121" t="n"/>
    </row>
    <row r="245" ht="17" customHeight="1">
      <c r="A245" s="119" t="inlineStr">
        <is>
          <t>calculate</t>
        </is>
      </c>
      <c r="B245" s="119" t="inlineStr">
        <is>
          <t>suggested_lesson6_i</t>
        </is>
      </c>
      <c r="C245" s="122" t="inlineStr">
        <is>
          <t>Pulls suggested tutorial lesson from weekly implementation server dataset</t>
        </is>
      </c>
      <c r="D245" s="120" t="n"/>
      <c r="E245" s="121" t="n"/>
      <c r="F245" s="121" t="n"/>
      <c r="G245" s="120" t="n"/>
      <c r="H245" s="120" t="n"/>
      <c r="I245" s="122" t="n"/>
      <c r="J245" s="119" t="n"/>
      <c r="K245" s="121" t="n"/>
      <c r="L245" s="120" t="n"/>
      <c r="M245" s="121" t="n"/>
      <c r="N245" s="122" t="inlineStr">
        <is>
          <t>pulldata('connected_impl_w5_ph', 'suggested_lesson_i', 'hhid', ${hhid})</t>
        </is>
      </c>
      <c r="O245" s="121" t="n"/>
      <c r="P245" s="121" t="n"/>
      <c r="Q245" s="121" t="n"/>
      <c r="R245" s="121" t="n"/>
      <c r="S245" s="120" t="n"/>
      <c r="T245" s="121" t="n"/>
      <c r="U245" s="120" t="n"/>
      <c r="V245" s="120" t="n"/>
      <c r="W245" s="121" t="n"/>
      <c r="X245" s="121" t="n"/>
    </row>
    <row r="246" ht="17" customHeight="1">
      <c r="A246" s="119" t="inlineStr">
        <is>
          <t>calculate</t>
        </is>
      </c>
      <c r="B246" s="119" t="inlineStr">
        <is>
          <t>suggested_lesson6_lab_i</t>
        </is>
      </c>
      <c r="C246" s="122" t="inlineStr">
        <is>
          <t>Pulls choice label of suggested tutorial lesson from weekly implementation server dataset</t>
        </is>
      </c>
      <c r="D246" s="120" t="n"/>
      <c r="E246" s="121" t="n"/>
      <c r="F246" s="121" t="n"/>
      <c r="G246" s="120" t="n"/>
      <c r="H246" s="120" t="n"/>
      <c r="I246" s="122" t="n"/>
      <c r="J246" s="119" t="n"/>
      <c r="K246" s="121" t="n"/>
      <c r="L246" s="120" t="n"/>
      <c r="M246" s="121" t="n"/>
      <c r="N246" s="122" t="inlineStr">
        <is>
          <t>pulldata('connected_impl_w5_ph', 'suggested_lesson_lab_i', 'hhid', ${hhid})</t>
        </is>
      </c>
      <c r="O246" s="121" t="n"/>
      <c r="P246" s="121" t="n"/>
      <c r="Q246" s="121" t="n"/>
      <c r="R246" s="121" t="n"/>
      <c r="S246" s="120" t="n"/>
      <c r="T246" s="121" t="n"/>
      <c r="U246" s="120" t="n"/>
      <c r="V246" s="120" t="n"/>
      <c r="W246" s="121" t="n"/>
      <c r="X246" s="121" t="n"/>
    </row>
    <row r="247" ht="17" customHeight="1">
      <c r="A247" s="128" t="inlineStr">
        <is>
          <t>calculate</t>
        </is>
      </c>
      <c r="B247" s="119" t="inlineStr">
        <is>
          <t>attendance_w6</t>
        </is>
      </c>
      <c r="C247" s="122" t="inlineStr">
        <is>
          <t>Pulls attendance from weekly implementation server dataset</t>
        </is>
      </c>
      <c r="D247" s="120" t="n"/>
      <c r="E247" s="121" t="n"/>
      <c r="F247" s="121" t="n"/>
      <c r="G247" s="120" t="n"/>
      <c r="H247" s="120" t="n"/>
      <c r="I247" s="122" t="n"/>
      <c r="J247" s="119" t="n"/>
      <c r="K247" s="121" t="n"/>
      <c r="L247" s="120" t="n"/>
      <c r="M247" s="121" t="n"/>
      <c r="N247" s="122" t="inlineStr">
        <is>
          <t>pulldata('connected_impl_w6_ph', 'stud_tutored_i', 'hhid', ${hhid})</t>
        </is>
      </c>
      <c r="O247" s="121" t="n"/>
      <c r="P247" s="121" t="n"/>
      <c r="Q247" s="121" t="n"/>
      <c r="R247" s="121" t="n"/>
      <c r="S247" s="120" t="n"/>
      <c r="T247" s="121" t="n"/>
      <c r="U247" s="120" t="n"/>
      <c r="V247" s="120" t="n"/>
      <c r="W247" s="121" t="n"/>
      <c r="X247" s="121" t="n"/>
    </row>
    <row r="248" ht="17" customHeight="1">
      <c r="A248" s="119" t="inlineStr">
        <is>
          <t>calculate</t>
        </is>
      </c>
      <c r="B248" s="119" t="inlineStr">
        <is>
          <t>operation_taught_num_w6</t>
        </is>
      </c>
      <c r="C248" s="122" t="inlineStr">
        <is>
          <t>Pulls operation taught during the week from weekly implementation server dataset</t>
        </is>
      </c>
      <c r="D248" s="120" t="n"/>
      <c r="E248" s="121" t="n"/>
      <c r="F248" s="121" t="n"/>
      <c r="G248" s="120" t="n"/>
      <c r="H248" s="120" t="n"/>
      <c r="I248" s="122" t="n"/>
      <c r="J248" s="119" t="n"/>
      <c r="K248" s="121" t="n"/>
      <c r="L248" s="120" t="n"/>
      <c r="M248" s="121" t="n"/>
      <c r="N248" s="122" t="inlineStr">
        <is>
          <t>pulldata('connected_impl_w6_ph', 'operation_taught_num_i', 'hhid', ${hhid})</t>
        </is>
      </c>
      <c r="O248" s="121" t="n"/>
      <c r="P248" s="121" t="n"/>
      <c r="Q248" s="121" t="n"/>
      <c r="R248" s="121" t="n"/>
      <c r="S248" s="120" t="n"/>
      <c r="T248" s="121" t="n"/>
      <c r="U248" s="120" t="n"/>
      <c r="V248" s="120" t="n"/>
      <c r="W248" s="121" t="n"/>
      <c r="X248" s="121" t="n"/>
    </row>
    <row r="249" ht="17" customHeight="1">
      <c r="A249" s="119" t="inlineStr">
        <is>
          <t>calculate</t>
        </is>
      </c>
      <c r="B249" s="119" t="inlineStr">
        <is>
          <t>operation_taught_num_lab_w6</t>
        </is>
      </c>
      <c r="C249" s="122" t="inlineStr">
        <is>
          <t>Pulls choice label of operation taught during the week from weekly implementation server dataset</t>
        </is>
      </c>
      <c r="D249" s="120" t="n"/>
      <c r="E249" s="121" t="n"/>
      <c r="F249" s="121" t="n"/>
      <c r="G249" s="120" t="n"/>
      <c r="H249" s="120" t="n"/>
      <c r="I249" s="122" t="n"/>
      <c r="J249" s="119" t="n"/>
      <c r="K249" s="121" t="n"/>
      <c r="L249" s="120" t="n"/>
      <c r="M249" s="121" t="n"/>
      <c r="N249" s="122" t="inlineStr">
        <is>
          <t>pulldata('connected_impl_w6_ph', 'operation_taught_num_lab_i', 'hhid', ${hhid})</t>
        </is>
      </c>
      <c r="O249" s="121" t="n"/>
      <c r="P249" s="121" t="n"/>
      <c r="Q249" s="121" t="n"/>
      <c r="R249" s="121" t="n"/>
      <c r="S249" s="120" t="n"/>
      <c r="T249" s="121" t="n"/>
      <c r="U249" s="120" t="n"/>
      <c r="V249" s="120" t="n"/>
      <c r="W249" s="121" t="n"/>
      <c r="X249" s="121" t="n"/>
    </row>
    <row r="250" ht="17" customHeight="1">
      <c r="A250" s="119" t="inlineStr">
        <is>
          <t>calculate</t>
        </is>
      </c>
      <c r="B250" s="119" t="inlineStr">
        <is>
          <t>checkpoint1_num_w6</t>
        </is>
      </c>
      <c r="C250" s="122" t="inlineStr">
        <is>
          <t>Pulls checkpoint question asked from weekly implementation server dataset</t>
        </is>
      </c>
      <c r="D250" s="120" t="n"/>
      <c r="E250" s="121" t="n"/>
      <c r="F250" s="121" t="n"/>
      <c r="G250" s="120" t="n"/>
      <c r="H250" s="120" t="n"/>
      <c r="I250" s="122" t="n"/>
      <c r="J250" s="119" t="n"/>
      <c r="K250" s="121" t="n"/>
      <c r="L250" s="120" t="n"/>
      <c r="M250" s="121" t="n"/>
      <c r="N250" s="122" t="inlineStr">
        <is>
          <t>pulldata('connected_impl_w6_ph', 'checkpoint1_num_i', 'hhid', ${hhid})</t>
        </is>
      </c>
      <c r="O250" s="121" t="n"/>
      <c r="P250" s="121" t="n"/>
      <c r="Q250" s="121" t="n"/>
      <c r="R250" s="121" t="n"/>
      <c r="S250" s="120" t="n"/>
      <c r="T250" s="121" t="n"/>
      <c r="U250" s="120" t="n"/>
      <c r="V250" s="120" t="n"/>
      <c r="W250" s="121" t="n"/>
      <c r="X250" s="121" t="n"/>
    </row>
    <row r="251" ht="17" customHeight="1">
      <c r="A251" s="119" t="inlineStr">
        <is>
          <t>calculate</t>
        </is>
      </c>
      <c r="B251" s="119" t="inlineStr">
        <is>
          <t>checkpoint1_num_lab_w6</t>
        </is>
      </c>
      <c r="C251" s="122" t="inlineStr">
        <is>
          <t>Pulls checkpoint question asked from weekly implementation server dataset</t>
        </is>
      </c>
      <c r="D251" s="120" t="n"/>
      <c r="E251" s="121" t="n"/>
      <c r="F251" s="121" t="n"/>
      <c r="G251" s="120" t="n"/>
      <c r="H251" s="120" t="n"/>
      <c r="I251" s="122" t="n"/>
      <c r="J251" s="119" t="n"/>
      <c r="K251" s="121" t="n"/>
      <c r="L251" s="120" t="n"/>
      <c r="M251" s="121" t="n"/>
      <c r="N251" s="122" t="inlineStr">
        <is>
          <t>pulldata('connected_impl_w6_ph', 'checkpoint1_num_lab_i', 'hhid', ${hhid})</t>
        </is>
      </c>
      <c r="O251" s="121" t="n"/>
      <c r="P251" s="121" t="n"/>
      <c r="Q251" s="121" t="n"/>
      <c r="R251" s="121" t="n"/>
      <c r="S251" s="120" t="n"/>
      <c r="T251" s="121" t="n"/>
      <c r="U251" s="120" t="n"/>
      <c r="V251" s="120" t="n"/>
      <c r="W251" s="121" t="n"/>
      <c r="X251" s="121" t="n"/>
    </row>
    <row r="252" ht="17" customHeight="1">
      <c r="A252" s="119" t="inlineStr">
        <is>
          <t>calculate</t>
        </is>
      </c>
      <c r="B252" s="119" t="inlineStr">
        <is>
          <t>checkpoint1_correct_num_w6</t>
        </is>
      </c>
      <c r="C252" s="122" t="inlineStr">
        <is>
          <t>Pulls checkpoint correct indicator from weekly implementation server dataset</t>
        </is>
      </c>
      <c r="D252" s="120" t="n"/>
      <c r="E252" s="121" t="n"/>
      <c r="F252" s="121" t="n"/>
      <c r="G252" s="120" t="n"/>
      <c r="H252" s="120" t="n"/>
      <c r="I252" s="122" t="n"/>
      <c r="J252" s="119" t="n"/>
      <c r="K252" s="121" t="n"/>
      <c r="L252" s="120" t="n"/>
      <c r="M252" s="121" t="n"/>
      <c r="N252" s="122" t="inlineStr">
        <is>
          <t>pulldata('connected_impl_w6_ph', 'checkpoint1_correct_num_i', 'hhid', ${hhid})</t>
        </is>
      </c>
      <c r="O252" s="121" t="n"/>
      <c r="P252" s="121" t="n"/>
      <c r="Q252" s="121" t="n"/>
      <c r="R252" s="121" t="n"/>
      <c r="S252" s="120" t="n"/>
      <c r="T252" s="121" t="n"/>
      <c r="U252" s="120" t="n"/>
      <c r="V252" s="120" t="n"/>
      <c r="W252" s="121" t="n"/>
      <c r="X252" s="121" t="n"/>
    </row>
    <row r="253" ht="17" customHeight="1">
      <c r="A253" s="119" t="inlineStr">
        <is>
          <t>calculate</t>
        </is>
      </c>
      <c r="B253" s="119" t="inlineStr">
        <is>
          <t>checkpoint1_correct_num_lab_w6</t>
        </is>
      </c>
      <c r="C253" s="122" t="inlineStr">
        <is>
          <t>Pulls checkpoint correct indicator from weekly implementation server dataset</t>
        </is>
      </c>
      <c r="D253" s="120" t="n"/>
      <c r="E253" s="121" t="n"/>
      <c r="F253" s="121" t="n"/>
      <c r="G253" s="120" t="n"/>
      <c r="H253" s="120" t="n"/>
      <c r="I253" s="122" t="n"/>
      <c r="J253" s="119" t="n"/>
      <c r="K253" s="121" t="n"/>
      <c r="L253" s="120" t="n"/>
      <c r="M253" s="121" t="n"/>
      <c r="N253" s="122" t="inlineStr">
        <is>
          <t>pulldata('connected_impl_w6_ph', 'checkpoint1_correct_num_lab_i', 'hhid', ${hhid})</t>
        </is>
      </c>
      <c r="O253" s="121" t="n"/>
      <c r="P253" s="121" t="n"/>
      <c r="Q253" s="121" t="n"/>
      <c r="R253" s="121" t="n"/>
      <c r="S253" s="120" t="n"/>
      <c r="T253" s="121" t="n"/>
      <c r="U253" s="120" t="n"/>
      <c r="V253" s="120" t="n"/>
      <c r="W253" s="121" t="n"/>
      <c r="X253" s="121" t="n"/>
    </row>
    <row r="254" ht="17" customHeight="1">
      <c r="A254" s="119" t="inlineStr">
        <is>
          <t>calculate</t>
        </is>
      </c>
      <c r="B254" s="119" t="inlineStr">
        <is>
          <t>suggested_lesson7_i</t>
        </is>
      </c>
      <c r="C254" s="122" t="inlineStr">
        <is>
          <t>Pulls suggested tutorial lesson from weekly implementation server dataset</t>
        </is>
      </c>
      <c r="D254" s="120" t="n"/>
      <c r="E254" s="121" t="n"/>
      <c r="F254" s="121" t="n"/>
      <c r="G254" s="120" t="n"/>
      <c r="H254" s="120" t="n"/>
      <c r="I254" s="122" t="n"/>
      <c r="J254" s="119" t="n"/>
      <c r="K254" s="121" t="n"/>
      <c r="L254" s="120" t="n"/>
      <c r="M254" s="121" t="n"/>
      <c r="N254" s="122" t="inlineStr">
        <is>
          <t>pulldata('connected_impl_w6_ph', 'suggested_lesson_i', 'hhid', ${hhid})</t>
        </is>
      </c>
      <c r="O254" s="121" t="n"/>
      <c r="P254" s="121" t="n"/>
      <c r="Q254" s="121" t="n"/>
      <c r="R254" s="121" t="n"/>
      <c r="S254" s="120" t="n"/>
      <c r="T254" s="121" t="n"/>
      <c r="U254" s="120" t="n"/>
      <c r="V254" s="120" t="n"/>
      <c r="W254" s="121" t="n"/>
      <c r="X254" s="121" t="n"/>
    </row>
    <row r="255" ht="17" customHeight="1">
      <c r="A255" s="119" t="inlineStr">
        <is>
          <t>calculate</t>
        </is>
      </c>
      <c r="B255" s="119" t="inlineStr">
        <is>
          <t>suggested_lesson7_lab_i</t>
        </is>
      </c>
      <c r="C255" s="122" t="inlineStr">
        <is>
          <t>Pulls choice label of suggested tutorial lesson from weekly implementation server dataset</t>
        </is>
      </c>
      <c r="D255" s="120" t="n"/>
      <c r="E255" s="121" t="n"/>
      <c r="F255" s="121" t="n"/>
      <c r="G255" s="120" t="n"/>
      <c r="H255" s="120" t="n"/>
      <c r="I255" s="122" t="n"/>
      <c r="J255" s="119" t="n"/>
      <c r="K255" s="121" t="n"/>
      <c r="L255" s="120" t="n"/>
      <c r="M255" s="121" t="n"/>
      <c r="N255" s="122" t="inlineStr">
        <is>
          <t>pulldata('connected_impl_w6_ph', 'suggested_lesson_lab_i', 'hhid', ${hhid})</t>
        </is>
      </c>
      <c r="O255" s="121" t="n"/>
      <c r="P255" s="121" t="n"/>
      <c r="Q255" s="121" t="n"/>
      <c r="R255" s="121" t="n"/>
      <c r="S255" s="120" t="n"/>
      <c r="T255" s="121" t="n"/>
      <c r="U255" s="120" t="n"/>
      <c r="V255" s="120" t="n"/>
      <c r="W255" s="121" t="n"/>
      <c r="X255" s="121" t="n"/>
    </row>
    <row r="256" ht="17" customHeight="1">
      <c r="A256" s="128" t="inlineStr">
        <is>
          <t>calculate</t>
        </is>
      </c>
      <c r="B256" s="119" t="inlineStr">
        <is>
          <t>attendance_w7</t>
        </is>
      </c>
      <c r="C256" s="122" t="inlineStr">
        <is>
          <t>Pulls attendance from weekly implementation server dataset</t>
        </is>
      </c>
      <c r="D256" s="120" t="n"/>
      <c r="E256" s="121" t="n"/>
      <c r="F256" s="121" t="n"/>
      <c r="G256" s="120" t="n"/>
      <c r="H256" s="120" t="n"/>
      <c r="I256" s="122" t="n"/>
      <c r="J256" s="119" t="n"/>
      <c r="K256" s="121" t="n"/>
      <c r="L256" s="120" t="n"/>
      <c r="M256" s="121" t="n"/>
      <c r="N256" s="122" t="inlineStr">
        <is>
          <t>pulldata('connected_impl_w7_ph', 'stud_tutored_i', 'hhid', ${hhid})</t>
        </is>
      </c>
      <c r="O256" s="121" t="n"/>
      <c r="P256" s="121" t="n"/>
      <c r="Q256" s="121" t="n"/>
      <c r="R256" s="121" t="n"/>
      <c r="S256" s="120" t="n"/>
      <c r="T256" s="121" t="n"/>
      <c r="U256" s="120" t="n"/>
      <c r="V256" s="120" t="n"/>
      <c r="W256" s="121" t="n"/>
      <c r="X256" s="121" t="n"/>
    </row>
    <row r="257" ht="17" customHeight="1">
      <c r="A257" s="119" t="inlineStr">
        <is>
          <t>calculate</t>
        </is>
      </c>
      <c r="B257" s="119" t="inlineStr">
        <is>
          <t>operation_taught_num_w7</t>
        </is>
      </c>
      <c r="C257" s="122" t="inlineStr">
        <is>
          <t>Pulls operation taught during the week from weekly implementation server dataset</t>
        </is>
      </c>
      <c r="D257" s="120" t="n"/>
      <c r="E257" s="121" t="n"/>
      <c r="F257" s="121" t="n"/>
      <c r="G257" s="120" t="n"/>
      <c r="H257" s="120" t="n"/>
      <c r="I257" s="122" t="n"/>
      <c r="J257" s="119" t="n"/>
      <c r="K257" s="121" t="n"/>
      <c r="L257" s="120" t="n"/>
      <c r="M257" s="121" t="n"/>
      <c r="N257" s="122" t="inlineStr">
        <is>
          <t>pulldata('connected_impl_w7_ph', 'operation_taught_num_i', 'hhid', ${hhid})</t>
        </is>
      </c>
      <c r="O257" s="121" t="n"/>
      <c r="P257" s="121" t="n"/>
      <c r="Q257" s="121" t="n"/>
      <c r="R257" s="121" t="n"/>
      <c r="S257" s="120" t="n"/>
      <c r="T257" s="121" t="n"/>
      <c r="U257" s="120" t="n"/>
      <c r="V257" s="120" t="n"/>
      <c r="W257" s="121" t="n"/>
      <c r="X257" s="121" t="n"/>
    </row>
    <row r="258" ht="17" customHeight="1">
      <c r="A258" s="119" t="inlineStr">
        <is>
          <t>calculate</t>
        </is>
      </c>
      <c r="B258" s="119" t="inlineStr">
        <is>
          <t>operation_taught_num_lab_w7</t>
        </is>
      </c>
      <c r="C258" s="122" t="inlineStr">
        <is>
          <t>Pulls choice label of operation taught during the week from weekly implementation server dataset</t>
        </is>
      </c>
      <c r="D258" s="120" t="n"/>
      <c r="E258" s="121" t="n"/>
      <c r="F258" s="121" t="n"/>
      <c r="G258" s="120" t="n"/>
      <c r="H258" s="120" t="n"/>
      <c r="I258" s="122" t="n"/>
      <c r="J258" s="119" t="n"/>
      <c r="K258" s="121" t="n"/>
      <c r="L258" s="120" t="n"/>
      <c r="M258" s="121" t="n"/>
      <c r="N258" s="122" t="inlineStr">
        <is>
          <t>pulldata('connected_impl_w7_ph', 'operation_taught_num_lab_i', 'hhid', ${hhid})</t>
        </is>
      </c>
      <c r="O258" s="121" t="n"/>
      <c r="P258" s="121" t="n"/>
      <c r="Q258" s="121" t="n"/>
      <c r="R258" s="121" t="n"/>
      <c r="S258" s="120" t="n"/>
      <c r="T258" s="121" t="n"/>
      <c r="U258" s="120" t="n"/>
      <c r="V258" s="120" t="n"/>
      <c r="W258" s="121" t="n"/>
      <c r="X258" s="121" t="n"/>
    </row>
    <row r="259" ht="17" customHeight="1">
      <c r="A259" s="119" t="inlineStr">
        <is>
          <t>calculate</t>
        </is>
      </c>
      <c r="B259" s="119" t="inlineStr">
        <is>
          <t>checkpoint1_num_w7</t>
        </is>
      </c>
      <c r="C259" s="122" t="inlineStr">
        <is>
          <t>Pulls checkpoint question asked from weekly implementation server dataset</t>
        </is>
      </c>
      <c r="D259" s="120" t="n"/>
      <c r="E259" s="121" t="n"/>
      <c r="F259" s="121" t="n"/>
      <c r="G259" s="120" t="n"/>
      <c r="H259" s="120" t="n"/>
      <c r="I259" s="122" t="n"/>
      <c r="J259" s="119" t="n"/>
      <c r="K259" s="121" t="n"/>
      <c r="L259" s="120" t="n"/>
      <c r="M259" s="121" t="n"/>
      <c r="N259" s="122" t="inlineStr">
        <is>
          <t>pulldata('connected_impl_w7_ph', 'checkpoint1_num_i', 'hhid', ${hhid})</t>
        </is>
      </c>
      <c r="O259" s="121" t="n"/>
      <c r="P259" s="121" t="n"/>
      <c r="Q259" s="121" t="n"/>
      <c r="R259" s="121" t="n"/>
      <c r="S259" s="120" t="n"/>
      <c r="T259" s="121" t="n"/>
      <c r="U259" s="120" t="n"/>
      <c r="V259" s="120" t="n"/>
      <c r="W259" s="121" t="n"/>
      <c r="X259" s="121" t="n"/>
    </row>
    <row r="260" ht="17" customHeight="1">
      <c r="A260" s="119" t="inlineStr">
        <is>
          <t>calculate</t>
        </is>
      </c>
      <c r="B260" s="119" t="inlineStr">
        <is>
          <t>checkpoint1_num_lab_w7</t>
        </is>
      </c>
      <c r="C260" s="122" t="inlineStr">
        <is>
          <t>Pulls checkpoint question asked from weekly implementation server dataset</t>
        </is>
      </c>
      <c r="D260" s="120" t="n"/>
      <c r="E260" s="121" t="n"/>
      <c r="F260" s="121" t="n"/>
      <c r="G260" s="120" t="n"/>
      <c r="H260" s="120" t="n"/>
      <c r="I260" s="122" t="n"/>
      <c r="J260" s="119" t="n"/>
      <c r="K260" s="121" t="n"/>
      <c r="L260" s="120" t="n"/>
      <c r="M260" s="121" t="n"/>
      <c r="N260" s="122" t="inlineStr">
        <is>
          <t>pulldata('connected_impl_w7_ph', 'checkpoint1_num_lab_i', 'hhid', ${hhid})</t>
        </is>
      </c>
      <c r="O260" s="121" t="n"/>
      <c r="P260" s="121" t="n"/>
      <c r="Q260" s="121" t="n"/>
      <c r="R260" s="121" t="n"/>
      <c r="S260" s="120" t="n"/>
      <c r="T260" s="121" t="n"/>
      <c r="U260" s="120" t="n"/>
      <c r="V260" s="120" t="n"/>
      <c r="W260" s="121" t="n"/>
      <c r="X260" s="121" t="n"/>
    </row>
    <row r="261" ht="17" customHeight="1">
      <c r="A261" s="119" t="inlineStr">
        <is>
          <t>calculate</t>
        </is>
      </c>
      <c r="B261" s="119" t="inlineStr">
        <is>
          <t>checkpoint1_correct_num_w7</t>
        </is>
      </c>
      <c r="C261" s="122" t="inlineStr">
        <is>
          <t>Pulls checkpoint correct indicator from weekly implementation server dataset</t>
        </is>
      </c>
      <c r="D261" s="120" t="n"/>
      <c r="E261" s="121" t="n"/>
      <c r="F261" s="121" t="n"/>
      <c r="G261" s="120" t="n"/>
      <c r="H261" s="120" t="n"/>
      <c r="I261" s="122" t="n"/>
      <c r="J261" s="119" t="n"/>
      <c r="K261" s="121" t="n"/>
      <c r="L261" s="120" t="n"/>
      <c r="M261" s="121" t="n"/>
      <c r="N261" s="122" t="inlineStr">
        <is>
          <t>pulldata('connected_impl_w7_ph', 'checkpoint1_correct_num_i', 'hhid', ${hhid})</t>
        </is>
      </c>
      <c r="O261" s="121" t="n"/>
      <c r="P261" s="121" t="n"/>
      <c r="Q261" s="121" t="n"/>
      <c r="R261" s="121" t="n"/>
      <c r="S261" s="120" t="n"/>
      <c r="T261" s="121" t="n"/>
      <c r="U261" s="120" t="n"/>
      <c r="V261" s="120" t="n"/>
      <c r="W261" s="121" t="n"/>
      <c r="X261" s="121" t="n"/>
    </row>
    <row r="262" ht="17" customHeight="1">
      <c r="A262" s="119" t="inlineStr">
        <is>
          <t>calculate</t>
        </is>
      </c>
      <c r="B262" s="119" t="inlineStr">
        <is>
          <t>checkpoint1_correct_num_lab_w7</t>
        </is>
      </c>
      <c r="C262" s="122" t="inlineStr">
        <is>
          <t>Pulls checkpoint correct indicator from weekly implementation server dataset</t>
        </is>
      </c>
      <c r="D262" s="120" t="n"/>
      <c r="E262" s="121" t="n"/>
      <c r="F262" s="121" t="n"/>
      <c r="G262" s="120" t="n"/>
      <c r="H262" s="120" t="n"/>
      <c r="I262" s="122" t="n"/>
      <c r="J262" s="119" t="n"/>
      <c r="K262" s="121" t="n"/>
      <c r="L262" s="120" t="n"/>
      <c r="M262" s="121" t="n"/>
      <c r="N262" s="122" t="inlineStr">
        <is>
          <t>pulldata('connected_impl_w7_ph', 'checkpoint1_correct_num_lab_i', 'hhid', ${hhid})</t>
        </is>
      </c>
      <c r="O262" s="121" t="n"/>
      <c r="P262" s="121" t="n"/>
      <c r="Q262" s="121" t="n"/>
      <c r="R262" s="121" t="n"/>
      <c r="S262" s="120" t="n"/>
      <c r="T262" s="121" t="n"/>
      <c r="U262" s="120" t="n"/>
      <c r="V262" s="120" t="n"/>
      <c r="W262" s="121" t="n"/>
      <c r="X262" s="121" t="n"/>
    </row>
    <row r="263" ht="17" customHeight="1">
      <c r="A263" s="119" t="inlineStr">
        <is>
          <t>calculate</t>
        </is>
      </c>
      <c r="B263" s="119" t="inlineStr">
        <is>
          <t>suggested_lesson8_i</t>
        </is>
      </c>
      <c r="C263" s="122" t="inlineStr">
        <is>
          <t>Pulls suggested tutorial lesson from weekly implementation server dataset</t>
        </is>
      </c>
      <c r="D263" s="120" t="n"/>
      <c r="E263" s="121" t="n"/>
      <c r="F263" s="121" t="n"/>
      <c r="G263" s="120" t="n"/>
      <c r="H263" s="120" t="n"/>
      <c r="I263" s="122" t="n"/>
      <c r="J263" s="119" t="n"/>
      <c r="K263" s="121" t="n"/>
      <c r="L263" s="120" t="n"/>
      <c r="M263" s="121" t="n"/>
      <c r="N263" s="122" t="inlineStr">
        <is>
          <t>pulldata('connected_impl_w7_ph', 'suggested_lesson_i', 'hhid', ${hhid})</t>
        </is>
      </c>
      <c r="O263" s="121" t="n"/>
      <c r="P263" s="121" t="n"/>
      <c r="Q263" s="121" t="n"/>
      <c r="R263" s="121" t="n"/>
      <c r="S263" s="120" t="n"/>
      <c r="T263" s="121" t="n"/>
      <c r="U263" s="120" t="n"/>
      <c r="V263" s="120" t="n"/>
      <c r="W263" s="121" t="n"/>
      <c r="X263" s="121" t="n"/>
    </row>
    <row r="264" ht="17" customHeight="1">
      <c r="A264" s="119" t="inlineStr">
        <is>
          <t>calculate</t>
        </is>
      </c>
      <c r="B264" s="119" t="inlineStr">
        <is>
          <t>suggested_lesson8_lab_i</t>
        </is>
      </c>
      <c r="C264" s="122" t="inlineStr">
        <is>
          <t>Pulls choice label of suggested tutorial lesson from weekly implementation server dataset</t>
        </is>
      </c>
      <c r="D264" s="120" t="n"/>
      <c r="E264" s="121" t="n"/>
      <c r="F264" s="121" t="n"/>
      <c r="G264" s="120" t="n"/>
      <c r="H264" s="120" t="n"/>
      <c r="I264" s="122" t="n"/>
      <c r="J264" s="119" t="n"/>
      <c r="K264" s="121" t="n"/>
      <c r="L264" s="120" t="n"/>
      <c r="M264" s="121" t="n"/>
      <c r="N264" s="122" t="inlineStr">
        <is>
          <t>pulldata('connected_impl_w7_ph', 'suggested_lesson_lab_i', 'hhid', ${hhid})</t>
        </is>
      </c>
      <c r="O264" s="121" t="n"/>
      <c r="P264" s="121" t="n"/>
      <c r="Q264" s="121" t="n"/>
      <c r="R264" s="121" t="n"/>
      <c r="S264" s="120" t="n"/>
      <c r="T264" s="121" t="n"/>
      <c r="U264" s="120" t="n"/>
      <c r="V264" s="120" t="n"/>
      <c r="W264" s="121" t="n"/>
      <c r="X264" s="121" t="n"/>
    </row>
    <row r="265" ht="17" customHeight="1">
      <c r="A265" s="128" t="inlineStr">
        <is>
          <t>calculate</t>
        </is>
      </c>
      <c r="B265" s="119" t="inlineStr">
        <is>
          <t>attendance_w8</t>
        </is>
      </c>
      <c r="C265" s="122" t="inlineStr">
        <is>
          <t>Pulls attendance from weekly implementation server dataset</t>
        </is>
      </c>
      <c r="D265" s="120" t="n"/>
      <c r="E265" s="121" t="n"/>
      <c r="F265" s="121" t="n"/>
      <c r="G265" s="120" t="n"/>
      <c r="H265" s="120" t="n"/>
      <c r="I265" s="122" t="n"/>
      <c r="J265" s="119" t="n"/>
      <c r="K265" s="121" t="n"/>
      <c r="L265" s="120" t="n"/>
      <c r="M265" s="121" t="n"/>
      <c r="N265" s="122" t="inlineStr">
        <is>
          <t>pulldata('connected_impl_w8_ph', 'stud_tutored_i', 'hhid', ${hhid})</t>
        </is>
      </c>
      <c r="O265" s="121" t="n"/>
      <c r="P265" s="121" t="n"/>
      <c r="Q265" s="121" t="n"/>
      <c r="R265" s="121" t="n"/>
      <c r="S265" s="120" t="n"/>
      <c r="T265" s="121" t="n"/>
      <c r="U265" s="120" t="n"/>
      <c r="V265" s="120" t="n"/>
      <c r="W265" s="121" t="n"/>
      <c r="X265" s="121" t="n"/>
    </row>
    <row r="266" ht="17" customHeight="1">
      <c r="A266" s="119" t="inlineStr">
        <is>
          <t>calculate</t>
        </is>
      </c>
      <c r="B266" s="119" t="inlineStr">
        <is>
          <t>operation_taught_num_w8</t>
        </is>
      </c>
      <c r="C266" s="122" t="inlineStr">
        <is>
          <t>Pulls operation taught during the week from weekly implementation server dataset</t>
        </is>
      </c>
      <c r="D266" s="120" t="n"/>
      <c r="E266" s="121" t="n"/>
      <c r="F266" s="121" t="n"/>
      <c r="G266" s="120" t="n"/>
      <c r="H266" s="120" t="n"/>
      <c r="I266" s="122" t="n"/>
      <c r="J266" s="119" t="n"/>
      <c r="K266" s="121" t="n"/>
      <c r="L266" s="120" t="n"/>
      <c r="M266" s="121" t="n"/>
      <c r="N266" s="122" t="inlineStr">
        <is>
          <t>pulldata('connected_impl_w8_ph', 'operation_taught_num_i', 'hhid', ${hhid})</t>
        </is>
      </c>
      <c r="O266" s="121" t="n"/>
      <c r="P266" s="121" t="n"/>
      <c r="Q266" s="121" t="n"/>
      <c r="R266" s="121" t="n"/>
      <c r="S266" s="120" t="n"/>
      <c r="T266" s="121" t="n"/>
      <c r="U266" s="120" t="n"/>
      <c r="V266" s="120" t="n"/>
      <c r="W266" s="121" t="n"/>
      <c r="X266" s="121" t="n"/>
    </row>
    <row r="267" ht="17" customHeight="1">
      <c r="A267" s="119" t="inlineStr">
        <is>
          <t>calculate</t>
        </is>
      </c>
      <c r="B267" s="119" t="inlineStr">
        <is>
          <t>operation_taught_num_lab_w8</t>
        </is>
      </c>
      <c r="C267" s="122" t="inlineStr">
        <is>
          <t>Pulls choice label of operation taught during the week from weekly implementation server dataset</t>
        </is>
      </c>
      <c r="D267" s="120" t="n"/>
      <c r="E267" s="121" t="n"/>
      <c r="F267" s="121" t="n"/>
      <c r="G267" s="120" t="n"/>
      <c r="H267" s="120" t="n"/>
      <c r="I267" s="122" t="n"/>
      <c r="J267" s="119" t="n"/>
      <c r="K267" s="121" t="n"/>
      <c r="L267" s="120" t="n"/>
      <c r="M267" s="121" t="n"/>
      <c r="N267" s="122" t="inlineStr">
        <is>
          <t>pulldata('connected_impl_w8_ph', 'operation_taught_num_lab_i', 'hhid', ${hhid})</t>
        </is>
      </c>
      <c r="O267" s="121" t="n"/>
      <c r="P267" s="121" t="n"/>
      <c r="Q267" s="121" t="n"/>
      <c r="R267" s="121" t="n"/>
      <c r="S267" s="120" t="n"/>
      <c r="T267" s="121" t="n"/>
      <c r="U267" s="120" t="n"/>
      <c r="V267" s="120" t="n"/>
      <c r="W267" s="121" t="n"/>
      <c r="X267" s="121" t="n"/>
    </row>
    <row r="268" ht="17" customHeight="1">
      <c r="A268" s="119" t="inlineStr">
        <is>
          <t>calculate</t>
        </is>
      </c>
      <c r="B268" s="119" t="inlineStr">
        <is>
          <t>checkpoint1_num_w8</t>
        </is>
      </c>
      <c r="C268" s="122" t="inlineStr">
        <is>
          <t>Pulls checkpoint question asked from weekly implementation server dataset</t>
        </is>
      </c>
      <c r="D268" s="120" t="n"/>
      <c r="E268" s="121" t="n"/>
      <c r="F268" s="121" t="n"/>
      <c r="G268" s="120" t="n"/>
      <c r="H268" s="120" t="n"/>
      <c r="I268" s="122" t="n"/>
      <c r="J268" s="119" t="n"/>
      <c r="K268" s="121" t="n"/>
      <c r="L268" s="120" t="n"/>
      <c r="M268" s="121" t="n"/>
      <c r="N268" s="122" t="inlineStr">
        <is>
          <t>pulldata('connected_impl_w8_ph', 'checkpoint1_num_i', 'hhid', ${hhid})</t>
        </is>
      </c>
      <c r="O268" s="121" t="n"/>
      <c r="P268" s="121" t="n"/>
      <c r="Q268" s="121" t="n"/>
      <c r="R268" s="121" t="n"/>
      <c r="S268" s="120" t="n"/>
      <c r="T268" s="121" t="n"/>
      <c r="U268" s="120" t="n"/>
      <c r="V268" s="120" t="n"/>
      <c r="W268" s="121" t="n"/>
      <c r="X268" s="121" t="n"/>
    </row>
    <row r="269" ht="17" customHeight="1">
      <c r="A269" s="119" t="inlineStr">
        <is>
          <t>calculate</t>
        </is>
      </c>
      <c r="B269" s="119" t="inlineStr">
        <is>
          <t>checkpoint1_num_lab_w8</t>
        </is>
      </c>
      <c r="C269" s="122" t="inlineStr">
        <is>
          <t>Pulls checkpoint question asked from weekly implementation server dataset</t>
        </is>
      </c>
      <c r="D269" s="120" t="n"/>
      <c r="E269" s="121" t="n"/>
      <c r="F269" s="121" t="n"/>
      <c r="G269" s="120" t="n"/>
      <c r="H269" s="120" t="n"/>
      <c r="I269" s="122" t="n"/>
      <c r="J269" s="119" t="n"/>
      <c r="K269" s="121" t="n"/>
      <c r="L269" s="120" t="n"/>
      <c r="M269" s="121" t="n"/>
      <c r="N269" s="122" t="inlineStr">
        <is>
          <t>pulldata('connected_impl_w8_ph', 'checkpoint1_num_lab_i', 'hhid', ${hhid})</t>
        </is>
      </c>
      <c r="O269" s="121" t="n"/>
      <c r="P269" s="121" t="n"/>
      <c r="Q269" s="121" t="n"/>
      <c r="R269" s="121" t="n"/>
      <c r="S269" s="120" t="n"/>
      <c r="T269" s="121" t="n"/>
      <c r="U269" s="120" t="n"/>
      <c r="V269" s="120" t="n"/>
      <c r="W269" s="121" t="n"/>
      <c r="X269" s="121" t="n"/>
    </row>
    <row r="270" ht="17" customHeight="1">
      <c r="A270" s="119" t="inlineStr">
        <is>
          <t>calculate</t>
        </is>
      </c>
      <c r="B270" s="119" t="inlineStr">
        <is>
          <t>checkpoint1_correct_num_w8</t>
        </is>
      </c>
      <c r="C270" s="122" t="inlineStr">
        <is>
          <t>Pulls checkpoint correct indicator from weekly implementation server dataset</t>
        </is>
      </c>
      <c r="D270" s="120" t="n"/>
      <c r="E270" s="121" t="n"/>
      <c r="F270" s="121" t="n"/>
      <c r="G270" s="120" t="n"/>
      <c r="H270" s="120" t="n"/>
      <c r="I270" s="122" t="n"/>
      <c r="J270" s="119" t="n"/>
      <c r="K270" s="121" t="n"/>
      <c r="L270" s="120" t="n"/>
      <c r="M270" s="121" t="n"/>
      <c r="N270" s="122" t="inlineStr">
        <is>
          <t>pulldata('connected_impl_w8_ph', 'checkpoint1_correct_num_i', 'hhid', ${hhid})</t>
        </is>
      </c>
      <c r="O270" s="121" t="n"/>
      <c r="P270" s="121" t="n"/>
      <c r="Q270" s="121" t="n"/>
      <c r="R270" s="121" t="n"/>
      <c r="S270" s="120" t="n"/>
      <c r="T270" s="121" t="n"/>
      <c r="U270" s="120" t="n"/>
      <c r="V270" s="120" t="n"/>
      <c r="W270" s="121" t="n"/>
      <c r="X270" s="121" t="n"/>
    </row>
    <row r="271" ht="17" customHeight="1">
      <c r="A271" s="119" t="inlineStr">
        <is>
          <t>calculate</t>
        </is>
      </c>
      <c r="B271" s="119" t="inlineStr">
        <is>
          <t>checkpoint1_correct_num_lab_w8</t>
        </is>
      </c>
      <c r="C271" s="122" t="inlineStr">
        <is>
          <t>Pulls checkpoint correct indicator from weekly implementation server dataset</t>
        </is>
      </c>
      <c r="D271" s="120" t="n"/>
      <c r="E271" s="121" t="n"/>
      <c r="F271" s="121" t="n"/>
      <c r="G271" s="120" t="n"/>
      <c r="H271" s="120" t="n"/>
      <c r="I271" s="122" t="n"/>
      <c r="J271" s="119" t="n"/>
      <c r="K271" s="121" t="n"/>
      <c r="L271" s="120" t="n"/>
      <c r="M271" s="121" t="n"/>
      <c r="N271" s="122" t="inlineStr">
        <is>
          <t>pulldata('connected_impl_w8_ph', 'checkpoint1_correct_num_lab_i', 'hhid', ${hhid})</t>
        </is>
      </c>
      <c r="O271" s="121" t="n"/>
      <c r="P271" s="121" t="n"/>
      <c r="Q271" s="121" t="n"/>
      <c r="R271" s="121" t="n"/>
      <c r="S271" s="120" t="n"/>
      <c r="T271" s="121" t="n"/>
      <c r="U271" s="120" t="n"/>
      <c r="V271" s="120" t="n"/>
      <c r="W271" s="121" t="n"/>
      <c r="X271" s="121" t="n"/>
    </row>
    <row r="272" ht="136" customHeight="1">
      <c r="A272" s="119" t="inlineStr">
        <is>
          <t>calculate</t>
        </is>
      </c>
      <c r="B272" s="119" t="inlineStr">
        <is>
          <t>suggested_lesson_this_week</t>
        </is>
      </c>
      <c r="C272" s="122" t="inlineStr">
        <is>
          <t>Returns suggested lesson of the week</t>
        </is>
      </c>
      <c r="D272" s="120" t="n"/>
      <c r="E272" s="121" t="n"/>
      <c r="F272" s="121" t="n"/>
      <c r="G272" s="120" t="n"/>
      <c r="H272" s="120" t="n"/>
      <c r="I272" s="122" t="n"/>
      <c r="J272" s="119" t="n"/>
      <c r="K272" s="121" t="n"/>
      <c r="L272" s="120" t="n"/>
      <c r="M272" s="121" t="n"/>
      <c r="N272" s="122" t="inlineStr">
        <is>
          <t>if(${week} = 1, ${suggested_lesson1_i},
if(${week} = 2, ${suggested_lesson2_i},
if(${week} = 3, ${suggested_lesson3_i},
if(${week} = 4, ${suggested_lesson4_i},
if(${week} = 5, ${suggested_lesson5_i},
if(${week} = 6, ${suggested_lesson6_i},
if(${week} = 7, ${suggested_lesson7_i},
if(${week} = 8, ${suggested_lesson8_i}, ''))))))))</t>
        </is>
      </c>
      <c r="O272" s="121" t="n"/>
      <c r="P272" s="121" t="n"/>
      <c r="Q272" s="121" t="n"/>
      <c r="R272" s="121" t="n"/>
      <c r="S272" s="120" t="n"/>
      <c r="T272" s="121" t="n"/>
      <c r="U272" s="120" t="n"/>
      <c r="V272" s="120" t="n"/>
      <c r="W272" s="121" t="n"/>
      <c r="X272" s="121" t="n"/>
    </row>
    <row r="273" ht="68" customHeight="1">
      <c r="A273" s="119" t="inlineStr">
        <is>
          <t>calculate</t>
        </is>
      </c>
      <c r="B273" s="119" t="inlineStr">
        <is>
          <t>suggested_lesson_this_week_lab</t>
        </is>
      </c>
      <c r="C273" s="122" t="inlineStr">
        <is>
          <t>Returns suggested lesson of the week</t>
        </is>
      </c>
      <c r="D273" s="120" t="n"/>
      <c r="E273" s="121" t="n"/>
      <c r="F273" s="121" t="n"/>
      <c r="G273" s="120" t="n"/>
      <c r="H273" s="120" t="n"/>
      <c r="I273" s="122" t="n"/>
      <c r="J273" s="119" t="n"/>
      <c r="K273" s="121" t="n"/>
      <c r="L273" s="120" t="n"/>
      <c r="M273" s="121" t="n"/>
      <c r="N273" s="122" t="inlineStr">
        <is>
          <t>if(${suggested_lesson_i} = 1, 'Addition',
if(${suggested_lesson_i} = 2, 'Subtraction',
if(${suggested_lesson_i} = 3, 'Multiplication',
if(${suggested_lesson_i} = 4, 'Division', ''))))</t>
        </is>
      </c>
      <c r="O273" s="121" t="n"/>
      <c r="P273" s="121" t="n"/>
      <c r="Q273" s="121" t="n"/>
      <c r="R273" s="121" t="n"/>
      <c r="S273" s="120" t="n"/>
      <c r="T273" s="121" t="n"/>
      <c r="U273" s="120" t="n"/>
      <c r="V273" s="120" t="n"/>
      <c r="W273" s="121" t="n"/>
      <c r="X273" s="121" t="n"/>
    </row>
    <row r="274" ht="102" customHeight="1">
      <c r="A274" s="119" t="inlineStr">
        <is>
          <t>note</t>
        </is>
      </c>
      <c r="B274" s="119" t="inlineStr">
        <is>
          <t>note_test_lesson</t>
        </is>
      </c>
      <c r="C274" s="122" t="inlineStr">
        <is>
          <t>&lt;b&gt;DISABLE AFTER TESTING:&lt;/b&gt;
&lt;br&gt;&lt;br&gt;
Week: ${week} &lt;br&gt;
Suggested lesson: ${suggested_lesson_this_week_lab}, ${suggested_lesson_this_week}</t>
        </is>
      </c>
      <c r="D274" s="120" t="n"/>
      <c r="E274" s="121" t="n"/>
      <c r="F274" s="121" t="n"/>
      <c r="G274" s="120" t="n"/>
      <c r="H274" s="120" t="n"/>
      <c r="I274" s="122" t="n"/>
      <c r="J274" s="119" t="inlineStr">
        <is>
          <t>yes</t>
        </is>
      </c>
      <c r="K274" s="121" t="n"/>
      <c r="L274" s="120" t="n"/>
      <c r="M274" s="121" t="n"/>
      <c r="N274" s="122" t="n"/>
      <c r="O274" s="121" t="n"/>
      <c r="P274" s="121" t="n"/>
      <c r="Q274" s="121" t="n"/>
      <c r="R274" s="121" t="n"/>
      <c r="S274" s="120" t="n"/>
      <c r="T274" s="121" t="n"/>
      <c r="U274" s="120" t="n"/>
      <c r="V274" s="120" t="n"/>
      <c r="W274" s="121" t="n"/>
      <c r="X274" s="121" t="n"/>
    </row>
    <row r="275">
      <c r="A275" s="121" t="n"/>
      <c r="B275" s="121" t="n"/>
      <c r="C275" s="122" t="n"/>
      <c r="D275" s="120" t="n"/>
      <c r="E275" s="121" t="n"/>
      <c r="F275" s="121" t="n"/>
      <c r="G275" s="120" t="n"/>
      <c r="H275" s="120" t="n"/>
      <c r="I275" s="122" t="n"/>
      <c r="J275" s="119" t="n"/>
      <c r="K275" s="121" t="n"/>
      <c r="L275" s="120" t="n"/>
      <c r="M275" s="121" t="n"/>
      <c r="N275" s="120" t="n"/>
      <c r="O275" s="121" t="n"/>
      <c r="P275" s="121" t="n"/>
      <c r="Q275" s="121" t="n"/>
      <c r="R275" s="121" t="n"/>
      <c r="S275" s="120" t="n"/>
      <c r="T275" s="121" t="n"/>
      <c r="U275" s="120" t="n"/>
      <c r="V275" s="120" t="n"/>
      <c r="W275" s="121" t="n"/>
      <c r="X275" s="121" t="n"/>
    </row>
    <row r="276" ht="17" customHeight="1">
      <c r="A276" s="119" t="inlineStr">
        <is>
          <t>begin group</t>
        </is>
      </c>
      <c r="B276" s="119" t="inlineStr">
        <is>
          <t>tutorial</t>
        </is>
      </c>
      <c r="C276" s="122" t="inlineStr">
        <is>
          <t>Start of tutorial</t>
        </is>
      </c>
      <c r="D276" s="120" t="n"/>
      <c r="E276" s="121" t="n"/>
      <c r="F276" s="121" t="n"/>
      <c r="G276" s="120" t="n"/>
      <c r="H276" s="120" t="n"/>
      <c r="I276" s="122" t="inlineStr">
        <is>
          <t xml:space="preserve">selected(${stud_avail}, '1') </t>
        </is>
      </c>
      <c r="J276" s="119" t="n"/>
      <c r="K276" s="121" t="n"/>
      <c r="L276" s="120" t="n"/>
      <c r="M276" s="121" t="n"/>
      <c r="N276" s="120" t="n"/>
      <c r="O276" s="121" t="n"/>
      <c r="P276" s="121" t="n"/>
      <c r="Q276" s="121" t="n"/>
      <c r="R276" s="121" t="n"/>
      <c r="S276" s="120" t="n"/>
      <c r="T276" s="121" t="n"/>
      <c r="U276" s="120" t="n"/>
      <c r="V276" s="120" t="n"/>
      <c r="W276" s="121" t="n"/>
      <c r="X276" s="121" t="n"/>
    </row>
    <row r="277" ht="272" customHeight="1">
      <c r="A277" s="119" t="inlineStr">
        <is>
          <t>select_one yesno</t>
        </is>
      </c>
      <c r="B277" s="119" t="inlineStr">
        <is>
          <t>confirm_stud_avail</t>
        </is>
      </c>
      <c r="C277" s="123" t="inlineStr">
        <is>
          <t>Can you please call &lt;font color="#14b14b"&gt;&lt;b&gt;&lt;u&gt;${stud_name_i}&lt;/u&gt;&lt;/b&gt;&lt;/font&gt; over and:
&lt;br&gt;&lt;br&gt;
&lt;ul&gt;
&lt;li&gt;have a pencil and paper ready, and&lt;/li&gt;
&lt;li&gt;put me on speaker.&lt;/li&gt;
&lt;/ul&gt;
&lt;br&gt;&lt;br&gt;
&lt;hr&gt;
&lt;br&gt;&lt;br&gt;
&lt;p&gt;&lt;span style="color: #3366ff;"&gt;&lt;b&gt;INSTRUCTIONS:&lt;/strong&gt; Click "Yes" to confirm that the child is on the phone, so you can move on to the assessment. Otherwise, go back to the previous fields and choose "No" (the student is not available) and re-schedule the call.&lt;/span&gt;&lt;/p&gt;</t>
        </is>
      </c>
      <c r="D277" s="120" t="n"/>
      <c r="E277" s="121" t="n"/>
      <c r="F277" s="121" t="n"/>
      <c r="G277" s="120" t="n"/>
      <c r="H277" s="120" t="n"/>
      <c r="I277" s="120" t="n"/>
      <c r="J277" s="121" t="n"/>
      <c r="K277" s="121" t="n"/>
      <c r="L277" s="120" t="n"/>
      <c r="M277" s="121" t="n"/>
      <c r="N277" s="120" t="n"/>
      <c r="O277" s="121" t="n"/>
      <c r="P277" s="121" t="n"/>
      <c r="Q277" s="121" t="n"/>
      <c r="R277" s="121" t="n"/>
      <c r="S277" s="120" t="n"/>
      <c r="T277" s="119" t="inlineStr">
        <is>
          <t>filter = 1</t>
        </is>
      </c>
      <c r="U277" s="120" t="n"/>
      <c r="V277" s="120" t="n"/>
      <c r="W277" s="121" t="n"/>
      <c r="X277" s="121" t="n"/>
    </row>
    <row r="278" ht="17" customHeight="1">
      <c r="A278" s="119" t="inlineStr">
        <is>
          <t>begin group</t>
        </is>
      </c>
      <c r="B278" s="119" t="inlineStr">
        <is>
          <t>tutorial_pv</t>
        </is>
      </c>
      <c r="C278" s="122" t="inlineStr">
        <is>
          <t>Place value activity</t>
        </is>
      </c>
      <c r="D278" s="120" t="n"/>
      <c r="E278" s="121" t="n"/>
      <c r="F278" s="119" t="inlineStr">
        <is>
          <t>field-list</t>
        </is>
      </c>
      <c r="G278" s="120" t="n"/>
      <c r="H278" s="120" t="n"/>
      <c r="I278" s="122" t="inlineStr">
        <is>
          <t>selected(${confirm_stud_avail}, '1') and ${week} = 1</t>
        </is>
      </c>
      <c r="J278" s="119" t="n"/>
      <c r="K278" s="121" t="n"/>
      <c r="L278" s="120" t="n"/>
      <c r="M278" s="121" t="n"/>
      <c r="N278" s="120" t="n"/>
      <c r="O278" s="121" t="n"/>
      <c r="P278" s="121" t="n"/>
      <c r="Q278" s="121" t="n"/>
      <c r="R278" s="121" t="n"/>
      <c r="S278" s="120" t="n"/>
      <c r="T278" s="121" t="n"/>
      <c r="U278" s="120" t="n"/>
      <c r="V278" s="120" t="n"/>
      <c r="W278" s="121" t="n"/>
      <c r="X278" s="121" t="n"/>
    </row>
    <row r="279">
      <c r="A279" s="119" t="inlineStr">
        <is>
          <t>calculate_here</t>
        </is>
      </c>
      <c r="B279" s="119" t="inlineStr">
        <is>
          <t>start_tutorial_pv</t>
        </is>
      </c>
      <c r="C279" s="122" t="n"/>
      <c r="D279" s="120" t="n"/>
      <c r="E279" s="121" t="n"/>
      <c r="F279" s="121" t="n"/>
      <c r="G279" s="120" t="n"/>
      <c r="H279" s="120" t="n"/>
      <c r="I279" s="122" t="n"/>
      <c r="J279" s="119" t="n"/>
      <c r="K279" s="121" t="n"/>
      <c r="L279" s="120" t="n"/>
      <c r="M279" s="121" t="n"/>
      <c r="N279" s="122" t="inlineStr">
        <is>
          <t>once(duration())</t>
        </is>
      </c>
      <c r="O279" s="121" t="n"/>
      <c r="P279" s="121" t="n"/>
      <c r="Q279" s="121" t="n"/>
      <c r="R279" s="121" t="n"/>
      <c r="S279" s="120" t="n"/>
      <c r="T279" s="121" t="n"/>
      <c r="U279" s="120" t="n"/>
      <c r="V279" s="120" t="n"/>
      <c r="W279" s="121" t="n"/>
      <c r="X279" s="121" t="n"/>
    </row>
    <row r="280" ht="255" customHeight="1">
      <c r="A280" s="119" t="inlineStr">
        <is>
          <t>note</t>
        </is>
      </c>
      <c r="B280" s="119" t="inlineStr">
        <is>
          <t>note_tutorial_pv1</t>
        </is>
      </c>
      <c r="C280" s="122" t="inlineStr">
        <is>
          <t>&lt;p style="font-weight:bold;font-size:14pt;text-align:center;"&gt;Introduce and Practice &lt;u&gt;Place Value&lt;/u&gt;&lt;/p&gt;
&lt;br&gt;
Begin the tutoring session with a short place value activity. This activity is delivered to all students regardless of level.
&lt;br&gt;&lt;br&gt;
&lt;ul&gt;
&lt;li&gt;Ask the student if they know the song &lt;i&gt;Bahay Kubo&lt;/i&gt;.&lt;/li&gt;
&lt;li&gt;If they do, ask if they would like to sing along with you.&lt;/li&gt;
&lt;li&gt;If not, sing the song for them -- try to teach them the words!&lt;/li&gt;
&lt;/ul&gt;</t>
        </is>
      </c>
      <c r="D280" s="120" t="n"/>
      <c r="E280" s="121" t="n"/>
      <c r="F280" s="121" t="n"/>
      <c r="G280" s="120" t="n"/>
      <c r="H280" s="120" t="n"/>
      <c r="I280" s="122" t="n"/>
      <c r="J280" s="119" t="n"/>
      <c r="K280" s="121" t="n"/>
      <c r="L280" s="120" t="n"/>
      <c r="M280" s="121" t="n"/>
      <c r="N280" s="120" t="n"/>
      <c r="O280" s="121" t="n"/>
      <c r="P280" s="121" t="n"/>
      <c r="Q280" s="121" t="n"/>
      <c r="R280" s="121" t="n"/>
      <c r="S280" s="120" t="n"/>
      <c r="T280" s="121" t="n"/>
      <c r="U280" s="120" t="n"/>
      <c r="V280" s="120" t="n"/>
      <c r="W280" s="121" t="n"/>
      <c r="X280" s="121" t="n"/>
    </row>
    <row r="281" ht="204" customHeight="1">
      <c r="A281" s="119" t="inlineStr">
        <is>
          <t>note</t>
        </is>
      </c>
      <c r="B281" s="119" t="inlineStr">
        <is>
          <t>note_tutorial_pv2</t>
        </is>
      </c>
      <c r="C281" s="122" t="inlineStr">
        <is>
          <t>Tell the student that you are going to make your own &lt;i&gt;Bahay Kubo&lt;/i&gt; (little hut) to help with today's math problems. 
&lt;br&gt;&lt;br&gt;
&lt;ul&gt;
&lt;li&gt;Start by drawing a &lt;i&gt;Bahay Kubo&lt;/i&gt;.&lt;/li&gt;
&lt;li&gt;Then add a line down the middle of the &lt;i&gt;Bahay Kubo&lt;/i&gt;.&lt;/li&gt;
&lt;li&gt;Add windows to the top of the &lt;i&gt;Bahay Kubo&lt;/i&gt;.&lt;/li&gt;
&lt;li&gt;Above the right window, write an &lt;b&gt;&lt;u&gt;O&lt;/u&gt;&lt;/b&gt;.&lt;/li&gt;
&lt;li&gt;Above the left window, write an &lt;b&gt;&lt;u&gt;T&lt;/u&gt;&lt;/b&gt;.&lt;/li&gt;
&lt;/ul&gt;</t>
        </is>
      </c>
      <c r="D281" s="120" t="n"/>
      <c r="E281" s="121" t="n"/>
      <c r="F281" s="121" t="n"/>
      <c r="G281" s="120" t="n"/>
      <c r="H281" s="120" t="n"/>
      <c r="I281" s="122" t="n"/>
      <c r="J281" s="119" t="n"/>
      <c r="K281" s="121" t="n"/>
      <c r="L281" s="120" t="n"/>
      <c r="M281" s="121" t="n"/>
      <c r="N281" s="120" t="n"/>
      <c r="O281" s="121" t="n"/>
      <c r="P281" s="121" t="n"/>
      <c r="Q281" s="121" t="n"/>
      <c r="R281" s="121" t="n"/>
      <c r="S281" s="120" t="n"/>
      <c r="T281" s="121" t="n"/>
      <c r="U281" s="120" t="n"/>
      <c r="V281" s="120" t="n"/>
      <c r="W281" s="121" t="n"/>
      <c r="X281" s="121" t="n"/>
    </row>
    <row r="282" ht="204" customHeight="1">
      <c r="A282" s="119" t="inlineStr">
        <is>
          <t>note</t>
        </is>
      </c>
      <c r="B282" s="119" t="inlineStr">
        <is>
          <t>note_tutorial_pv3</t>
        </is>
      </c>
      <c r="C282" s="122" t="inlineStr">
        <is>
          <t>Tell the child that you want to put &lt;b&gt;&lt;u&gt;59&lt;/b&gt;&lt;/u&gt; pieces of candy in your &lt;i&gt;Bahay Kubo&lt;/i&gt;. How many tens and ones are there in &lt;b&gt;&lt;u&gt;59&lt;/u&gt;&lt;/b&gt;? 
&lt;br&gt;&lt;br&gt;
&lt;ul&gt;
&lt;li&gt;Ask the student to draw sticks.&lt;/li&gt;
&lt;li&gt;Bundle every &lt;b&gt;&lt;u&gt;TEN&lt;/u&gt;&lt;/b&gt; sticks.&lt;/li&gt;
&lt;li&gt;Ask the student to count the bundles. Write this number in the left side of the &lt;i&gt;Bahay Kubo&lt;/i&gt;.&lt;/li&gt;
&lt;li&gt;Ask the student to count leftover sticks. Write this number in the right side of the &lt;i&gt;Bahay Kubo&lt;/i&gt;.&lt;/li&gt;
&lt;/ul&gt;</t>
        </is>
      </c>
      <c r="D282" s="120" t="n"/>
      <c r="E282" s="121" t="n"/>
      <c r="F282" s="121" t="n"/>
      <c r="G282" s="120" t="n"/>
      <c r="H282" s="120" t="n"/>
      <c r="I282" s="122" t="n"/>
      <c r="J282" s="119" t="n"/>
      <c r="K282" s="121" t="n"/>
      <c r="L282" s="120" t="n"/>
      <c r="M282" s="121" t="n"/>
      <c r="N282" s="120" t="n"/>
      <c r="O282" s="121" t="n"/>
      <c r="P282" s="121" t="n"/>
      <c r="Q282" s="121" t="n"/>
      <c r="R282" s="121" t="n"/>
      <c r="S282" s="120" t="n"/>
      <c r="T282" s="121" t="n"/>
      <c r="U282" s="120" t="n"/>
      <c r="V282" s="120" t="n"/>
      <c r="W282" s="121" t="n"/>
      <c r="X282" s="121" t="n"/>
    </row>
    <row r="283">
      <c r="A283" s="119" t="inlineStr">
        <is>
          <t>calculate_here</t>
        </is>
      </c>
      <c r="B283" s="119" t="inlineStr">
        <is>
          <t>end_tutorial_pv</t>
        </is>
      </c>
      <c r="C283" s="122" t="n"/>
      <c r="D283" s="120" t="n"/>
      <c r="E283" s="121" t="n"/>
      <c r="F283" s="121" t="n"/>
      <c r="G283" s="120" t="n"/>
      <c r="H283" s="120" t="n"/>
      <c r="I283" s="122" t="n"/>
      <c r="J283" s="119" t="n"/>
      <c r="K283" s="121" t="n"/>
      <c r="L283" s="120" t="n"/>
      <c r="M283" s="121" t="n"/>
      <c r="N283" s="122" t="inlineStr">
        <is>
          <t>once(duration())</t>
        </is>
      </c>
      <c r="O283" s="121" t="n"/>
      <c r="P283" s="121" t="n"/>
      <c r="Q283" s="121" t="n"/>
      <c r="R283" s="121" t="n"/>
      <c r="S283" s="120" t="n"/>
      <c r="T283" s="121" t="n"/>
      <c r="U283" s="120" t="n"/>
      <c r="V283" s="120" t="n"/>
      <c r="W283" s="121" t="n"/>
      <c r="X283" s="121" t="n"/>
    </row>
    <row r="284" ht="17" customHeight="1">
      <c r="A284" s="119" t="inlineStr">
        <is>
          <t>calculate</t>
        </is>
      </c>
      <c r="B284" s="119" t="inlineStr">
        <is>
          <t>duration_tutorial_pv_i</t>
        </is>
      </c>
      <c r="C284" s="122" t="inlineStr">
        <is>
          <t>Returns the total amount of time spent, in seconds, on place value</t>
        </is>
      </c>
      <c r="D284" s="120" t="n"/>
      <c r="E284" s="121" t="n"/>
      <c r="F284" s="121" t="n"/>
      <c r="G284" s="120" t="n"/>
      <c r="H284" s="120" t="n"/>
      <c r="I284" s="122" t="n"/>
      <c r="J284" s="119" t="n"/>
      <c r="K284" s="121" t="n"/>
      <c r="L284" s="120" t="n"/>
      <c r="M284" s="121" t="n"/>
      <c r="N284" s="122" t="inlineStr">
        <is>
          <t>${end_tutorial_pv} - ${start_tutorial_pv}</t>
        </is>
      </c>
      <c r="O284" s="121" t="n"/>
      <c r="P284" s="121" t="n"/>
      <c r="Q284" s="121" t="n"/>
      <c r="R284" s="121" t="n"/>
      <c r="S284" s="120" t="n"/>
      <c r="T284" s="121" t="n"/>
      <c r="U284" s="120" t="n"/>
      <c r="V284" s="120" t="n"/>
      <c r="W284" s="121" t="n"/>
      <c r="X284" s="121" t="n"/>
    </row>
    <row r="285">
      <c r="A285" s="119" t="inlineStr">
        <is>
          <t>end group</t>
        </is>
      </c>
      <c r="B285" s="119" t="inlineStr">
        <is>
          <t>tutorial_pv</t>
        </is>
      </c>
      <c r="C285" s="122" t="n"/>
      <c r="D285" s="120" t="n"/>
      <c r="E285" s="121" t="n"/>
      <c r="F285" s="121" t="n"/>
      <c r="G285" s="120" t="n"/>
      <c r="H285" s="120" t="n"/>
      <c r="I285" s="122" t="n"/>
      <c r="J285" s="119" t="n"/>
      <c r="K285" s="121" t="n"/>
      <c r="L285" s="120" t="n"/>
      <c r="M285" s="121" t="n"/>
      <c r="N285" s="120" t="n"/>
      <c r="O285" s="121" t="n"/>
      <c r="P285" s="121" t="n"/>
      <c r="Q285" s="121" t="n"/>
      <c r="R285" s="121" t="n"/>
      <c r="S285" s="120" t="n"/>
      <c r="T285" s="121" t="n"/>
      <c r="U285" s="120" t="n"/>
      <c r="V285" s="120" t="n"/>
      <c r="W285" s="121" t="n"/>
      <c r="X285" s="121" t="n"/>
    </row>
    <row r="286" ht="17" customHeight="1">
      <c r="A286" s="119" t="inlineStr">
        <is>
          <t>begin group</t>
        </is>
      </c>
      <c r="B286" s="119" t="inlineStr">
        <is>
          <t>tutorial_num</t>
        </is>
      </c>
      <c r="C286" s="122" t="inlineStr">
        <is>
          <t>Learning operations</t>
        </is>
      </c>
      <c r="D286" s="120" t="n"/>
      <c r="E286" s="121" t="n"/>
      <c r="F286" s="121" t="n"/>
      <c r="G286" s="120" t="n"/>
      <c r="H286" s="120" t="n"/>
      <c r="I286" s="122" t="n"/>
      <c r="J286" s="119" t="n"/>
      <c r="K286" s="121" t="n"/>
      <c r="L286" s="120" t="n"/>
      <c r="M286" s="121" t="n"/>
      <c r="N286" s="120" t="n"/>
      <c r="O286" s="121" t="n"/>
      <c r="P286" s="121" t="n"/>
      <c r="Q286" s="121" t="n"/>
      <c r="R286" s="121" t="n"/>
      <c r="S286" s="120" t="n"/>
      <c r="T286" s="121" t="n"/>
      <c r="U286" s="120" t="n"/>
      <c r="V286" s="120" t="n"/>
      <c r="W286" s="121" t="n"/>
      <c r="X286" s="121" t="n"/>
    </row>
    <row r="287">
      <c r="A287" s="119" t="inlineStr">
        <is>
          <t>calculate_here</t>
        </is>
      </c>
      <c r="B287" s="119" t="inlineStr">
        <is>
          <t>start_tutorial</t>
        </is>
      </c>
      <c r="C287" s="122" t="n"/>
      <c r="D287" s="120" t="n"/>
      <c r="E287" s="121" t="n"/>
      <c r="F287" s="121" t="n"/>
      <c r="G287" s="120" t="n"/>
      <c r="H287" s="120" t="n"/>
      <c r="I287" s="122" t="n"/>
      <c r="J287" s="119" t="n"/>
      <c r="K287" s="121" t="n"/>
      <c r="L287" s="120" t="n"/>
      <c r="M287" s="121" t="n"/>
      <c r="N287" s="122" t="inlineStr">
        <is>
          <t>once(duration())</t>
        </is>
      </c>
      <c r="O287" s="121" t="n"/>
      <c r="P287" s="121" t="n"/>
      <c r="Q287" s="121" t="n"/>
      <c r="R287" s="121" t="n"/>
      <c r="S287" s="120" t="n"/>
      <c r="T287" s="121" t="n"/>
      <c r="U287" s="120" t="n"/>
      <c r="V287" s="120" t="n"/>
      <c r="W287" s="121" t="n"/>
      <c r="X287" s="121" t="n"/>
    </row>
    <row r="288">
      <c r="A288" s="119" t="inlineStr">
        <is>
          <t>begin group</t>
        </is>
      </c>
      <c r="B288" s="119" t="inlineStr">
        <is>
          <t>intro_tutorial</t>
        </is>
      </c>
      <c r="C288" s="122" t="n"/>
      <c r="D288" s="120" t="n"/>
      <c r="E288" s="121" t="n"/>
      <c r="F288" s="121" t="n"/>
      <c r="G288" s="120" t="n"/>
      <c r="H288" s="120" t="n"/>
      <c r="I288" s="122" t="n"/>
      <c r="J288" s="119" t="n"/>
      <c r="K288" s="121" t="n"/>
      <c r="L288" s="120" t="n"/>
      <c r="M288" s="121" t="n"/>
      <c r="N288" s="120" t="n"/>
      <c r="O288" s="121" t="n"/>
      <c r="P288" s="121" t="n"/>
      <c r="Q288" s="121" t="n"/>
      <c r="R288" s="121" t="n"/>
      <c r="S288" s="120" t="n"/>
      <c r="T288" s="121" t="n"/>
      <c r="U288" s="120" t="n"/>
      <c r="V288" s="120" t="n"/>
      <c r="W288" s="121" t="n"/>
      <c r="X288" s="121" t="n"/>
    </row>
    <row r="289" ht="85" customHeight="1">
      <c r="A289" s="119" t="inlineStr">
        <is>
          <t>note</t>
        </is>
      </c>
      <c r="B289" s="119" t="inlineStr">
        <is>
          <t>intro_tutorial_w1</t>
        </is>
      </c>
      <c r="C289" s="122" t="inlineStr">
        <is>
          <t>At sensitization, &lt;font color="#14b14b"&gt;&lt;b&gt;&lt;u&gt;${stud_name_i}&lt;/u&gt;&lt;/b&gt;&lt;/font&gt; mastered &lt;font color="#14b14b"&gt;&lt;b&gt;&lt;u&gt;${stud_level_num_lab_b}&lt;/u&gt;&lt;/b&gt;&lt;/font&gt;.
This week, we suggest you teach &lt;font color="#14b14b"&gt;&lt;b&gt;&lt;u&gt;${suggested_lesson1_lab_i}&lt;/u&gt;&lt;/b&gt;&lt;/font&gt;.</t>
        </is>
      </c>
      <c r="D289" s="120" t="n"/>
      <c r="E289" s="121" t="n"/>
      <c r="F289" s="121" t="n"/>
      <c r="G289" s="120" t="n"/>
      <c r="H289" s="120" t="n"/>
      <c r="I289" s="122" t="inlineStr">
        <is>
          <t>${week} = 1</t>
        </is>
      </c>
      <c r="J289" s="119" t="n"/>
      <c r="K289" s="121" t="n"/>
      <c r="L289" s="120" t="n"/>
      <c r="M289" s="121" t="n"/>
      <c r="N289" s="120" t="n"/>
      <c r="O289" s="121" t="n"/>
      <c r="P289" s="121" t="n"/>
      <c r="Q289" s="121" t="n"/>
      <c r="R289" s="121" t="n"/>
      <c r="S289" s="120" t="n"/>
      <c r="T289" s="121" t="n"/>
      <c r="U289" s="120" t="n"/>
      <c r="V289" s="120" t="n"/>
      <c r="W289" s="121" t="n"/>
      <c r="X289" s="121" t="n"/>
    </row>
    <row r="290" ht="238" customHeight="1">
      <c r="A290" s="119" t="inlineStr">
        <is>
          <t>note</t>
        </is>
      </c>
      <c r="B290" s="119" t="inlineStr">
        <is>
          <t>intro_tutorial_w2a</t>
        </is>
      </c>
      <c r="C290" s="122" t="inlineStr">
        <is>
          <t>Last call, you taught &lt;font color="#14b14b"&gt;&lt;b&gt;&lt;u&gt;${operation_taught_num_lab_w1}&lt;/u&gt;&lt;/b&gt;&lt;/font&gt;.
&lt;br&gt;&lt;br&gt;
&lt;ul&gt;
&lt;li&gt;Checkpoint asked: &lt;font color="#14b14b"&gt;&lt;b&gt;&lt;u&gt;${checkpoint1_num_lab_w1}&lt;/u&gt;&lt;/b&gt;&lt;/font&gt;&lt;/li&gt;
&lt;li&gt;Answered correctly? &lt;font color="#14b14b"&gt;&lt;b&gt;&lt;u&gt;${checkpoint1_correct_num_lab_w1}&lt;/u&gt;&lt;/b&gt;&lt;/font&gt;&lt;/li&gt;
&lt;/ul&gt;
&lt;br&gt;&lt;br&gt;
This week, we suggest you teach &lt;font color="#14b14b"&gt;&lt;b&gt;&lt;u&gt;${suggested_lesson2_lab_i}&lt;/u&gt;&lt;/b&gt;&lt;/font&gt;.</t>
        </is>
      </c>
      <c r="D290" s="120" t="n"/>
      <c r="E290" s="121" t="n"/>
      <c r="F290" s="121" t="n"/>
      <c r="G290" s="120" t="n"/>
      <c r="H290" s="120" t="n"/>
      <c r="I290" s="122" t="inlineStr">
        <is>
          <t>${week} = 2 and ${attendance_w1} = 1</t>
        </is>
      </c>
      <c r="J290" s="119" t="n"/>
      <c r="K290" s="121" t="n"/>
      <c r="L290" s="120" t="n"/>
      <c r="M290" s="121" t="n"/>
      <c r="N290" s="120" t="n"/>
      <c r="O290" s="121" t="n"/>
      <c r="P290" s="121" t="n"/>
      <c r="Q290" s="121" t="n"/>
      <c r="R290" s="121" t="n"/>
      <c r="S290" s="120" t="n"/>
      <c r="T290" s="121" t="n"/>
      <c r="U290" s="120" t="n"/>
      <c r="V290" s="120" t="n"/>
      <c r="W290" s="121" t="n"/>
      <c r="X290" s="121" t="n"/>
    </row>
    <row r="291" ht="102" customHeight="1">
      <c r="A291" s="119" t="inlineStr">
        <is>
          <t>note</t>
        </is>
      </c>
      <c r="B291" s="119" t="inlineStr">
        <is>
          <t>intro_tutorial_w2b</t>
        </is>
      </c>
      <c r="C291" s="122" t="inlineStr">
        <is>
          <t>Last call, &lt;font color="#14b14b"&gt;&lt;b&gt;&lt;u&gt;${stud_name_i}&lt;/u&gt;&lt;/b&gt;&lt;/font&gt; was not available.
&lt;br&gt;&lt;br&gt;
This week, we suggest you teach &lt;font color="#14b14b"&gt;&lt;b&gt;&lt;u&gt;${suggested_lesson2_lab_i}&lt;/u&gt;&lt;/b&gt;&lt;/font&gt;.</t>
        </is>
      </c>
      <c r="D291" s="120" t="n"/>
      <c r="E291" s="121" t="n"/>
      <c r="F291" s="121" t="n"/>
      <c r="G291" s="120" t="n"/>
      <c r="H291" s="120" t="n"/>
      <c r="I291" s="122" t="inlineStr">
        <is>
          <t>${week} = 2 and ${attendance_w1} = 0</t>
        </is>
      </c>
      <c r="J291" s="119" t="n"/>
      <c r="K291" s="121" t="n"/>
      <c r="L291" s="120" t="n"/>
      <c r="M291" s="121" t="n"/>
      <c r="N291" s="120" t="n"/>
      <c r="O291" s="121" t="n"/>
      <c r="P291" s="121" t="n"/>
      <c r="Q291" s="121" t="n"/>
      <c r="R291" s="121" t="n"/>
      <c r="S291" s="120" t="n"/>
      <c r="T291" s="121" t="n"/>
      <c r="U291" s="120" t="n"/>
      <c r="V291" s="120" t="n"/>
      <c r="W291" s="121" t="n"/>
      <c r="X291" s="121" t="n"/>
    </row>
    <row r="292" ht="238" customHeight="1">
      <c r="A292" s="119" t="inlineStr">
        <is>
          <t>note</t>
        </is>
      </c>
      <c r="B292" s="119" t="inlineStr">
        <is>
          <t>intro_tutorial_w3a</t>
        </is>
      </c>
      <c r="C292" s="122" t="inlineStr">
        <is>
          <t>Last call, you taught &lt;font color="#14b14b"&gt;&lt;b&gt;&lt;u&gt;${operation_taught_num_lab_w2}&lt;/u&gt;&lt;/b&gt;&lt;/font&gt;.
&lt;br&gt;&lt;br&gt;
&lt;ul&gt;
&lt;li&gt;Checkpoint asked: &lt;font color="#14b14b"&gt;&lt;b&gt;&lt;u&gt;${checkpoint1_num_lab_w2}&lt;/u&gt;&lt;/b&gt;&lt;/font&gt;&lt;/li&gt;
&lt;li&gt;Answered correctly? &lt;font color="#14b14b"&gt;&lt;b&gt;&lt;u&gt;${checkpoint1_correct_num_lab_w2}&lt;/u&gt;&lt;/b&gt;&lt;/font&gt;&lt;/li&gt;
&lt;/ul&gt;
&lt;br&gt;&lt;br&gt;
This week, we suggest you teach &lt;font color="#14b14b"&gt;&lt;b&gt;&lt;u&gt;${suggested_lesson3_lab_i}&lt;/u&gt;&lt;/b&gt;&lt;/font&gt;.</t>
        </is>
      </c>
      <c r="D292" s="120" t="n"/>
      <c r="E292" s="121" t="n"/>
      <c r="F292" s="121" t="n"/>
      <c r="G292" s="120" t="n"/>
      <c r="H292" s="120" t="n"/>
      <c r="I292" s="122" t="inlineStr">
        <is>
          <t>${week} = 3 and ${attendance_w2} = 1</t>
        </is>
      </c>
      <c r="J292" s="119" t="n"/>
      <c r="K292" s="121" t="n"/>
      <c r="L292" s="120" t="n"/>
      <c r="M292" s="121" t="n"/>
      <c r="N292" s="120" t="n"/>
      <c r="O292" s="121" t="n"/>
      <c r="P292" s="121" t="n"/>
      <c r="Q292" s="121" t="n"/>
      <c r="R292" s="121" t="n"/>
      <c r="S292" s="120" t="n"/>
      <c r="T292" s="121" t="n"/>
      <c r="U292" s="120" t="n"/>
      <c r="V292" s="120" t="n"/>
      <c r="W292" s="121" t="n"/>
      <c r="X292" s="121" t="n"/>
    </row>
    <row r="293" ht="119" customHeight="1">
      <c r="A293" s="119" t="inlineStr">
        <is>
          <t>note</t>
        </is>
      </c>
      <c r="B293" s="119" t="inlineStr">
        <is>
          <t>intro_tutorial_w3b</t>
        </is>
      </c>
      <c r="C293" s="122" t="inlineStr">
        <is>
          <t>Last call, &lt;font color="#14b14b"&gt;&lt;b&gt;&lt;u&gt;${stud_name_i}&lt;/u&gt;&lt;/b&gt;&lt;/font&gt; was not available.
&lt;br&gt;&lt;br&gt;
&lt;br&gt;&lt;br&gt;
This week, we suggest you teach &lt;font color="#14b14b"&gt;&lt;b&gt;&lt;u&gt;${suggested_lesson3_lab_i}&lt;/u&gt;&lt;/b&gt;&lt;/font&gt;.</t>
        </is>
      </c>
      <c r="D293" s="120" t="n"/>
      <c r="E293" s="121" t="n"/>
      <c r="F293" s="121" t="n"/>
      <c r="G293" s="120" t="n"/>
      <c r="H293" s="120" t="n"/>
      <c r="I293" s="122" t="inlineStr">
        <is>
          <t>${week} = 3 and ${attendance_w2} = 0</t>
        </is>
      </c>
      <c r="J293" s="119" t="n"/>
      <c r="K293" s="121" t="n"/>
      <c r="L293" s="120" t="n"/>
      <c r="M293" s="121" t="n"/>
      <c r="N293" s="120" t="n"/>
      <c r="O293" s="121" t="n"/>
      <c r="P293" s="121" t="n"/>
      <c r="Q293" s="121" t="n"/>
      <c r="R293" s="121" t="n"/>
      <c r="S293" s="120" t="n"/>
      <c r="T293" s="121" t="n"/>
      <c r="U293" s="120" t="n"/>
      <c r="V293" s="120" t="n"/>
      <c r="W293" s="121" t="n"/>
      <c r="X293" s="121" t="n"/>
    </row>
    <row r="294" ht="238" customHeight="1">
      <c r="A294" s="119" t="inlineStr">
        <is>
          <t>note</t>
        </is>
      </c>
      <c r="B294" s="119" t="inlineStr">
        <is>
          <t>intro_tutorial_w4a</t>
        </is>
      </c>
      <c r="C294" s="122" t="inlineStr">
        <is>
          <t>Last call, you taught &lt;font color="#14b14b"&gt;&lt;b&gt;&lt;u&gt;${operation_taught_num_lab_w3}&lt;/u&gt;&lt;/b&gt;&lt;/font&gt;.
&lt;br&gt;&lt;br&gt;
&lt;ul&gt;
&lt;li&gt;Checkpoint asked: &lt;font color="#14b14b"&gt;&lt;b&gt;&lt;u&gt;${checkpoint1_num_lab_w3}&lt;/u&gt;&lt;/b&gt;&lt;/font&gt;&lt;/li&gt;
&lt;li&gt;Answered correctly? &lt;font color="#14b14b"&gt;&lt;b&gt;&lt;u&gt;${checkpoint1_correct_num_lab_w3}&lt;/u&gt;&lt;/b&gt;&lt;/font&gt;&lt;/li&gt;
&lt;/ul&gt;
&lt;br&gt;&lt;br&gt;
This week, we suggest you teach &lt;font color="#14b14b"&gt;&lt;b&gt;&lt;u&gt;${suggested_lesson4_lab_i}&lt;/u&gt;&lt;/b&gt;&lt;/font&gt;.</t>
        </is>
      </c>
      <c r="D294" s="120" t="n"/>
      <c r="E294" s="121" t="n"/>
      <c r="F294" s="121" t="n"/>
      <c r="G294" s="120" t="n"/>
      <c r="H294" s="120" t="n"/>
      <c r="I294" s="122" t="inlineStr">
        <is>
          <t>${week} = 4 and ${attendance_w3} = 1</t>
        </is>
      </c>
      <c r="J294" s="119" t="n"/>
      <c r="K294" s="121" t="n"/>
      <c r="L294" s="120" t="n"/>
      <c r="M294" s="121" t="n"/>
      <c r="N294" s="120" t="n"/>
      <c r="O294" s="121" t="n"/>
      <c r="P294" s="121" t="n"/>
      <c r="Q294" s="121" t="n"/>
      <c r="R294" s="121" t="n"/>
      <c r="S294" s="120" t="n"/>
      <c r="T294" s="121" t="n"/>
      <c r="U294" s="120" t="n"/>
      <c r="V294" s="120" t="n"/>
      <c r="W294" s="121" t="n"/>
      <c r="X294" s="121" t="n"/>
    </row>
    <row r="295" ht="119" customHeight="1">
      <c r="A295" s="119" t="inlineStr">
        <is>
          <t>note</t>
        </is>
      </c>
      <c r="B295" s="119" t="inlineStr">
        <is>
          <t>intro_tutorial_w4b</t>
        </is>
      </c>
      <c r="C295" s="122" t="inlineStr">
        <is>
          <t>Last call, &lt;font color="#14b14b"&gt;&lt;b&gt;&lt;u&gt;${stud_name_i}&lt;/u&gt;&lt;/b&gt;&lt;/font&gt; was not available.
&lt;br&gt;&lt;br&gt;
&lt;br&gt;&lt;br&gt;
This week, we suggest you teach &lt;font color="#14b14b"&gt;&lt;b&gt;&lt;u&gt;${suggested_lesson4_lab_i}&lt;/u&gt;&lt;/b&gt;&lt;/font&gt;.</t>
        </is>
      </c>
      <c r="D295" s="120" t="n"/>
      <c r="E295" s="121" t="n"/>
      <c r="F295" s="121" t="n"/>
      <c r="G295" s="120" t="n"/>
      <c r="H295" s="120" t="n"/>
      <c r="I295" s="122" t="inlineStr">
        <is>
          <t>${week} = 4 and ${attendance_w3} = 0</t>
        </is>
      </c>
      <c r="J295" s="119" t="n"/>
      <c r="K295" s="121" t="n"/>
      <c r="L295" s="120" t="n"/>
      <c r="M295" s="121" t="n"/>
      <c r="N295" s="120" t="n"/>
      <c r="O295" s="121" t="n"/>
      <c r="P295" s="121" t="n"/>
      <c r="Q295" s="121" t="n"/>
      <c r="R295" s="121" t="n"/>
      <c r="S295" s="120" t="n"/>
      <c r="T295" s="121" t="n"/>
      <c r="U295" s="120" t="n"/>
      <c r="V295" s="120" t="n"/>
      <c r="W295" s="121" t="n"/>
      <c r="X295" s="121" t="n"/>
    </row>
    <row r="296" ht="238" customHeight="1">
      <c r="A296" s="119" t="inlineStr">
        <is>
          <t>note</t>
        </is>
      </c>
      <c r="B296" s="119" t="inlineStr">
        <is>
          <t>intro_tutorial_w5a</t>
        </is>
      </c>
      <c r="C296" s="122" t="inlineStr">
        <is>
          <t>Last call, you taught &lt;font color="#14b14b"&gt;&lt;b&gt;&lt;u&gt;${operation_taught_num_lab_w4}&lt;/u&gt;&lt;/b&gt;&lt;/font&gt;.
&lt;br&gt;&lt;br&gt;
&lt;ul&gt;
&lt;li&gt;Checkpoint asked: &lt;font color="#14b14b"&gt;&lt;b&gt;&lt;u&gt;${checkpoint1_num_lab_w4}&lt;/u&gt;&lt;/b&gt;&lt;/font&gt;&lt;/li&gt;
&lt;li&gt;Answered correctly? &lt;font color="#14b14b"&gt;&lt;b&gt;&lt;u&gt;${checkpoint1_correct_num_lab_w4}&lt;/u&gt;&lt;/b&gt;&lt;/font&gt;&lt;/li&gt;
&lt;/ul&gt;
&lt;br&gt;&lt;br&gt;
This week, we suggest you teach &lt;font color="#14b14b"&gt;&lt;b&gt;&lt;u&gt;${suggested_lesson5_lab_i}&lt;/u&gt;&lt;/b&gt;&lt;/font&gt;.</t>
        </is>
      </c>
      <c r="D296" s="120" t="n"/>
      <c r="E296" s="121" t="n"/>
      <c r="F296" s="121" t="n"/>
      <c r="G296" s="120" t="n"/>
      <c r="H296" s="120" t="n"/>
      <c r="I296" s="122" t="inlineStr">
        <is>
          <t>${week} = 5 and ${attendance_w4} = 1</t>
        </is>
      </c>
      <c r="J296" s="119" t="n"/>
      <c r="K296" s="121" t="n"/>
      <c r="L296" s="120" t="n"/>
      <c r="M296" s="121" t="n"/>
      <c r="N296" s="120" t="n"/>
      <c r="O296" s="121" t="n"/>
      <c r="P296" s="121" t="n"/>
      <c r="Q296" s="121" t="n"/>
      <c r="R296" s="121" t="n"/>
      <c r="S296" s="120" t="n"/>
      <c r="T296" s="121" t="n"/>
      <c r="U296" s="120" t="n"/>
      <c r="V296" s="120" t="n"/>
      <c r="W296" s="121" t="n"/>
      <c r="X296" s="121" t="n"/>
    </row>
    <row r="297" ht="119" customHeight="1">
      <c r="A297" s="119" t="inlineStr">
        <is>
          <t>note</t>
        </is>
      </c>
      <c r="B297" s="119" t="inlineStr">
        <is>
          <t>intro_tutorial_w5b</t>
        </is>
      </c>
      <c r="C297" s="122" t="inlineStr">
        <is>
          <t>Last call, &lt;font color="#14b14b"&gt;&lt;b&gt;&lt;u&gt;${stud_name_i}&lt;/u&gt;&lt;/b&gt;&lt;/font&gt; was not available.
&lt;br&gt;&lt;br&gt;
&lt;br&gt;&lt;br&gt;
This week, we suggest you teach &lt;font color="#14b14b"&gt;&lt;b&gt;&lt;u&gt;${suggested_lesson5_lab_i}&lt;/u&gt;&lt;/b&gt;&lt;/font&gt;.</t>
        </is>
      </c>
      <c r="D297" s="120" t="n"/>
      <c r="E297" s="121" t="n"/>
      <c r="F297" s="121" t="n"/>
      <c r="G297" s="120" t="n"/>
      <c r="H297" s="120" t="n"/>
      <c r="I297" s="122" t="inlineStr">
        <is>
          <t>${week} = 5 and ${attendance_w4} = 0</t>
        </is>
      </c>
      <c r="J297" s="119" t="n"/>
      <c r="K297" s="121" t="n"/>
      <c r="L297" s="120" t="n"/>
      <c r="M297" s="121" t="n"/>
      <c r="N297" s="120" t="n"/>
      <c r="O297" s="121" t="n"/>
      <c r="P297" s="121" t="n"/>
      <c r="Q297" s="121" t="n"/>
      <c r="R297" s="121" t="n"/>
      <c r="S297" s="120" t="n"/>
      <c r="T297" s="121" t="n"/>
      <c r="U297" s="120" t="n"/>
      <c r="V297" s="120" t="n"/>
      <c r="W297" s="121" t="n"/>
      <c r="X297" s="121" t="n"/>
    </row>
    <row r="298" ht="238" customHeight="1">
      <c r="A298" s="119" t="inlineStr">
        <is>
          <t>note</t>
        </is>
      </c>
      <c r="B298" s="119" t="inlineStr">
        <is>
          <t>intro_tutorial_w6a</t>
        </is>
      </c>
      <c r="C298" s="122" t="inlineStr">
        <is>
          <t>Last call, you taught &lt;font color="#14b14b"&gt;&lt;b&gt;&lt;u&gt;${operation_taught_num_lab_w5}&lt;/u&gt;&lt;/b&gt;&lt;/font&gt;.
&lt;br&gt;&lt;br&gt;
&lt;ul&gt;
&lt;li&gt;Checkpoint asked: &lt;font color="#14b14b"&gt;&lt;b&gt;&lt;u&gt;${checkpoint1_num_lab_w5}&lt;/u&gt;&lt;/b&gt;&lt;/font&gt;&lt;/li&gt;
&lt;li&gt;Answered correctly? &lt;font color="#14b14b"&gt;&lt;b&gt;&lt;u&gt;${checkpoint1_correct_num_lab_w5}&lt;/u&gt;&lt;/b&gt;&lt;/font&gt;&lt;/li&gt;
&lt;/ul&gt;
&lt;br&gt;&lt;br&gt;
This week, we suggest you teach &lt;font color="#14b14b"&gt;&lt;b&gt;&lt;u&gt;${suggested_lesson6_lab_i}&lt;/u&gt;&lt;/b&gt;&lt;/font&gt;.</t>
        </is>
      </c>
      <c r="D298" s="120" t="n"/>
      <c r="E298" s="121" t="n"/>
      <c r="F298" s="121" t="n"/>
      <c r="G298" s="120" t="n"/>
      <c r="H298" s="120" t="n"/>
      <c r="I298" s="122" t="inlineStr">
        <is>
          <t>${week} = 6 and ${attendance_w5} = 1</t>
        </is>
      </c>
      <c r="J298" s="119" t="n"/>
      <c r="K298" s="121" t="n"/>
      <c r="L298" s="120" t="n"/>
      <c r="M298" s="121" t="n"/>
      <c r="N298" s="120" t="n"/>
      <c r="O298" s="121" t="n"/>
      <c r="P298" s="121" t="n"/>
      <c r="Q298" s="121" t="n"/>
      <c r="R298" s="121" t="n"/>
      <c r="S298" s="120" t="n"/>
      <c r="T298" s="121" t="n"/>
      <c r="U298" s="120" t="n"/>
      <c r="V298" s="120" t="n"/>
      <c r="W298" s="121" t="n"/>
      <c r="X298" s="121" t="n"/>
    </row>
    <row r="299" ht="119" customHeight="1">
      <c r="A299" s="119" t="inlineStr">
        <is>
          <t>note</t>
        </is>
      </c>
      <c r="B299" s="119" t="inlineStr">
        <is>
          <t>intro_tutorial_w6b</t>
        </is>
      </c>
      <c r="C299" s="122" t="inlineStr">
        <is>
          <t>Last call, &lt;font color="#14b14b"&gt;&lt;b&gt;&lt;u&gt;${stud_name_i}&lt;/u&gt;&lt;/b&gt;&lt;/font&gt; was not available.
&lt;br&gt;&lt;br&gt;
&lt;br&gt;&lt;br&gt;
This week, we suggest you teach &lt;font color="#14b14b"&gt;&lt;b&gt;&lt;u&gt;${suggested_lesson6_lab_i}&lt;/u&gt;&lt;/b&gt;&lt;/font&gt;.</t>
        </is>
      </c>
      <c r="D299" s="120" t="n"/>
      <c r="E299" s="121" t="n"/>
      <c r="F299" s="121" t="n"/>
      <c r="G299" s="120" t="n"/>
      <c r="H299" s="120" t="n"/>
      <c r="I299" s="122" t="inlineStr">
        <is>
          <t>${week} = 6 and ${attendance_w5} = 0</t>
        </is>
      </c>
      <c r="J299" s="119" t="n"/>
      <c r="K299" s="121" t="n"/>
      <c r="L299" s="120" t="n"/>
      <c r="M299" s="121" t="n"/>
      <c r="N299" s="120" t="n"/>
      <c r="O299" s="121" t="n"/>
      <c r="P299" s="121" t="n"/>
      <c r="Q299" s="121" t="n"/>
      <c r="R299" s="121" t="n"/>
      <c r="S299" s="120" t="n"/>
      <c r="T299" s="121" t="n"/>
      <c r="U299" s="120" t="n"/>
      <c r="V299" s="120" t="n"/>
      <c r="W299" s="121" t="n"/>
      <c r="X299" s="121" t="n"/>
    </row>
    <row r="300" ht="238" customHeight="1">
      <c r="A300" s="119" t="inlineStr">
        <is>
          <t>note</t>
        </is>
      </c>
      <c r="B300" s="119" t="inlineStr">
        <is>
          <t>intro_tutorial_w7a</t>
        </is>
      </c>
      <c r="C300" s="122" t="inlineStr">
        <is>
          <t>Last call, you taught &lt;font color="#14b14b"&gt;&lt;b&gt;&lt;u&gt;${operation_taught_num_lab_w6}&lt;/u&gt;&lt;/b&gt;&lt;/font&gt;.
&lt;br&gt;&lt;br&gt;
&lt;ul&gt;
&lt;li&gt;Checkpoint asked: &lt;font color="#14b14b"&gt;&lt;b&gt;&lt;u&gt;${checkpoint1_num_lab_w6}&lt;/u&gt;&lt;/b&gt;&lt;/font&gt;&lt;/li&gt;
&lt;li&gt;Answered correctly? &lt;font color="#14b14b"&gt;&lt;b&gt;&lt;u&gt;${checkpoint1_correct_num_lab_w6}&lt;/u&gt;&lt;/b&gt;&lt;/font&gt;&lt;/li&gt;
&lt;/ul&gt;
&lt;br&gt;&lt;br&gt;
This week, we suggest you teach &lt;font color="#14b14b"&gt;&lt;b&gt;&lt;u&gt;${suggested_lesson7_lab_i}&lt;/u&gt;&lt;/b&gt;&lt;/font&gt;.</t>
        </is>
      </c>
      <c r="D300" s="120" t="n"/>
      <c r="E300" s="121" t="n"/>
      <c r="F300" s="121" t="n"/>
      <c r="G300" s="120" t="n"/>
      <c r="H300" s="120" t="n"/>
      <c r="I300" s="122" t="inlineStr">
        <is>
          <t>${week} = 7 and ${attendance_w6} = 1</t>
        </is>
      </c>
      <c r="J300" s="119" t="n"/>
      <c r="K300" s="121" t="n"/>
      <c r="L300" s="120" t="n"/>
      <c r="M300" s="121" t="n"/>
      <c r="N300" s="120" t="n"/>
      <c r="O300" s="121" t="n"/>
      <c r="P300" s="121" t="n"/>
      <c r="Q300" s="121" t="n"/>
      <c r="R300" s="121" t="n"/>
      <c r="S300" s="120" t="n"/>
      <c r="T300" s="121" t="n"/>
      <c r="U300" s="120" t="n"/>
      <c r="V300" s="120" t="n"/>
      <c r="W300" s="121" t="n"/>
      <c r="X300" s="121" t="n"/>
    </row>
    <row r="301" ht="119" customHeight="1">
      <c r="A301" s="119" t="inlineStr">
        <is>
          <t>note</t>
        </is>
      </c>
      <c r="B301" s="119" t="inlineStr">
        <is>
          <t>intro_tutorial_w7b</t>
        </is>
      </c>
      <c r="C301" s="122" t="inlineStr">
        <is>
          <t>Last call, &lt;font color="#14b14b"&gt;&lt;b&gt;&lt;u&gt;${stud_name_i}&lt;/u&gt;&lt;/b&gt;&lt;/font&gt; was not available.
&lt;br&gt;&lt;br&gt;
&lt;br&gt;&lt;br&gt;
This week, we suggest you teach &lt;font color="#14b14b"&gt;&lt;b&gt;&lt;u&gt;${suggested_lesson7_lab_i}&lt;/u&gt;&lt;/b&gt;&lt;/font&gt;.</t>
        </is>
      </c>
      <c r="D301" s="120" t="n"/>
      <c r="E301" s="121" t="n"/>
      <c r="F301" s="121" t="n"/>
      <c r="G301" s="120" t="n"/>
      <c r="H301" s="120" t="n"/>
      <c r="I301" s="122" t="inlineStr">
        <is>
          <t>${week} = 7 and ${attendance_w6} = 0</t>
        </is>
      </c>
      <c r="J301" s="119" t="n"/>
      <c r="K301" s="121" t="n"/>
      <c r="L301" s="120" t="n"/>
      <c r="M301" s="121" t="n"/>
      <c r="N301" s="120" t="n"/>
      <c r="O301" s="121" t="n"/>
      <c r="P301" s="121" t="n"/>
      <c r="Q301" s="121" t="n"/>
      <c r="R301" s="121" t="n"/>
      <c r="S301" s="120" t="n"/>
      <c r="T301" s="121" t="n"/>
      <c r="U301" s="120" t="n"/>
      <c r="V301" s="120" t="n"/>
      <c r="W301" s="121" t="n"/>
      <c r="X301" s="121" t="n"/>
    </row>
    <row r="302" ht="238" customHeight="1">
      <c r="A302" s="119" t="inlineStr">
        <is>
          <t>note</t>
        </is>
      </c>
      <c r="B302" s="119" t="inlineStr">
        <is>
          <t>intro_tutorial_w8a</t>
        </is>
      </c>
      <c r="C302" s="122" t="inlineStr">
        <is>
          <t>Last call, you taught &lt;font color="#14b14b"&gt;&lt;b&gt;&lt;u&gt;${operation_taught_num_lab_w7}&lt;/u&gt;&lt;/b&gt;&lt;/font&gt;.
&lt;br&gt;&lt;br&gt;
&lt;ul&gt;
&lt;li&gt;Checkpoint asked: &lt;font color="#14b14b"&gt;&lt;b&gt;&lt;u&gt;${checkpoint1_num_lab_w7}&lt;/u&gt;&lt;/b&gt;&lt;/font&gt;&lt;/li&gt;
&lt;li&gt;Answered correctly? &lt;font color="#14b14b"&gt;&lt;b&gt;&lt;u&gt;${checkpoint1_correct_num_lab_w7}&lt;/u&gt;&lt;/b&gt;&lt;/font&gt;&lt;/li&gt;
&lt;/ul&gt;
&lt;br&gt;&lt;br&gt;
This week, we suggest you teach &lt;font color="#14b14b"&gt;&lt;b&gt;&lt;u&gt;${suggested_lesson8_lab_i}&lt;/u&gt;&lt;/b&gt;&lt;/font&gt;.</t>
        </is>
      </c>
      <c r="D302" s="120" t="n"/>
      <c r="E302" s="121" t="n"/>
      <c r="F302" s="121" t="n"/>
      <c r="G302" s="120" t="n"/>
      <c r="H302" s="120" t="n"/>
      <c r="I302" s="122" t="inlineStr">
        <is>
          <t>${week} = 8 and ${attendance_w7} = 1</t>
        </is>
      </c>
      <c r="J302" s="119" t="n"/>
      <c r="K302" s="121" t="n"/>
      <c r="L302" s="120" t="n"/>
      <c r="M302" s="121" t="n"/>
      <c r="N302" s="120" t="n"/>
      <c r="O302" s="121" t="n"/>
      <c r="P302" s="121" t="n"/>
      <c r="Q302" s="121" t="n"/>
      <c r="R302" s="121" t="n"/>
      <c r="S302" s="120" t="n"/>
      <c r="T302" s="121" t="n"/>
      <c r="U302" s="120" t="n"/>
      <c r="V302" s="120" t="n"/>
      <c r="W302" s="121" t="n"/>
      <c r="X302" s="121" t="n"/>
    </row>
    <row r="303" ht="119" customHeight="1">
      <c r="A303" s="119" t="inlineStr">
        <is>
          <t>note</t>
        </is>
      </c>
      <c r="B303" s="119" t="inlineStr">
        <is>
          <t>intro_tutorial_w8b</t>
        </is>
      </c>
      <c r="C303" s="122" t="inlineStr">
        <is>
          <t>Last call, &lt;font color="#14b14b"&gt;&lt;b&gt;&lt;u&gt;${stud_name_i}&lt;/u&gt;&lt;/b&gt;&lt;/font&gt; was not available.
&lt;br&gt;&lt;br&gt;
&lt;br&gt;&lt;br&gt;
This week, we suggest you teach &lt;font color="#14b14b"&gt;&lt;b&gt;&lt;u&gt;${suggested_lesson8_lab_i}&lt;/u&gt;&lt;/b&gt;&lt;/font&gt;.</t>
        </is>
      </c>
      <c r="D303" s="120" t="n"/>
      <c r="E303" s="121" t="n"/>
      <c r="F303" s="121" t="n"/>
      <c r="G303" s="120" t="n"/>
      <c r="H303" s="120" t="n"/>
      <c r="I303" s="122" t="inlineStr">
        <is>
          <t>${week} = 8 and ${attendance_w7} = 0</t>
        </is>
      </c>
      <c r="J303" s="119" t="n"/>
      <c r="K303" s="121" t="n"/>
      <c r="L303" s="120" t="n"/>
      <c r="M303" s="121" t="n"/>
      <c r="N303" s="120" t="n"/>
      <c r="O303" s="121" t="n"/>
      <c r="P303" s="121" t="n"/>
      <c r="Q303" s="121" t="n"/>
      <c r="R303" s="121" t="n"/>
      <c r="S303" s="120" t="n"/>
      <c r="T303" s="121" t="n"/>
      <c r="U303" s="120" t="n"/>
      <c r="V303" s="120" t="n"/>
      <c r="W303" s="121" t="n"/>
      <c r="X303" s="121" t="n"/>
    </row>
    <row r="304">
      <c r="A304" s="119" t="inlineStr">
        <is>
          <t>end group</t>
        </is>
      </c>
      <c r="B304" s="119" t="inlineStr">
        <is>
          <t>intro_tutorial</t>
        </is>
      </c>
      <c r="C304" s="122" t="n"/>
      <c r="D304" s="120" t="n"/>
      <c r="E304" s="121" t="n"/>
      <c r="F304" s="121" t="n"/>
      <c r="G304" s="120" t="n"/>
      <c r="H304" s="120" t="n"/>
      <c r="I304" s="122" t="n"/>
      <c r="J304" s="119" t="n"/>
      <c r="K304" s="121" t="n"/>
      <c r="L304" s="120" t="n"/>
      <c r="M304" s="121" t="n"/>
      <c r="N304" s="120" t="n"/>
      <c r="O304" s="121" t="n"/>
      <c r="P304" s="121" t="n"/>
      <c r="Q304" s="121" t="n"/>
      <c r="R304" s="121" t="n"/>
      <c r="S304" s="120" t="n"/>
      <c r="T304" s="121" t="n"/>
      <c r="U304" s="120" t="n"/>
      <c r="V304" s="120" t="n"/>
      <c r="W304" s="121" t="n"/>
      <c r="X304" s="121" t="n"/>
    </row>
    <row r="305" ht="68" customHeight="1">
      <c r="A305" s="119" t="inlineStr">
        <is>
          <t>select_one operation</t>
        </is>
      </c>
      <c r="B305" s="119" t="inlineStr">
        <is>
          <t>operation_taught_num_i</t>
        </is>
      </c>
      <c r="C305" s="122" t="inlineStr">
        <is>
          <t>&lt;p&gt;&lt;span style="color: #3366ff;"&gt;&lt;strong&gt;INSTRUCTIONS: DO NOT READ OUT LOUD.&lt;/strong&gt;&lt;/span&gt;&lt;br /&gt; &lt;br /&gt;&lt;span style="color: #3366ff;"&gt;&lt;/p&gt;
What operation will you teach &lt;font color="#14b14b"&gt;&lt;b&gt;&lt;u&gt;${stud_name_i}&lt;/u&gt;&lt;/b&gt;&lt;/font&gt; this week?</t>
        </is>
      </c>
      <c r="D305" s="120" t="n"/>
      <c r="E305" s="121" t="n"/>
      <c r="F305" s="121" t="n"/>
      <c r="G305" s="120" t="n"/>
      <c r="H305" s="120" t="n"/>
      <c r="I305" s="122" t="n"/>
      <c r="J305" s="119" t="n"/>
      <c r="K305" s="119" t="inlineStr">
        <is>
          <t>yes</t>
        </is>
      </c>
      <c r="L305" s="120" t="n"/>
      <c r="M305" s="121" t="n"/>
      <c r="N305" s="120" t="n"/>
      <c r="O305" s="121" t="n"/>
      <c r="P305" s="121" t="n"/>
      <c r="Q305" s="121" t="n"/>
      <c r="R305" s="121" t="n"/>
      <c r="S305" s="120" t="n"/>
      <c r="T305" s="121" t="n"/>
      <c r="U305" s="120" t="n"/>
      <c r="V305" s="120" t="n"/>
      <c r="W305" s="121" t="n"/>
      <c r="X305" s="121" t="n"/>
    </row>
    <row r="306" ht="17" customHeight="1">
      <c r="A306" s="119" t="inlineStr">
        <is>
          <t>calculate</t>
        </is>
      </c>
      <c r="B306" s="119" t="inlineStr">
        <is>
          <t>operation_taught_num_lab_i</t>
        </is>
      </c>
      <c r="C306" s="122" t="inlineStr">
        <is>
          <t>Returns operation taught (choice label)</t>
        </is>
      </c>
      <c r="D306" s="120" t="n"/>
      <c r="E306" s="121" t="n"/>
      <c r="F306" s="121" t="n"/>
      <c r="G306" s="120" t="n"/>
      <c r="H306" s="120" t="n"/>
      <c r="I306" s="122" t="n"/>
      <c r="J306" s="119" t="n"/>
      <c r="K306" s="121" t="n"/>
      <c r="L306" s="120" t="n"/>
      <c r="M306" s="121" t="n"/>
      <c r="N306" s="122" t="inlineStr">
        <is>
          <t>choice-label(${operation_taught_num_i}, ${operation_taught_num_i})</t>
        </is>
      </c>
      <c r="O306" s="121" t="n"/>
      <c r="P306" s="121" t="n"/>
      <c r="Q306" s="121" t="n"/>
      <c r="R306" s="121" t="n"/>
      <c r="S306" s="120" t="n"/>
      <c r="T306" s="121" t="n"/>
      <c r="U306" s="120" t="n"/>
      <c r="V306" s="120" t="n"/>
      <c r="W306" s="121" t="n"/>
      <c r="X306" s="121" t="n"/>
    </row>
    <row r="307" ht="17" customHeight="1">
      <c r="A307" s="119" t="inlineStr">
        <is>
          <t>calculate</t>
        </is>
      </c>
      <c r="B307" s="119" t="inlineStr">
        <is>
          <t>targeting_accuracy_num_i</t>
        </is>
      </c>
      <c r="C307" s="122" t="inlineStr">
        <is>
          <t>Returns accurate targeting of lesson</t>
        </is>
      </c>
      <c r="D307" s="120" t="n"/>
      <c r="E307" s="121" t="n"/>
      <c r="F307" s="121" t="n"/>
      <c r="G307" s="120" t="n"/>
      <c r="H307" s="120" t="n"/>
      <c r="I307" s="122" t="n"/>
      <c r="J307" s="119" t="n"/>
      <c r="K307" s="121" t="n"/>
      <c r="L307" s="120" t="n"/>
      <c r="M307" s="121" t="n"/>
      <c r="N307" s="122" t="inlineStr">
        <is>
          <t>if(${operation_taught_num_i} = ${suggested_lesson_this_week}, '1', '0')</t>
        </is>
      </c>
      <c r="O307" s="121" t="n"/>
      <c r="P307" s="121" t="n"/>
      <c r="Q307" s="121" t="n"/>
      <c r="R307" s="121" t="n"/>
      <c r="S307" s="120" t="n"/>
      <c r="T307" s="121" t="n"/>
      <c r="U307" s="120" t="n"/>
      <c r="V307" s="120" t="n"/>
      <c r="W307" s="121" t="n"/>
      <c r="X307" s="121" t="n"/>
    </row>
    <row r="308" ht="136" customHeight="1">
      <c r="A308" s="119" t="inlineStr">
        <is>
          <t>note</t>
        </is>
      </c>
      <c r="B308" s="119" t="inlineStr">
        <is>
          <t>note_test_targeting</t>
        </is>
      </c>
      <c r="C308" s="122" t="inlineStr">
        <is>
          <t>&lt;b&gt;DISABLE AFTER TESTING:&lt;/b&gt;
&lt;br&gt;&lt;br&gt;
Week: ${week} &lt;br&gt;
Suggested lesson: ${suggested_lesson_this_week_lab}, ${suggested_lesson_this_week} &lt;br&gt;
Operation taught: ${operation_taught_num_lab_i}, ${operation_taught_num_i} &lt;br&gt;
Accurate targeting = ${targeting_accuracy_num_i}</t>
        </is>
      </c>
      <c r="D308" s="120" t="n"/>
      <c r="E308" s="121" t="n"/>
      <c r="F308" s="121" t="n"/>
      <c r="G308" s="120" t="n"/>
      <c r="H308" s="120" t="n"/>
      <c r="I308" s="122" t="n"/>
      <c r="J308" s="119" t="inlineStr">
        <is>
          <t>yes</t>
        </is>
      </c>
      <c r="K308" s="121" t="n"/>
      <c r="L308" s="120" t="n"/>
      <c r="M308" s="121" t="n"/>
      <c r="N308" s="122" t="n"/>
      <c r="O308" s="121" t="n"/>
      <c r="P308" s="121" t="n"/>
      <c r="Q308" s="121" t="n"/>
      <c r="R308" s="121" t="n"/>
      <c r="S308" s="120" t="n"/>
      <c r="T308" s="121" t="n"/>
      <c r="U308" s="120" t="n"/>
      <c r="V308" s="120" t="n"/>
      <c r="W308" s="121" t="n"/>
      <c r="X308" s="121" t="n"/>
    </row>
    <row r="309" ht="17" customHeight="1">
      <c r="A309" s="119" t="inlineStr">
        <is>
          <t>begin group</t>
        </is>
      </c>
      <c r="B309" s="119" t="inlineStr">
        <is>
          <t>tutorial_addition</t>
        </is>
      </c>
      <c r="C309" s="122" t="n"/>
      <c r="D309" s="120" t="n"/>
      <c r="E309" s="121" t="n"/>
      <c r="F309" s="119" t="inlineStr">
        <is>
          <t>field-list</t>
        </is>
      </c>
      <c r="G309" s="120" t="n"/>
      <c r="H309" s="120" t="n"/>
      <c r="I309" s="122" t="inlineStr">
        <is>
          <t>${operation_taught_num_i} = 1</t>
        </is>
      </c>
      <c r="J309" s="119" t="n"/>
      <c r="K309" s="121" t="n"/>
      <c r="L309" s="120" t="n"/>
      <c r="M309" s="121" t="n"/>
      <c r="N309" s="120" t="n"/>
      <c r="O309" s="121" t="n"/>
      <c r="P309" s="121" t="n"/>
      <c r="Q309" s="121" t="n"/>
      <c r="R309" s="121" t="n"/>
      <c r="S309" s="120" t="n"/>
      <c r="T309" s="121" t="n"/>
      <c r="U309" s="120" t="n"/>
      <c r="V309" s="120" t="n"/>
      <c r="W309" s="121" t="n"/>
      <c r="X309" s="121" t="n"/>
    </row>
    <row r="310" ht="409.6" customHeight="1">
      <c r="A310" s="119" t="inlineStr">
        <is>
          <t>note</t>
        </is>
      </c>
      <c r="B310" s="119" t="inlineStr">
        <is>
          <t>note_add</t>
        </is>
      </c>
      <c r="C310" s="122" t="inlineStr">
        <is>
          <t>&lt;p style="font-weight:bold;font-size:14pt;text-align:center;"&gt;Demonstrate and Practice &lt;u&gt;Addition&lt;/u&gt;&lt;/p&gt;
&lt;br&gt;
Use the following problem/s to demonstrate &lt;b&gt;Addition with Carryover&lt;/b&gt;.
&lt;br&gt;&lt;br&gt;
Highlight the following points: &lt;br&gt;
&lt;ol&gt;
&lt;li&gt;Draw the addition table and place the numbers. 
&lt;ul&gt;
&lt;li&gt;Ensure the &lt;b&gt;&lt;u&gt;tens&lt;/u&gt;&lt;/b&gt; digits are on the &lt;b&gt;&lt;u&gt;left&lt;/u&gt;&lt;/b&gt; and&lt;/li&gt;
&lt;li&gt;&lt;b&gt;&lt;u&gt;unit&lt;/u&gt;&lt;/b&gt; digits are on the &lt;b&gt;&lt;u&gt;right&lt;/u&gt;&lt;/b&gt;.&lt;/li&gt;
&lt;/ul&gt;
&lt;li&gt;Always begin with the digits on the right (units). Add the digits in the units column.&lt;/li&gt;
&lt;li&gt;The total is more than ten. We take the number and break it into its tens and units.&lt;/li&gt;
&lt;ul&gt;
&lt;li&gt;We place the units into the lower units section.&lt;/li&gt;
&lt;li&gt;We now have to carryover the [1] to the upper tens column because it is a ten and a ten CANNOT stay in the units column!&lt;/li&gt;
&lt;/ul&gt;
&lt;li&gt;Add the digits in the tens column.&lt;/li&gt;
&lt;ul&gt;
&lt;li&gt;Remember to add the extra ten (represented by a 1) in the upper tens column.&lt;/li&gt;
&lt;/ul&gt;
&lt;li&gt;Place the answer in the lower tens column.&lt;/li&gt;
&lt;li&gt;Bring down the final answer to make a whole number.&lt;/li&gt;
&lt;/ol&gt;</t>
        </is>
      </c>
      <c r="D310" s="120" t="n"/>
      <c r="E310" s="121" t="n"/>
      <c r="F310" s="121" t="n"/>
      <c r="G310" s="120" t="n"/>
      <c r="H310" s="120" t="n"/>
      <c r="I310" s="122" t="n"/>
      <c r="J310" s="119" t="n"/>
      <c r="K310" s="121" t="n"/>
      <c r="L310" s="120" t="n"/>
      <c r="M310" s="121" t="n"/>
      <c r="N310" s="120" t="n"/>
      <c r="O310" s="121" t="n"/>
      <c r="P310" s="121" t="n"/>
      <c r="Q310" s="121" t="n"/>
      <c r="R310" s="121" t="n"/>
      <c r="S310" s="120" t="n"/>
      <c r="T310" s="121" t="n"/>
      <c r="U310" s="120" t="n"/>
      <c r="V310" s="120" t="n"/>
      <c r="W310" s="121" t="n"/>
      <c r="X310" s="121" t="n"/>
    </row>
    <row r="311" ht="68" customHeight="1">
      <c r="A311" s="119" t="inlineStr">
        <is>
          <t>note</t>
        </is>
      </c>
      <c r="B311" s="119" t="inlineStr">
        <is>
          <t>note_add_w1_1</t>
        </is>
      </c>
      <c r="C311" s="122" t="inlineStr">
        <is>
          <t>&lt;p&gt;&lt;span style="font-size:14pt;color: #3366ff;"&gt;&lt;strong&gt;Problem 1:&lt;/strong&gt;&lt;/span&gt;&lt;span style="color: #3366ff;"&gt;&lt;/p&gt;
&lt;p style="font-weight:bold;font-size:24pt;text-align:center;color:#3366ff;"&gt;36 + 15 = ?&lt;/u&gt;&lt;/p&gt;</t>
        </is>
      </c>
      <c r="D311" s="120" t="n"/>
      <c r="E311" s="121" t="n"/>
      <c r="F311" s="121" t="n"/>
      <c r="G311" s="120" t="n"/>
      <c r="H311" s="120" t="n"/>
      <c r="I311" s="122" t="inlineStr">
        <is>
          <t>${week} = 1</t>
        </is>
      </c>
      <c r="J311" s="119" t="n"/>
      <c r="K311" s="121" t="n"/>
      <c r="L311" s="120" t="n"/>
      <c r="M311" s="121" t="n"/>
      <c r="N311" s="120" t="n"/>
      <c r="O311" s="121" t="n"/>
      <c r="P311" s="121" t="n"/>
      <c r="Q311" s="121" t="n"/>
      <c r="R311" s="121" t="n"/>
      <c r="S311" s="120" t="n"/>
      <c r="T311" s="121" t="n"/>
      <c r="U311" s="120" t="n"/>
      <c r="V311" s="120" t="n"/>
      <c r="W311" s="121" t="n"/>
      <c r="X311" s="121" t="n"/>
    </row>
    <row r="312" ht="85" customHeight="1">
      <c r="A312" s="119" t="inlineStr">
        <is>
          <t>note</t>
        </is>
      </c>
      <c r="B312" s="119" t="inlineStr">
        <is>
          <t>note_add_w1_2</t>
        </is>
      </c>
      <c r="C312" s="122" t="inlineStr">
        <is>
          <t>&lt;p&gt;&lt;span style="font-size:14pt;color: #3366ff;"&gt;&lt;strong&gt;[OPTIONAL] Problem 2:&lt;/strong&gt;&lt;/span&gt;&lt;span style=""color: #3366ff;"&gt;&lt;/p&gt;
&lt;p style="font-weight:bold;font-size:18pt;text-align:center;color:#3366ff;"&gt;Liz buys 27 caps. Her mate buys 39 more. How many caps do they have altogether?&lt;/u&gt;&lt;/p&gt;</t>
        </is>
      </c>
      <c r="D312" s="120" t="n"/>
      <c r="E312" s="121" t="n"/>
      <c r="F312" s="121" t="n"/>
      <c r="G312" s="120" t="n"/>
      <c r="H312" s="120" t="n"/>
      <c r="I312" s="122" t="inlineStr">
        <is>
          <t>${week} = 1</t>
        </is>
      </c>
      <c r="J312" s="119" t="inlineStr">
        <is>
          <t>yes</t>
        </is>
      </c>
      <c r="K312" s="121" t="n"/>
      <c r="L312" s="120" t="n"/>
      <c r="M312" s="121" t="n"/>
      <c r="N312" s="120" t="n"/>
      <c r="O312" s="121" t="n"/>
      <c r="P312" s="121" t="n"/>
      <c r="Q312" s="121" t="n"/>
      <c r="R312" s="121" t="n"/>
      <c r="S312" s="120" t="n"/>
      <c r="T312" s="121" t="n"/>
      <c r="U312" s="120" t="n"/>
      <c r="V312" s="120" t="n"/>
      <c r="W312" s="121" t="n"/>
      <c r="X312" s="121" t="n"/>
    </row>
    <row r="313" ht="68" customHeight="1">
      <c r="A313" s="119" t="inlineStr">
        <is>
          <t>note</t>
        </is>
      </c>
      <c r="B313" s="119" t="inlineStr">
        <is>
          <t>note_add_w2_1</t>
        </is>
      </c>
      <c r="C313" s="122" t="inlineStr">
        <is>
          <t>&lt;p&gt;&lt;span style="font-size:14pt;color: #3366ff;"&gt;&lt;strong&gt;Problem 1:&lt;/strong&gt;&lt;/span&gt;&lt;span style="color: #3366ff;"&gt;&lt;/p&gt;
&lt;p style="font-weight:bold;font-size:24pt;text-align:center;color:#3366ff;"&gt; 65+15= ?&lt;/u&gt;&lt;/p&gt;</t>
        </is>
      </c>
      <c r="D313" s="120" t="n"/>
      <c r="E313" s="121" t="n"/>
      <c r="F313" s="121" t="n"/>
      <c r="G313" s="120" t="n"/>
      <c r="H313" s="120" t="n"/>
      <c r="I313" s="122" t="inlineStr">
        <is>
          <t>${week} = 2</t>
        </is>
      </c>
      <c r="J313" s="119" t="n"/>
      <c r="K313" s="121" t="n"/>
      <c r="L313" s="120" t="n"/>
      <c r="M313" s="121" t="n"/>
      <c r="N313" s="120" t="n"/>
      <c r="O313" s="121" t="n"/>
      <c r="P313" s="121" t="n"/>
      <c r="Q313" s="121" t="n"/>
      <c r="R313" s="121" t="n"/>
      <c r="S313" s="120" t="n"/>
      <c r="T313" s="121" t="n"/>
      <c r="U313" s="120" t="n"/>
      <c r="V313" s="120" t="n"/>
      <c r="W313" s="121" t="n"/>
      <c r="X313" s="121" t="n"/>
    </row>
    <row r="314" ht="85" customHeight="1">
      <c r="A314" s="119" t="inlineStr">
        <is>
          <t>note</t>
        </is>
      </c>
      <c r="B314" s="119" t="inlineStr">
        <is>
          <t>note_add_w2_2</t>
        </is>
      </c>
      <c r="C314" s="122" t="inlineStr">
        <is>
          <t>&lt;p&gt;&lt;span style="font-size:14pt;color: #3366ff;"&gt;&lt;strong&gt;[OPTIONAL] Problem 2:&lt;/strong&gt;&lt;/span&gt;&lt;span style=""color: #3366ff;"&gt;&lt;/p&gt; 
&lt;p style="font-weight:bold;font-size:18pt;text-align:center;color:#3366ff;"&gt;  Tim read 26 pages then 48 more. How many has he read in total?  &lt;/u&gt;&lt;/p&gt;</t>
        </is>
      </c>
      <c r="D314" s="120" t="n"/>
      <c r="E314" s="121" t="n"/>
      <c r="F314" s="121" t="n"/>
      <c r="G314" s="120" t="n"/>
      <c r="H314" s="120" t="n"/>
      <c r="I314" s="122" t="inlineStr">
        <is>
          <t>${week} = 2</t>
        </is>
      </c>
      <c r="J314" s="119" t="inlineStr">
        <is>
          <t>yes</t>
        </is>
      </c>
      <c r="K314" s="121" t="n"/>
      <c r="L314" s="120" t="n"/>
      <c r="M314" s="121" t="n"/>
      <c r="N314" s="120" t="n"/>
      <c r="O314" s="121" t="n"/>
      <c r="P314" s="121" t="n"/>
      <c r="Q314" s="121" t="n"/>
      <c r="R314" s="121" t="n"/>
      <c r="S314" s="120" t="n"/>
      <c r="T314" s="121" t="n"/>
      <c r="U314" s="120" t="n"/>
      <c r="V314" s="120" t="n"/>
      <c r="W314" s="121" t="n"/>
      <c r="X314" s="121" t="n"/>
    </row>
    <row r="315" ht="68" customHeight="1">
      <c r="A315" s="119" t="inlineStr">
        <is>
          <t>note</t>
        </is>
      </c>
      <c r="B315" s="119" t="inlineStr">
        <is>
          <t>note_add_w3_1</t>
        </is>
      </c>
      <c r="C315" s="122" t="inlineStr">
        <is>
          <t>&lt;p&gt;&lt;span style="font-size:14pt;color: #3366ff;"&gt;&lt;strong&gt;Problem 1:&lt;/strong&gt;&lt;/span&gt;&lt;span style="color: #3366ff;"&gt;&lt;/p&gt;
&lt;p style="font-weight:bold;font-size:24pt;text-align:center;color:#3366ff;"&gt; 45+28 = ?&lt;/u&gt;&lt;/p&gt;</t>
        </is>
      </c>
      <c r="D315" s="120" t="n"/>
      <c r="E315" s="121" t="n"/>
      <c r="F315" s="121" t="n"/>
      <c r="G315" s="120" t="n"/>
      <c r="H315" s="120" t="n"/>
      <c r="I315" s="122" t="inlineStr">
        <is>
          <t>${week} = 3</t>
        </is>
      </c>
      <c r="J315" s="119" t="n"/>
      <c r="K315" s="121" t="n"/>
      <c r="L315" s="120" t="n"/>
      <c r="M315" s="121" t="n"/>
      <c r="N315" s="120" t="n"/>
      <c r="O315" s="121" t="n"/>
      <c r="P315" s="121" t="n"/>
      <c r="Q315" s="121" t="n"/>
      <c r="R315" s="121" t="n"/>
      <c r="S315" s="120" t="n"/>
      <c r="T315" s="121" t="n"/>
      <c r="U315" s="120" t="n"/>
      <c r="V315" s="120" t="n"/>
      <c r="W315" s="121" t="n"/>
      <c r="X315" s="121" t="n"/>
    </row>
    <row r="316" ht="85" customHeight="1">
      <c r="A316" s="119" t="inlineStr">
        <is>
          <t>note</t>
        </is>
      </c>
      <c r="B316" s="119" t="inlineStr">
        <is>
          <t>note_add_w3_2</t>
        </is>
      </c>
      <c r="C316" s="122" t="inlineStr">
        <is>
          <t>&lt;p&gt;&lt;span style="font-size:14pt;color: #3366ff;"&gt;&lt;strong&gt;[OPTIONAL] Problem 2:&lt;/strong&gt;&lt;/span&gt;&lt;span style=""color: #3366ff;"&gt;&lt;/p&gt;
&lt;p style="font-weight:bold;font-size:18pt;text-align:center;color:#3366ff;"&gt; Pick 49 bananas &amp; 23 apples. How many pieces of fruit in total?&lt;/u&gt;&lt;/p&gt;</t>
        </is>
      </c>
      <c r="D316" s="120" t="n"/>
      <c r="E316" s="121" t="n"/>
      <c r="F316" s="121" t="n"/>
      <c r="G316" s="120" t="n"/>
      <c r="H316" s="120" t="n"/>
      <c r="I316" s="122" t="inlineStr">
        <is>
          <t>${week} = 3</t>
        </is>
      </c>
      <c r="J316" s="119" t="inlineStr">
        <is>
          <t>yes</t>
        </is>
      </c>
      <c r="K316" s="121" t="n"/>
      <c r="L316" s="120" t="n"/>
      <c r="M316" s="121" t="n"/>
      <c r="N316" s="120" t="n"/>
      <c r="O316" s="121" t="n"/>
      <c r="P316" s="121" t="n"/>
      <c r="Q316" s="121" t="n"/>
      <c r="R316" s="121" t="n"/>
      <c r="S316" s="120" t="n"/>
      <c r="T316" s="121" t="n"/>
      <c r="U316" s="120" t="n"/>
      <c r="V316" s="120" t="n"/>
      <c r="W316" s="121" t="n"/>
      <c r="X316" s="121" t="n"/>
    </row>
    <row r="317" ht="68" customHeight="1">
      <c r="A317" s="119" t="inlineStr">
        <is>
          <t>note</t>
        </is>
      </c>
      <c r="B317" s="119" t="inlineStr">
        <is>
          <t>note_add_w4_1</t>
        </is>
      </c>
      <c r="C317" s="122" t="inlineStr">
        <is>
          <t>&lt;p&gt;&lt;span style="font-size:14pt;color: #3366ff;"&gt;&lt;strong&gt;Problem 1:&lt;/strong&gt;&lt;/span&gt;&lt;span style="color: #3366ff;"&gt;&lt;/p&gt;
&lt;p style="font-weight:bold;font-size:24pt;text-align:center;color:#3366ff;"&gt; 15+38= ?&lt;/u&gt;&lt;/p&gt;</t>
        </is>
      </c>
      <c r="D317" s="120" t="n"/>
      <c r="E317" s="121" t="n"/>
      <c r="F317" s="121" t="n"/>
      <c r="G317" s="120" t="n"/>
      <c r="H317" s="120" t="n"/>
      <c r="I317" s="122" t="inlineStr">
        <is>
          <t>${week} = 4</t>
        </is>
      </c>
      <c r="J317" s="119" t="n"/>
      <c r="K317" s="121" t="n"/>
      <c r="L317" s="120" t="n"/>
      <c r="M317" s="121" t="n"/>
      <c r="N317" s="120" t="n"/>
      <c r="O317" s="121" t="n"/>
      <c r="P317" s="121" t="n"/>
      <c r="Q317" s="121" t="n"/>
      <c r="R317" s="121" t="n"/>
      <c r="S317" s="120" t="n"/>
      <c r="T317" s="121" t="n"/>
      <c r="U317" s="120" t="n"/>
      <c r="V317" s="120" t="n"/>
      <c r="W317" s="121" t="n"/>
      <c r="X317" s="121" t="n"/>
    </row>
    <row r="318" ht="85" customHeight="1">
      <c r="A318" s="119" t="inlineStr">
        <is>
          <t>note</t>
        </is>
      </c>
      <c r="B318" s="119" t="inlineStr">
        <is>
          <t>note_add_w4_2</t>
        </is>
      </c>
      <c r="C318" s="122" t="inlineStr">
        <is>
          <t>&lt;p&gt;&lt;span style="font-size:14pt;color: #3366ff;"&gt;&lt;strong&gt;[OPTIONAL] Problem 2:&lt;/strong&gt;&lt;/span&gt;&lt;span style=""color: #3366ff;"&gt;&lt;/p&gt;
&lt;p style="font-weight:bold;font-size:18pt;text-align:center;color:#3366ff;"&gt; Monkeys ate 37 corncobs and 19 melons. How many fruit did they eat?&lt;/u&gt;&lt;/p&gt;</t>
        </is>
      </c>
      <c r="D318" s="120" t="n"/>
      <c r="E318" s="121" t="n"/>
      <c r="F318" s="121" t="n"/>
      <c r="G318" s="120" t="n"/>
      <c r="H318" s="120" t="n"/>
      <c r="I318" s="122" t="inlineStr">
        <is>
          <t>${week} = 4</t>
        </is>
      </c>
      <c r="J318" s="119" t="inlineStr">
        <is>
          <t>yes</t>
        </is>
      </c>
      <c r="K318" s="121" t="n"/>
      <c r="L318" s="120" t="n"/>
      <c r="M318" s="121" t="n"/>
      <c r="N318" s="120" t="n"/>
      <c r="O318" s="121" t="n"/>
      <c r="P318" s="121" t="n"/>
      <c r="Q318" s="121" t="n"/>
      <c r="R318" s="121" t="n"/>
      <c r="S318" s="120" t="n"/>
      <c r="T318" s="121" t="n"/>
      <c r="U318" s="120" t="n"/>
      <c r="V318" s="120" t="n"/>
      <c r="W318" s="121" t="n"/>
      <c r="X318" s="121" t="n"/>
    </row>
    <row r="319" ht="68" customHeight="1">
      <c r="A319" s="119" t="inlineStr">
        <is>
          <t>note</t>
        </is>
      </c>
      <c r="B319" s="119" t="inlineStr">
        <is>
          <t>note_add_w5_1</t>
        </is>
      </c>
      <c r="C319" s="122" t="inlineStr">
        <is>
          <t>&lt;p&gt;&lt;span style="font-size:14pt;color: #3366ff;"&gt;&lt;strong&gt;Problem 1:&lt;/strong&gt;&lt;/span&gt;&lt;span style="color: #3366ff;"&gt;&lt;/p&gt;
&lt;p style="font-weight:bold;font-size:24pt;text-align:center;color:#3366ff;"&gt; 18+42= ?&lt;/u&gt;&lt;/p&gt;</t>
        </is>
      </c>
      <c r="D319" s="120" t="n"/>
      <c r="E319" s="121" t="n"/>
      <c r="F319" s="121" t="n"/>
      <c r="G319" s="120" t="n"/>
      <c r="H319" s="120" t="n"/>
      <c r="I319" s="122" t="inlineStr">
        <is>
          <t>${week} = 5</t>
        </is>
      </c>
      <c r="J319" s="119" t="n"/>
      <c r="K319" s="121" t="n"/>
      <c r="L319" s="120" t="n"/>
      <c r="M319" s="121" t="n"/>
      <c r="N319" s="120" t="n"/>
      <c r="O319" s="121" t="n"/>
      <c r="P319" s="121" t="n"/>
      <c r="Q319" s="121" t="n"/>
      <c r="R319" s="121" t="n"/>
      <c r="S319" s="120" t="n"/>
      <c r="T319" s="121" t="n"/>
      <c r="U319" s="120" t="n"/>
      <c r="V319" s="120" t="n"/>
      <c r="W319" s="121" t="n"/>
      <c r="X319" s="121" t="n"/>
    </row>
    <row r="320" ht="85" customHeight="1">
      <c r="A320" s="119" t="inlineStr">
        <is>
          <t>note</t>
        </is>
      </c>
      <c r="B320" s="119" t="inlineStr">
        <is>
          <t>note_add_w5_2</t>
        </is>
      </c>
      <c r="C320" s="122" t="inlineStr">
        <is>
          <t>&lt;p&gt;&lt;span style="font-size:14pt;color: #3366ff;"&gt;&lt;strong&gt;[OPTIONAL] Problem 2:&lt;/strong&gt;&lt;/span&gt;&lt;span style=""color: #3366ff;"&gt;&lt;/p&gt;
&lt;p style="font-weight:bold;font-size:18pt;text-align:center;color:#3366ff;"&gt; There are 25 birds in a tree. 47 join. How many birds are there in total? ?&lt;/u&gt;&lt;/p&gt;</t>
        </is>
      </c>
      <c r="D320" s="120" t="n"/>
      <c r="E320" s="121" t="n"/>
      <c r="F320" s="121" t="n"/>
      <c r="G320" s="120" t="n"/>
      <c r="H320" s="120" t="n"/>
      <c r="I320" s="122" t="inlineStr">
        <is>
          <t>${week} = 5</t>
        </is>
      </c>
      <c r="J320" s="119" t="inlineStr">
        <is>
          <t>yes</t>
        </is>
      </c>
      <c r="K320" s="121" t="n"/>
      <c r="L320" s="120" t="n"/>
      <c r="M320" s="121" t="n"/>
      <c r="N320" s="120" t="n"/>
      <c r="O320" s="121" t="n"/>
      <c r="P320" s="121" t="n"/>
      <c r="Q320" s="121" t="n"/>
      <c r="R320" s="121" t="n"/>
      <c r="S320" s="120" t="n"/>
      <c r="T320" s="121" t="n"/>
      <c r="U320" s="120" t="n"/>
      <c r="V320" s="120" t="n"/>
      <c r="W320" s="121" t="n"/>
      <c r="X320" s="121" t="n"/>
    </row>
    <row r="321" ht="68" customHeight="1">
      <c r="A321" s="119" t="inlineStr">
        <is>
          <t>note</t>
        </is>
      </c>
      <c r="B321" s="129" t="inlineStr">
        <is>
          <t>note_add_w6_1</t>
        </is>
      </c>
      <c r="C321" s="130" t="inlineStr">
        <is>
          <t>&lt;p&gt;&lt;span style="font-size:14pt;color: #3366ff;"&gt;&lt;strong&gt;Problem 1:&lt;/strong&gt;&lt;/span&gt;&lt;span style="color: #3366ff;"&gt;&lt;/p&gt;
&lt;p style="font-weight:bold;font-size:24pt;text-align:center;color:#3366ff;"&gt; 18+54= ?&lt;/u&gt;&lt;/p&gt;</t>
        </is>
      </c>
      <c r="D321" s="130" t="n"/>
      <c r="E321" s="131" t="n"/>
      <c r="F321" s="131" t="n"/>
      <c r="G321" s="130" t="n"/>
      <c r="H321" s="130" t="n"/>
      <c r="I321" s="130" t="inlineStr">
        <is>
          <t>${week} = 6</t>
        </is>
      </c>
      <c r="J321" s="131" t="n"/>
      <c r="K321" s="131" t="n"/>
      <c r="L321" s="130" t="n"/>
      <c r="M321" s="131" t="n"/>
      <c r="N321" s="130" t="n"/>
      <c r="O321" s="131" t="n"/>
      <c r="P321" s="131" t="n"/>
      <c r="Q321" s="131" t="n"/>
      <c r="R321" s="131" t="n"/>
      <c r="S321" s="130" t="n"/>
      <c r="T321" s="131" t="n"/>
      <c r="U321" s="130" t="n"/>
      <c r="V321" s="130" t="n"/>
      <c r="W321" s="131" t="n"/>
      <c r="X321" s="131" t="n"/>
    </row>
    <row r="322" ht="85" customHeight="1">
      <c r="A322" s="119" t="inlineStr">
        <is>
          <t>note</t>
        </is>
      </c>
      <c r="B322" s="129" t="inlineStr">
        <is>
          <t>note_add_w6_2</t>
        </is>
      </c>
      <c r="C322" s="130" t="inlineStr">
        <is>
          <t>&lt;p&gt;&lt;span style="font-size:14pt;color: #3366ff;"&gt;&lt;strong&gt;[OPTIONAL] Problem 2:&lt;/strong&gt;&lt;/span&gt;&lt;span style=""color: #3366ff;"&gt;&lt;/p&gt;
&lt;p style="font-weight:bold;font-size:18pt;text-align:center;color:#3366ff;"&gt; Mary's chickens lay 17 eggs today. Tomorrow they lay 35. How many eggs do they lay altogether?&lt;/u&gt;&lt;/p&gt;</t>
        </is>
      </c>
      <c r="D322" s="130" t="n"/>
      <c r="E322" s="131" t="n"/>
      <c r="F322" s="131" t="n"/>
      <c r="G322" s="130" t="n"/>
      <c r="H322" s="130" t="n"/>
      <c r="I322" s="130" t="inlineStr">
        <is>
          <t>${week} = 6</t>
        </is>
      </c>
      <c r="J322" s="131" t="inlineStr">
        <is>
          <t>yes</t>
        </is>
      </c>
      <c r="K322" s="131" t="n"/>
      <c r="L322" s="130" t="n"/>
      <c r="M322" s="131" t="n"/>
      <c r="N322" s="130" t="n"/>
      <c r="O322" s="131" t="n"/>
      <c r="P322" s="131" t="n"/>
      <c r="Q322" s="131" t="n"/>
      <c r="R322" s="131" t="n"/>
      <c r="S322" s="130" t="n"/>
      <c r="T322" s="131" t="n"/>
      <c r="U322" s="130" t="n"/>
      <c r="V322" s="130" t="n"/>
      <c r="W322" s="131" t="n"/>
      <c r="X322" s="131" t="n"/>
    </row>
    <row r="323" ht="68" customHeight="1">
      <c r="A323" s="119" t="inlineStr">
        <is>
          <t>note</t>
        </is>
      </c>
      <c r="B323" s="129" t="inlineStr">
        <is>
          <t>note_add_w7_1</t>
        </is>
      </c>
      <c r="C323" s="130" t="inlineStr">
        <is>
          <t>&lt;p&gt;&lt;span style="font-size:14pt;color: #3366ff;"&gt;&lt;strong&gt;Problem 1:&lt;/strong&gt;&lt;/span&gt;&lt;span style="color: #3366ff;"&gt;&lt;/p&gt;
&lt;p style="font-weight:bold;font-size:24pt;text-align:center;color:#3366ff;"&gt; 12+37= ?&lt;/u&gt;&lt;/p&gt;</t>
        </is>
      </c>
      <c r="D323" s="130" t="n"/>
      <c r="E323" s="131" t="n"/>
      <c r="F323" s="131" t="n"/>
      <c r="G323" s="130" t="n"/>
      <c r="H323" s="130" t="n"/>
      <c r="I323" s="130" t="inlineStr">
        <is>
          <t>${week} = 7</t>
        </is>
      </c>
      <c r="J323" s="131" t="n"/>
      <c r="K323" s="131" t="n"/>
      <c r="L323" s="130" t="n"/>
      <c r="M323" s="131" t="n"/>
      <c r="N323" s="130" t="n"/>
      <c r="O323" s="131" t="n"/>
      <c r="P323" s="131" t="n"/>
      <c r="Q323" s="131" t="n"/>
      <c r="R323" s="131" t="n"/>
      <c r="S323" s="130" t="n"/>
      <c r="T323" s="131" t="n"/>
      <c r="U323" s="130" t="n"/>
      <c r="V323" s="130" t="n"/>
      <c r="W323" s="131" t="n"/>
      <c r="X323" s="131" t="n"/>
    </row>
    <row r="324" ht="85" customHeight="1">
      <c r="A324" s="119" t="inlineStr">
        <is>
          <t>note</t>
        </is>
      </c>
      <c r="B324" s="129" t="inlineStr">
        <is>
          <t>note_add_w7_2</t>
        </is>
      </c>
      <c r="C324" s="130" t="inlineStr">
        <is>
          <t>&lt;p&gt;&lt;span style="font-size:14pt;color: #3366ff;"&gt;&lt;strong&gt;[OPTIONAL] Problem 2:&lt;/strong&gt;&lt;/span&gt;&lt;span style=""color: #3366ff;"&gt;&lt;/p&gt;
&lt;p style="font-weight:bold;font-size:18pt;text-align:center;color:#3366ff;"&gt; Chips are P25 and a drink is P38. How much in total?&lt;/u&gt;&lt;/p&gt;</t>
        </is>
      </c>
      <c r="D324" s="130" t="n"/>
      <c r="E324" s="131" t="n"/>
      <c r="F324" s="131" t="n"/>
      <c r="G324" s="130" t="n"/>
      <c r="H324" s="130" t="n"/>
      <c r="I324" s="130" t="inlineStr">
        <is>
          <t>${week} = 7</t>
        </is>
      </c>
      <c r="J324" s="131" t="inlineStr">
        <is>
          <t>yes</t>
        </is>
      </c>
      <c r="K324" s="131" t="n"/>
      <c r="L324" s="130" t="n"/>
      <c r="M324" s="131" t="n"/>
      <c r="N324" s="130" t="n"/>
      <c r="O324" s="131" t="n"/>
      <c r="P324" s="131" t="n"/>
      <c r="Q324" s="131" t="n"/>
      <c r="R324" s="131" t="n"/>
      <c r="S324" s="130" t="n"/>
      <c r="T324" s="131" t="n"/>
      <c r="U324" s="130" t="n"/>
      <c r="V324" s="130" t="n"/>
      <c r="W324" s="131" t="n"/>
      <c r="X324" s="131" t="n"/>
    </row>
    <row r="325" ht="68" customHeight="1">
      <c r="A325" s="119" t="inlineStr">
        <is>
          <t>note</t>
        </is>
      </c>
      <c r="B325" s="129" t="inlineStr">
        <is>
          <t>note_add_w8_1</t>
        </is>
      </c>
      <c r="C325" s="130" t="inlineStr">
        <is>
          <t>&lt;p&gt;&lt;span style="font-size:14pt;color: #3366ff;"&gt;&lt;strong&gt;Problem 1:&lt;/strong&gt;&lt;/span&gt;&lt;span style="color: #3366ff;"&gt;&lt;/p&gt;
&lt;p style="font-weight:bold;font-size:24pt;text-align:center;color:#3366ff;"&gt; 29+20= ?&lt;/u&gt;&lt;/p&gt;</t>
        </is>
      </c>
      <c r="D325" s="130" t="n"/>
      <c r="E325" s="131" t="n"/>
      <c r="F325" s="131" t="n"/>
      <c r="G325" s="130" t="n"/>
      <c r="H325" s="130" t="n"/>
      <c r="I325" s="130" t="inlineStr">
        <is>
          <t>${week} = 8</t>
        </is>
      </c>
      <c r="J325" s="131" t="n"/>
      <c r="K325" s="131" t="n"/>
      <c r="L325" s="130" t="n"/>
      <c r="M325" s="131" t="n"/>
      <c r="N325" s="130" t="n"/>
      <c r="O325" s="131" t="n"/>
      <c r="P325" s="131" t="n"/>
      <c r="Q325" s="131" t="n"/>
      <c r="R325" s="131" t="n"/>
      <c r="S325" s="130" t="n"/>
      <c r="T325" s="131" t="n"/>
      <c r="U325" s="130" t="n"/>
      <c r="V325" s="130" t="n"/>
      <c r="W325" s="131" t="n"/>
      <c r="X325" s="131" t="n"/>
    </row>
    <row r="326" ht="85" customHeight="1">
      <c r="A326" s="119" t="inlineStr">
        <is>
          <t>note</t>
        </is>
      </c>
      <c r="B326" s="129" t="inlineStr">
        <is>
          <t>note_add_w8_2</t>
        </is>
      </c>
      <c r="C326" s="130" t="inlineStr">
        <is>
          <t>&lt;p&gt;&lt;span style="font-size:14pt;color: #3366ff;"&gt;&lt;strong&gt;[OPTIONAL] Problem 2:&lt;/strong&gt;&lt;/span&gt;&lt;span style=""color: #3366ff;"&gt; &lt;/p&gt;
&lt;p style="font-weight:bold;font-size:18pt;text-align:center;color:#3366ff;"&gt; A farmer buys 38 goats and 17 sheep. How many animals does he buy altogether?&lt;/u&gt;&lt;/p&gt;</t>
        </is>
      </c>
      <c r="D326" s="130" t="n"/>
      <c r="E326" s="131" t="n"/>
      <c r="F326" s="131" t="n"/>
      <c r="G326" s="130" t="n"/>
      <c r="H326" s="130" t="n"/>
      <c r="I326" s="130" t="inlineStr">
        <is>
          <t>${week} = 8</t>
        </is>
      </c>
      <c r="J326" s="131" t="inlineStr">
        <is>
          <t>yes</t>
        </is>
      </c>
      <c r="K326" s="131" t="n"/>
      <c r="L326" s="130" t="n"/>
      <c r="M326" s="131" t="n"/>
      <c r="N326" s="130" t="n"/>
      <c r="O326" s="131" t="n"/>
      <c r="P326" s="131" t="n"/>
      <c r="Q326" s="131" t="n"/>
      <c r="R326" s="131" t="n"/>
      <c r="S326" s="130" t="n"/>
      <c r="T326" s="131" t="n"/>
      <c r="U326" s="130" t="n"/>
      <c r="V326" s="130" t="n"/>
      <c r="W326" s="131" t="n"/>
      <c r="X326" s="131" t="n"/>
    </row>
    <row r="327">
      <c r="A327" s="119" t="inlineStr">
        <is>
          <t>end group</t>
        </is>
      </c>
      <c r="B327" s="119" t="inlineStr">
        <is>
          <t>tutorial_addition</t>
        </is>
      </c>
      <c r="C327" s="122" t="n"/>
      <c r="D327" s="120" t="n"/>
      <c r="E327" s="121" t="n"/>
      <c r="F327" s="121" t="n"/>
      <c r="G327" s="120" t="n"/>
      <c r="H327" s="120" t="n"/>
      <c r="I327" s="122" t="n"/>
      <c r="J327" s="119" t="n"/>
      <c r="K327" s="121" t="n"/>
      <c r="L327" s="120" t="n"/>
      <c r="M327" s="121" t="n"/>
      <c r="N327" s="120" t="n"/>
      <c r="O327" s="121" t="n"/>
      <c r="P327" s="121" t="n"/>
      <c r="Q327" s="121" t="n"/>
      <c r="R327" s="121" t="n"/>
      <c r="S327" s="120" t="n"/>
      <c r="T327" s="121" t="n"/>
      <c r="U327" s="120" t="n"/>
      <c r="V327" s="120" t="n"/>
      <c r="W327" s="121" t="n"/>
      <c r="X327" s="121" t="n"/>
    </row>
    <row r="328" ht="17" customHeight="1">
      <c r="A328" s="119" t="inlineStr">
        <is>
          <t>begin group</t>
        </is>
      </c>
      <c r="B328" s="119" t="inlineStr">
        <is>
          <t>tutorial_subtraction</t>
        </is>
      </c>
      <c r="C328" s="122" t="n"/>
      <c r="D328" s="120" t="n"/>
      <c r="E328" s="121" t="n"/>
      <c r="F328" s="119" t="inlineStr">
        <is>
          <t>field-list</t>
        </is>
      </c>
      <c r="G328" s="120" t="n"/>
      <c r="H328" s="120" t="n"/>
      <c r="I328" s="122" t="inlineStr">
        <is>
          <t>${operation_taught_num_i} = 2</t>
        </is>
      </c>
      <c r="J328" s="119" t="n"/>
      <c r="K328" s="121" t="n"/>
      <c r="L328" s="120" t="n"/>
      <c r="M328" s="121" t="n"/>
      <c r="N328" s="120" t="n"/>
      <c r="O328" s="121" t="n"/>
      <c r="P328" s="121" t="n"/>
      <c r="Q328" s="121" t="n"/>
      <c r="R328" s="121" t="n"/>
      <c r="S328" s="120" t="n"/>
      <c r="T328" s="121" t="n"/>
      <c r="U328" s="120" t="n"/>
      <c r="V328" s="120" t="n"/>
      <c r="W328" s="121" t="n"/>
      <c r="X328" s="121" t="n"/>
    </row>
    <row r="329" ht="409.6" customHeight="1">
      <c r="A329" s="119" t="inlineStr">
        <is>
          <t>note</t>
        </is>
      </c>
      <c r="B329" s="119" t="inlineStr">
        <is>
          <t>note_sub</t>
        </is>
      </c>
      <c r="C329" s="122" t="inlineStr">
        <is>
          <t>&lt;p style="font-weight:bold;font-size:14pt;text-align:center;"&gt;Demonstrate and Practice &lt;u&gt;Subtraction&lt;/u&gt;&lt;/p&gt;
&lt;br&gt;
Use the following problem/s to demonstrate &lt;b&gt;Subtraction with Borrowing&lt;/b&gt;.
&lt;br&gt;&lt;br&gt;
Highlight the following points: &lt;br&gt;
&lt;ol&gt;
&lt;li&gt;Draw the subtraction table and place the numbers. 
&lt;ul&gt;
&lt;li&gt;The bigger number is place above the smaller number, signifying that you are subtracting the bottom number from the top one.&lt;/li&gt;
&lt;li&gt;Ensure the &lt;b&gt;&lt;u&gt;tens&lt;/u&gt;&lt;/b&gt; digits are on the &lt;b&gt;&lt;u&gt;left&lt;/u&gt;&lt;/b&gt; and&lt;/li&gt;
&lt;li&gt;&lt;b&gt;&lt;u&gt;unit&lt;/u&gt;&lt;/b&gt; digits are on the &lt;b&gt;&lt;u&gt;right&lt;/u&gt;&lt;/b&gt;.&lt;/li&gt;
&lt;/ul&gt;
&lt;li&gt;If we cannot subtract one UNIT from another, we must borrow 1 ten from the TENS column of the subtraction table.&lt;/li&gt;
&lt;li&gt;Cross out the digit in the tens column and subtract 1 to show that you borrowed 1 ten.&lt;/li&gt;
&lt;li&gt;Place a small 1 next to the digit in the units column to show you borrowed that 1 ten. Add 10 to the UNITS side of the subtraction table.&lt;/li&gt;
&lt;li&gt;Subtract the digits in the units column. Place the answer in the lower units column.&lt;/li&gt;
&lt;li&gt;Subtract the digits in the tens column. Place the answer in the lower tens column.&lt;/li&gt;
&lt;li&gt;Bring down the final answer to make a whole number.&lt;/li&gt;
&lt;/ol&gt;</t>
        </is>
      </c>
      <c r="D329" s="120" t="n"/>
      <c r="E329" s="121" t="n"/>
      <c r="F329" s="121" t="n"/>
      <c r="G329" s="120" t="n"/>
      <c r="H329" s="120" t="n"/>
      <c r="I329" s="122" t="n"/>
      <c r="J329" s="119" t="n"/>
      <c r="K329" s="121" t="n"/>
      <c r="L329" s="120" t="n"/>
      <c r="M329" s="121" t="n"/>
      <c r="N329" s="120" t="n"/>
      <c r="O329" s="121" t="n"/>
      <c r="P329" s="121" t="n"/>
      <c r="Q329" s="121" t="n"/>
      <c r="R329" s="121" t="n"/>
      <c r="S329" s="120" t="n"/>
      <c r="T329" s="121" t="n"/>
      <c r="U329" s="120" t="n"/>
      <c r="V329" s="120" t="n"/>
      <c r="W329" s="121" t="n"/>
      <c r="X329" s="121" t="n"/>
    </row>
    <row r="330" ht="68" customHeight="1">
      <c r="A330" s="119" t="inlineStr">
        <is>
          <t>note</t>
        </is>
      </c>
      <c r="B330" s="119" t="inlineStr">
        <is>
          <t>note_sub_w1_1</t>
        </is>
      </c>
      <c r="C330" s="122" t="inlineStr">
        <is>
          <t>&lt;p&gt;&lt;span style="font-size:14pt;color: #3366ff;"&gt;&lt;strong&gt;Problem 1:&lt;/strong&gt;&lt;/span&gt;&lt;span style="color: #3366ff;"&gt;&lt;/p&gt;
&lt;p style="font-weight:bold;font-size:24pt;text-align:center;color:#3366ff;"&gt;84 - 47= ?&lt;/u&gt;&lt;/p&gt;</t>
        </is>
      </c>
      <c r="D330" s="120" t="n"/>
      <c r="E330" s="121" t="n"/>
      <c r="F330" s="121" t="n"/>
      <c r="G330" s="120" t="n"/>
      <c r="H330" s="120" t="n"/>
      <c r="I330" s="122" t="inlineStr">
        <is>
          <t>${week} = 1</t>
        </is>
      </c>
      <c r="J330" s="119" t="n"/>
      <c r="K330" s="121" t="n"/>
      <c r="L330" s="120" t="n"/>
      <c r="M330" s="121" t="n"/>
      <c r="N330" s="120" t="n"/>
      <c r="O330" s="121" t="n"/>
      <c r="P330" s="121" t="n"/>
      <c r="Q330" s="121" t="n"/>
      <c r="R330" s="121" t="n"/>
      <c r="S330" s="120" t="n"/>
      <c r="T330" s="121" t="n"/>
      <c r="U330" s="120" t="n"/>
      <c r="V330" s="120" t="n"/>
      <c r="W330" s="121" t="n"/>
      <c r="X330" s="121" t="n"/>
    </row>
    <row r="331" ht="85" customHeight="1">
      <c r="A331" s="119" t="inlineStr">
        <is>
          <t>note</t>
        </is>
      </c>
      <c r="B331" s="119" t="inlineStr">
        <is>
          <t>note_sub_w1_2</t>
        </is>
      </c>
      <c r="C331" s="122" t="inlineStr">
        <is>
          <t>&lt;p&gt;&lt;span style="font-size:14pt;color: #3366ff;"&gt;&lt;strong&gt;[OPTIONAL] Problem 2:&lt;/strong&gt;&lt;/span&gt;&lt;span style=""color: #3366ff;"&gt;&lt;/p&gt;
&lt;p style="font-weight:bold;font-size:18pt;text-align:center;color:#3366ff;"&gt;John has 54 pens. He gives away 28. How many are left?&lt;/u&gt;&lt;/p&gt;</t>
        </is>
      </c>
      <c r="D331" s="120" t="n"/>
      <c r="E331" s="121" t="n"/>
      <c r="F331" s="121" t="n"/>
      <c r="G331" s="120" t="n"/>
      <c r="H331" s="120" t="n"/>
      <c r="I331" s="122" t="inlineStr">
        <is>
          <t>${week} = 1</t>
        </is>
      </c>
      <c r="J331" s="119" t="inlineStr">
        <is>
          <t>yes</t>
        </is>
      </c>
      <c r="K331" s="121" t="n"/>
      <c r="L331" s="120" t="n"/>
      <c r="M331" s="121" t="n"/>
      <c r="N331" s="120" t="n"/>
      <c r="O331" s="121" t="n"/>
      <c r="P331" s="121" t="n"/>
      <c r="Q331" s="121" t="n"/>
      <c r="R331" s="121" t="n"/>
      <c r="S331" s="120" t="n"/>
      <c r="T331" s="121" t="n"/>
      <c r="U331" s="120" t="n"/>
      <c r="V331" s="120" t="n"/>
      <c r="W331" s="121" t="n"/>
      <c r="X331" s="121" t="n"/>
    </row>
    <row r="332" ht="68" customHeight="1">
      <c r="A332" s="119" t="inlineStr">
        <is>
          <t>note</t>
        </is>
      </c>
      <c r="B332" s="119" t="inlineStr">
        <is>
          <t>note_sub_w2_1</t>
        </is>
      </c>
      <c r="C332" s="122" t="inlineStr">
        <is>
          <t>&lt;p&gt;&lt;span style="font-size:14pt;color: #3366ff;"&gt;&lt;strong&gt;Problem 1:&lt;/strong&gt;&lt;/span&gt;&lt;span style="color: #3366ff;"&gt;&lt;/p&gt;
&lt;p style="font-weight:bold;font-size:24pt;text-align:center;color:#3366ff;"&gt; 66 - 29 = ?&lt;/u&gt;&lt;/p&gt;</t>
        </is>
      </c>
      <c r="D332" s="120" t="n"/>
      <c r="E332" s="121" t="n"/>
      <c r="F332" s="121" t="n"/>
      <c r="G332" s="120" t="n"/>
      <c r="H332" s="120" t="n"/>
      <c r="I332" s="122" t="inlineStr">
        <is>
          <t>${week} = 2</t>
        </is>
      </c>
      <c r="J332" s="119" t="n"/>
      <c r="K332" s="121" t="n"/>
      <c r="L332" s="120" t="n"/>
      <c r="M332" s="121" t="n"/>
      <c r="N332" s="120" t="n"/>
      <c r="O332" s="121" t="n"/>
      <c r="P332" s="121" t="n"/>
      <c r="Q332" s="121" t="n"/>
      <c r="R332" s="121" t="n"/>
      <c r="S332" s="120" t="n"/>
      <c r="T332" s="121" t="n"/>
      <c r="U332" s="120" t="n"/>
      <c r="V332" s="120" t="n"/>
      <c r="W332" s="121" t="n"/>
      <c r="X332" s="121" t="n"/>
    </row>
    <row r="333" ht="85" customHeight="1">
      <c r="A333" s="119" t="inlineStr">
        <is>
          <t>note</t>
        </is>
      </c>
      <c r="B333" s="119" t="inlineStr">
        <is>
          <t>note_sub_w2_2</t>
        </is>
      </c>
      <c r="C333" s="122" t="inlineStr">
        <is>
          <t>&lt;p&gt;&lt;span style="font-size:14pt;color: #3366ff;"&gt;&lt;strong&gt;[OPTIONAL] Problem 2:&lt;/strong&gt;&lt;/span&gt;&lt;span style=""color: #3366ff;"&gt;&lt;/p&gt;
&lt;p style="font-weight:bold;font-size:18pt;text-align:center;color:#3366ff;"&gt;I had 42 sweets. I sell 35. How many do I have left?&lt;/u&gt;&lt;/p&gt;</t>
        </is>
      </c>
      <c r="D333" s="120" t="n"/>
      <c r="E333" s="121" t="n"/>
      <c r="F333" s="121" t="n"/>
      <c r="G333" s="120" t="n"/>
      <c r="H333" s="120" t="n"/>
      <c r="I333" s="122" t="inlineStr">
        <is>
          <t>${week} = 2</t>
        </is>
      </c>
      <c r="J333" s="119" t="inlineStr">
        <is>
          <t>yes</t>
        </is>
      </c>
      <c r="K333" s="121" t="n"/>
      <c r="L333" s="120" t="n"/>
      <c r="M333" s="121" t="n"/>
      <c r="N333" s="120" t="n"/>
      <c r="O333" s="121" t="n"/>
      <c r="P333" s="121" t="n"/>
      <c r="Q333" s="121" t="n"/>
      <c r="R333" s="121" t="n"/>
      <c r="S333" s="120" t="n"/>
      <c r="T333" s="121" t="n"/>
      <c r="U333" s="120" t="n"/>
      <c r="V333" s="120" t="n"/>
      <c r="W333" s="121" t="n"/>
      <c r="X333" s="121" t="n"/>
    </row>
    <row r="334" ht="68" customHeight="1">
      <c r="A334" s="119" t="inlineStr">
        <is>
          <t>note</t>
        </is>
      </c>
      <c r="B334" s="119" t="inlineStr">
        <is>
          <t>note_sub_w3_1</t>
        </is>
      </c>
      <c r="C334" s="122" t="inlineStr">
        <is>
          <t>&lt;p&gt;&lt;span style="font-size:14pt;color: #3366ff;"&gt;&lt;strong&gt;Problem 1:&lt;/strong&gt;&lt;/span&gt;&lt;span style="color: #3366ff;"&gt;&lt;/p&gt;
&lt;p style="font-weight:bold;font-size:24pt;text-align:center;color:#3366ff;"&gt; 32-13= ?&lt;/u&gt;&lt;/p&gt;</t>
        </is>
      </c>
      <c r="D334" s="120" t="n"/>
      <c r="E334" s="121" t="n"/>
      <c r="F334" s="121" t="n"/>
      <c r="G334" s="120" t="n"/>
      <c r="H334" s="120" t="n"/>
      <c r="I334" s="122" t="inlineStr">
        <is>
          <t>${week} = 3</t>
        </is>
      </c>
      <c r="J334" s="119" t="n"/>
      <c r="K334" s="121" t="n"/>
      <c r="L334" s="120" t="n"/>
      <c r="M334" s="121" t="n"/>
      <c r="N334" s="120" t="n"/>
      <c r="O334" s="121" t="n"/>
      <c r="P334" s="121" t="n"/>
      <c r="Q334" s="121" t="n"/>
      <c r="R334" s="121" t="n"/>
      <c r="S334" s="120" t="n"/>
      <c r="T334" s="121" t="n"/>
      <c r="U334" s="120" t="n"/>
      <c r="V334" s="120" t="n"/>
      <c r="W334" s="121" t="n"/>
      <c r="X334" s="121" t="n"/>
    </row>
    <row r="335" ht="85" customHeight="1">
      <c r="A335" s="119" t="inlineStr">
        <is>
          <t>note</t>
        </is>
      </c>
      <c r="B335" s="119" t="inlineStr">
        <is>
          <t>note_sub_w3_2</t>
        </is>
      </c>
      <c r="C335" s="122" t="inlineStr">
        <is>
          <t>&lt;p&gt;&lt;span style="font-size:14pt;color: #3366ff;"&gt;&lt;strong&gt;[OPTIONAL] Problem 2:&lt;/strong&gt;&lt;/span&gt;&lt;span style=""color: #3366ff;"&gt;&lt;/p&gt;
&lt;p style="font-weight:bold;font-size:18pt;text-align:center;color:#3366ff;"&gt;He had 50 cups but broke 16. How many left?&lt;/u&gt;&lt;/p&gt;</t>
        </is>
      </c>
      <c r="D335" s="120" t="n"/>
      <c r="E335" s="121" t="n"/>
      <c r="F335" s="121" t="n"/>
      <c r="G335" s="120" t="n"/>
      <c r="H335" s="120" t="n"/>
      <c r="I335" s="122" t="inlineStr">
        <is>
          <t>${week} = 3</t>
        </is>
      </c>
      <c r="J335" s="119" t="inlineStr">
        <is>
          <t>yes</t>
        </is>
      </c>
      <c r="K335" s="121" t="n"/>
      <c r="L335" s="120" t="n"/>
      <c r="M335" s="121" t="n"/>
      <c r="N335" s="120" t="n"/>
      <c r="O335" s="121" t="n"/>
      <c r="P335" s="121" t="n"/>
      <c r="Q335" s="121" t="n"/>
      <c r="R335" s="121" t="n"/>
      <c r="S335" s="120" t="n"/>
      <c r="T335" s="121" t="n"/>
      <c r="U335" s="120" t="n"/>
      <c r="V335" s="120" t="n"/>
      <c r="W335" s="121" t="n"/>
      <c r="X335" s="121" t="n"/>
    </row>
    <row r="336" ht="68" customHeight="1">
      <c r="A336" s="119" t="inlineStr">
        <is>
          <t>note</t>
        </is>
      </c>
      <c r="B336" s="119" t="inlineStr">
        <is>
          <t>note_sub_w4_1</t>
        </is>
      </c>
      <c r="C336" s="122" t="inlineStr">
        <is>
          <t>&lt;p&gt;&lt;span style="font-size:14pt;color: #3366ff;"&gt;&lt;strong&gt;Problem 1:&lt;/strong&gt;&lt;/span&gt;&lt;span style="color: #3366ff;"&gt;&lt;/p&gt;
&lt;p style="font-weight:bold;font-size:24pt;text-align:center;color:#3366ff;"&gt;47- 18 = ?&lt;/u&gt;&lt;/p&gt;</t>
        </is>
      </c>
      <c r="D336" s="120" t="n"/>
      <c r="E336" s="121" t="n"/>
      <c r="F336" s="121" t="n"/>
      <c r="G336" s="120" t="n"/>
      <c r="H336" s="120" t="n"/>
      <c r="I336" s="122" t="inlineStr">
        <is>
          <t>${week} = 4</t>
        </is>
      </c>
      <c r="J336" s="119" t="n"/>
      <c r="K336" s="121" t="n"/>
      <c r="L336" s="120" t="n"/>
      <c r="M336" s="121" t="n"/>
      <c r="N336" s="120" t="n"/>
      <c r="O336" s="121" t="n"/>
      <c r="P336" s="121" t="n"/>
      <c r="Q336" s="121" t="n"/>
      <c r="R336" s="121" t="n"/>
      <c r="S336" s="120" t="n"/>
      <c r="T336" s="121" t="n"/>
      <c r="U336" s="120" t="n"/>
      <c r="V336" s="120" t="n"/>
      <c r="W336" s="121" t="n"/>
      <c r="X336" s="121" t="n"/>
    </row>
    <row r="337" ht="85" customHeight="1">
      <c r="A337" s="119" t="inlineStr">
        <is>
          <t>note</t>
        </is>
      </c>
      <c r="B337" s="119" t="inlineStr">
        <is>
          <t>note_sub_w4_2</t>
        </is>
      </c>
      <c r="C337" s="122" t="inlineStr">
        <is>
          <t>&lt;p&gt;&lt;span style="font-size:14pt;color: #3366ff;"&gt;&lt;strong&gt;[OPTIONAL] Problem 2:&lt;/strong&gt;&lt;/span&gt;&lt;span style=""color: #3366ff;"&gt;&lt;/p&gt;
&lt;p style="font-weight:bold;font-size:18pt;text-align:center;color:#3366ff;"&gt;Lone has 41 pens. He broke 29. How many are left?&lt;/u&gt;&lt;/p&gt;</t>
        </is>
      </c>
      <c r="D337" s="120" t="n"/>
      <c r="E337" s="121" t="n"/>
      <c r="F337" s="121" t="n"/>
      <c r="G337" s="120" t="n"/>
      <c r="H337" s="120" t="n"/>
      <c r="I337" s="122" t="inlineStr">
        <is>
          <t>${week} = 4</t>
        </is>
      </c>
      <c r="J337" s="119" t="inlineStr">
        <is>
          <t>yes</t>
        </is>
      </c>
      <c r="K337" s="121" t="n"/>
      <c r="L337" s="120" t="n"/>
      <c r="M337" s="121" t="n"/>
      <c r="N337" s="120" t="n"/>
      <c r="O337" s="121" t="n"/>
      <c r="P337" s="121" t="n"/>
      <c r="Q337" s="121" t="n"/>
      <c r="R337" s="121" t="n"/>
      <c r="S337" s="120" t="n"/>
      <c r="T337" s="121" t="n"/>
      <c r="U337" s="120" t="n"/>
      <c r="V337" s="120" t="n"/>
      <c r="W337" s="121" t="n"/>
      <c r="X337" s="121" t="n"/>
    </row>
    <row r="338" ht="68" customHeight="1">
      <c r="A338" s="119" t="inlineStr">
        <is>
          <t>note</t>
        </is>
      </c>
      <c r="B338" s="119" t="inlineStr">
        <is>
          <t>note_sub_w5_1</t>
        </is>
      </c>
      <c r="C338" s="122" t="inlineStr">
        <is>
          <t>&lt;p&gt;&lt;span style="font-size:14pt;color: #3366ff;"&gt;&lt;strong&gt;Problem 1:&lt;/strong&gt;&lt;/span&gt;&lt;span style="color: #3366ff;"&gt;&lt;/p&gt;
&lt;p style="font-weight:bold;font-size:24pt;text-align:center;color:#3366ff;"&gt; 56-19 = ?&lt;/u&gt;&lt;/p&gt;</t>
        </is>
      </c>
      <c r="D338" s="120" t="n"/>
      <c r="E338" s="121" t="n"/>
      <c r="F338" s="121" t="n"/>
      <c r="G338" s="120" t="n"/>
      <c r="H338" s="120" t="n"/>
      <c r="I338" s="122" t="inlineStr">
        <is>
          <t>${week} = 5</t>
        </is>
      </c>
      <c r="J338" s="119" t="n"/>
      <c r="K338" s="121" t="n"/>
      <c r="L338" s="120" t="n"/>
      <c r="M338" s="121" t="n"/>
      <c r="N338" s="120" t="n"/>
      <c r="O338" s="121" t="n"/>
      <c r="P338" s="121" t="n"/>
      <c r="Q338" s="121" t="n"/>
      <c r="R338" s="121" t="n"/>
      <c r="S338" s="120" t="n"/>
      <c r="T338" s="121" t="n"/>
      <c r="U338" s="120" t="n"/>
      <c r="V338" s="120" t="n"/>
      <c r="W338" s="121" t="n"/>
      <c r="X338" s="121" t="n"/>
    </row>
    <row r="339" ht="85" customHeight="1">
      <c r="A339" s="119" t="inlineStr">
        <is>
          <t>note</t>
        </is>
      </c>
      <c r="B339" s="119" t="inlineStr">
        <is>
          <t>note_sub_w5_2</t>
        </is>
      </c>
      <c r="C339" s="122" t="inlineStr">
        <is>
          <t>&lt;p&gt;&lt;span style="font-size:14pt;color: #3366ff;"&gt;&lt;strong&gt;[OPTIONAL] Problem 2:&lt;/strong&gt;&lt;/span&gt;&lt;span style=""color: #3366ff;"&gt;&lt;/p&gt;
&lt;p style="font-weight:bold;font-size:18pt;text-align:center;color:#3366ff;"&gt;I had 62 pencils. I give away 34. How many do I have left?&lt;/u&gt;&lt;/p&gt;</t>
        </is>
      </c>
      <c r="D339" s="120" t="n"/>
      <c r="E339" s="121" t="n"/>
      <c r="F339" s="121" t="n"/>
      <c r="G339" s="120" t="n"/>
      <c r="H339" s="120" t="n"/>
      <c r="I339" s="122" t="inlineStr">
        <is>
          <t>${week} = 5</t>
        </is>
      </c>
      <c r="J339" s="119" t="inlineStr">
        <is>
          <t>yes</t>
        </is>
      </c>
      <c r="K339" s="121" t="n"/>
      <c r="L339" s="120" t="n"/>
      <c r="M339" s="121" t="n"/>
      <c r="N339" s="120" t="n"/>
      <c r="O339" s="121" t="n"/>
      <c r="P339" s="121" t="n"/>
      <c r="Q339" s="121" t="n"/>
      <c r="R339" s="121" t="n"/>
      <c r="S339" s="120" t="n"/>
      <c r="T339" s="121" t="n"/>
      <c r="U339" s="120" t="n"/>
      <c r="V339" s="120" t="n"/>
      <c r="W339" s="121" t="n"/>
      <c r="X339" s="121" t="n"/>
    </row>
    <row r="340" ht="68" customHeight="1">
      <c r="A340" s="119" t="inlineStr">
        <is>
          <t>note</t>
        </is>
      </c>
      <c r="B340" s="129" t="inlineStr">
        <is>
          <t>note_sub_w6_1</t>
        </is>
      </c>
      <c r="C340" s="130" t="inlineStr">
        <is>
          <t>&lt;p&gt;&lt;span style="font-size:14pt;color: #3366ff;"&gt;&lt;strong&gt;Problem 1:&lt;/strong&gt;&lt;/span&gt;&lt;span style="color: #3366ff;"&gt;&lt;/p&gt;
&lt;p style="font-weight:bold;font-size:24pt;text-align:center;color:#3366ff;"&gt; 48-29 = ?&lt;/u&gt;&lt;/p&gt;</t>
        </is>
      </c>
      <c r="D340" s="130" t="n"/>
      <c r="E340" s="131" t="n"/>
      <c r="F340" s="131" t="n"/>
      <c r="G340" s="130" t="n"/>
      <c r="H340" s="130" t="n"/>
      <c r="I340" s="130" t="inlineStr">
        <is>
          <t>${week} = 6</t>
        </is>
      </c>
      <c r="J340" s="131" t="n"/>
      <c r="K340" s="131" t="n"/>
      <c r="L340" s="130" t="n"/>
      <c r="M340" s="131" t="n"/>
      <c r="N340" s="130" t="n"/>
      <c r="O340" s="131" t="n"/>
      <c r="P340" s="131" t="n"/>
      <c r="Q340" s="131" t="n"/>
      <c r="R340" s="131" t="n"/>
      <c r="S340" s="130" t="n"/>
      <c r="T340" s="131" t="n"/>
      <c r="U340" s="130" t="n"/>
      <c r="V340" s="130" t="n"/>
      <c r="W340" s="131" t="n"/>
      <c r="X340" s="131" t="n"/>
    </row>
    <row r="341" ht="85" customHeight="1">
      <c r="A341" s="119" t="inlineStr">
        <is>
          <t>note</t>
        </is>
      </c>
      <c r="B341" s="129" t="inlineStr">
        <is>
          <t>note_sub_w6_2</t>
        </is>
      </c>
      <c r="C341" s="130" t="inlineStr">
        <is>
          <t>&lt;p&gt;&lt;span style="font-size:14pt;color: #3366ff;"&gt;&lt;strong&gt;[OPTIONAL] Problem 2:&lt;/strong&gt;&lt;/span&gt;&lt;span style=""color: #3366ff;"&gt;&lt;/p&gt;
&lt;p style="font-weight:bold;font-size:18pt;text-align:center;color:#3366ff;"&gt; What is the difference between 34 and 18?&lt;/u&gt;&lt;/p&gt;</t>
        </is>
      </c>
      <c r="D341" s="130" t="n"/>
      <c r="E341" s="131" t="n"/>
      <c r="F341" s="131" t="n"/>
      <c r="G341" s="130" t="n"/>
      <c r="H341" s="130" t="n"/>
      <c r="I341" s="130" t="inlineStr">
        <is>
          <t>${week} = 6</t>
        </is>
      </c>
      <c r="J341" s="131" t="inlineStr">
        <is>
          <t>yes</t>
        </is>
      </c>
      <c r="K341" s="131" t="n"/>
      <c r="L341" s="130" t="n"/>
      <c r="M341" s="131" t="n"/>
      <c r="N341" s="130" t="n"/>
      <c r="O341" s="131" t="n"/>
      <c r="P341" s="131" t="n"/>
      <c r="Q341" s="131" t="n"/>
      <c r="R341" s="131" t="n"/>
      <c r="S341" s="130" t="n"/>
      <c r="T341" s="131" t="n"/>
      <c r="U341" s="130" t="n"/>
      <c r="V341" s="130" t="n"/>
      <c r="W341" s="131" t="n"/>
      <c r="X341" s="131" t="n"/>
    </row>
    <row r="342" ht="68" customHeight="1">
      <c r="A342" s="119" t="inlineStr">
        <is>
          <t>note</t>
        </is>
      </c>
      <c r="B342" s="129" t="inlineStr">
        <is>
          <t>note_sub_w7_1</t>
        </is>
      </c>
      <c r="C342" s="130" t="inlineStr">
        <is>
          <t>&lt;p&gt;&lt;span style="font-size:14pt;color: #3366ff;"&gt;&lt;strong&gt;Problem 1:&lt;/strong&gt;&lt;/span&gt;&lt;span style="color: #3366ff;"&gt;&lt;/p&gt;
&lt;p style="font-weight:bold;font-size:24pt;text-align:center;color:#3366ff;"&gt; 40-11 = ?&lt;/u&gt;&lt;/p&gt;</t>
        </is>
      </c>
      <c r="D342" s="130" t="n"/>
      <c r="E342" s="131" t="n"/>
      <c r="F342" s="131" t="n"/>
      <c r="G342" s="130" t="n"/>
      <c r="H342" s="130" t="n"/>
      <c r="I342" s="130" t="inlineStr">
        <is>
          <t>${week} = 7</t>
        </is>
      </c>
      <c r="J342" s="131" t="n"/>
      <c r="K342" s="131" t="n"/>
      <c r="L342" s="130" t="n"/>
      <c r="M342" s="131" t="n"/>
      <c r="N342" s="130" t="n"/>
      <c r="O342" s="131" t="n"/>
      <c r="P342" s="131" t="n"/>
      <c r="Q342" s="131" t="n"/>
      <c r="R342" s="131" t="n"/>
      <c r="S342" s="130" t="n"/>
      <c r="T342" s="131" t="n"/>
      <c r="U342" s="130" t="n"/>
      <c r="V342" s="130" t="n"/>
      <c r="W342" s="131" t="n"/>
      <c r="X342" s="131" t="n"/>
    </row>
    <row r="343" ht="85" customHeight="1">
      <c r="A343" s="119" t="inlineStr">
        <is>
          <t>note</t>
        </is>
      </c>
      <c r="B343" s="129" t="inlineStr">
        <is>
          <t>note_sub_w7_2</t>
        </is>
      </c>
      <c r="C343" s="130" t="inlineStr">
        <is>
          <t>&lt;p&gt;&lt;span style="font-size:14pt;color: #3366ff;"&gt;&lt;strong&gt;[OPTIONAL] Problem 2:&lt;/strong&gt;&lt;/span&gt;&lt;span style=""color: #3366ff;"&gt;&lt;/p&gt;
&lt;p style="font-weight:bold;font-size:18pt;text-align:center;color:#3366ff;"&gt;Mile had 40 toy cars. He gave 27 to his cousin. How many toy cars is he left with?&lt;/u&gt;&lt;/p&gt;</t>
        </is>
      </c>
      <c r="D343" s="130" t="n"/>
      <c r="E343" s="131" t="n"/>
      <c r="F343" s="131" t="n"/>
      <c r="G343" s="130" t="n"/>
      <c r="H343" s="130" t="n"/>
      <c r="I343" s="130" t="inlineStr">
        <is>
          <t>${week} = 7</t>
        </is>
      </c>
      <c r="J343" s="131" t="inlineStr">
        <is>
          <t>yes</t>
        </is>
      </c>
      <c r="K343" s="131" t="n"/>
      <c r="L343" s="130" t="n"/>
      <c r="M343" s="131" t="n"/>
      <c r="N343" s="130" t="n"/>
      <c r="O343" s="131" t="n"/>
      <c r="P343" s="131" t="n"/>
      <c r="Q343" s="131" t="n"/>
      <c r="R343" s="131" t="n"/>
      <c r="S343" s="130" t="n"/>
      <c r="T343" s="131" t="n"/>
      <c r="U343" s="130" t="n"/>
      <c r="V343" s="130" t="n"/>
      <c r="W343" s="131" t="n"/>
      <c r="X343" s="131" t="n"/>
    </row>
    <row r="344" ht="68" customHeight="1">
      <c r="A344" s="119" t="inlineStr">
        <is>
          <t>note</t>
        </is>
      </c>
      <c r="B344" s="129" t="inlineStr">
        <is>
          <t>note_sub_w8_1</t>
        </is>
      </c>
      <c r="C344" s="130" t="inlineStr">
        <is>
          <t>&lt;p&gt;&lt;span style="font-size:14pt;color: #3366ff;"&gt;&lt;strong&gt;Problem 1:&lt;/strong&gt;&lt;/span&gt;&lt;span style="color: #3366ff;"&gt;&lt;/p&gt;
&lt;p style="font-weight:bold;font-size:24pt;text-align:center;color:#3366ff;"&gt; 81- 46 = ?&lt;/u&gt;&lt;/p&gt;</t>
        </is>
      </c>
      <c r="D344" s="130" t="n"/>
      <c r="E344" s="131" t="n"/>
      <c r="F344" s="131" t="n"/>
      <c r="G344" s="130" t="n"/>
      <c r="H344" s="130" t="n"/>
      <c r="I344" s="130" t="inlineStr">
        <is>
          <t>${week} = 8</t>
        </is>
      </c>
      <c r="J344" s="131" t="n"/>
      <c r="K344" s="131" t="n"/>
      <c r="L344" s="130" t="n"/>
      <c r="M344" s="131" t="n"/>
      <c r="N344" s="130" t="n"/>
      <c r="O344" s="131" t="n"/>
      <c r="P344" s="131" t="n"/>
      <c r="Q344" s="131" t="n"/>
      <c r="R344" s="131" t="n"/>
      <c r="S344" s="130" t="n"/>
      <c r="T344" s="131" t="n"/>
      <c r="U344" s="130" t="n"/>
      <c r="V344" s="130" t="n"/>
      <c r="W344" s="131" t="n"/>
      <c r="X344" s="131" t="n"/>
    </row>
    <row r="345" ht="85" customHeight="1">
      <c r="A345" s="119" t="inlineStr">
        <is>
          <t>note</t>
        </is>
      </c>
      <c r="B345" s="129" t="inlineStr">
        <is>
          <t>note_sub_w8_2</t>
        </is>
      </c>
      <c r="C345" s="130" t="inlineStr">
        <is>
          <t>&lt;p&gt;&lt;span style="font-size:14pt;color: #3366ff;"&gt;&lt;strong&gt;[OPTIONAL] Problem 2:&lt;/strong&gt;&lt;/span&gt;&lt;span style=""color: #3366ff;"&gt;&lt;/p&gt;
&lt;p style="font-weight:bold;font-size:18pt;text-align:center;color:#3366ff;"&gt;Kgosi had 73 toys. He lost 59 of them. How many toys are left?&lt;/u&gt;&lt;/p&gt;</t>
        </is>
      </c>
      <c r="D345" s="130" t="n"/>
      <c r="E345" s="131" t="n"/>
      <c r="F345" s="131" t="n"/>
      <c r="G345" s="130" t="n"/>
      <c r="H345" s="130" t="n"/>
      <c r="I345" s="130" t="inlineStr">
        <is>
          <t>${week} = 8</t>
        </is>
      </c>
      <c r="J345" s="131" t="inlineStr">
        <is>
          <t>yes</t>
        </is>
      </c>
      <c r="K345" s="131" t="n"/>
      <c r="L345" s="130" t="n"/>
      <c r="M345" s="131" t="n"/>
      <c r="N345" s="130" t="n"/>
      <c r="O345" s="131" t="n"/>
      <c r="P345" s="131" t="n"/>
      <c r="Q345" s="131" t="n"/>
      <c r="R345" s="131" t="n"/>
      <c r="S345" s="130" t="n"/>
      <c r="T345" s="131" t="n"/>
      <c r="U345" s="130" t="n"/>
      <c r="V345" s="130" t="n"/>
      <c r="W345" s="131" t="n"/>
      <c r="X345" s="131" t="n"/>
    </row>
    <row r="346">
      <c r="A346" s="119" t="inlineStr">
        <is>
          <t>end group</t>
        </is>
      </c>
      <c r="B346" s="119" t="inlineStr">
        <is>
          <t>tutorial_subtraction</t>
        </is>
      </c>
      <c r="C346" s="122" t="n"/>
      <c r="D346" s="120" t="n"/>
      <c r="E346" s="121" t="n"/>
      <c r="F346" s="121" t="n"/>
      <c r="G346" s="120" t="n"/>
      <c r="H346" s="120" t="n"/>
      <c r="I346" s="122" t="n"/>
      <c r="J346" s="119" t="n"/>
      <c r="K346" s="121" t="n"/>
      <c r="L346" s="120" t="n"/>
      <c r="M346" s="121" t="n"/>
      <c r="N346" s="120" t="n"/>
      <c r="O346" s="121" t="n"/>
      <c r="P346" s="121" t="n"/>
      <c r="Q346" s="121" t="n"/>
      <c r="R346" s="121" t="n"/>
      <c r="S346" s="120" t="n"/>
      <c r="T346" s="121" t="n"/>
      <c r="U346" s="120" t="n"/>
      <c r="V346" s="120" t="n"/>
      <c r="W346" s="121" t="n"/>
      <c r="X346" s="121" t="n"/>
    </row>
    <row r="347" ht="17" customHeight="1">
      <c r="A347" s="119" t="inlineStr">
        <is>
          <t>begin group</t>
        </is>
      </c>
      <c r="B347" s="119" t="inlineStr">
        <is>
          <t>tutorial_multiplication</t>
        </is>
      </c>
      <c r="C347" s="122" t="n"/>
      <c r="D347" s="120" t="n"/>
      <c r="E347" s="121" t="n"/>
      <c r="F347" s="119" t="inlineStr">
        <is>
          <t>field-list</t>
        </is>
      </c>
      <c r="G347" s="120" t="n"/>
      <c r="H347" s="120" t="n"/>
      <c r="I347" s="122" t="inlineStr">
        <is>
          <t>${operation_taught_num_i} = 3</t>
        </is>
      </c>
      <c r="J347" s="119" t="n"/>
      <c r="K347" s="121" t="n"/>
      <c r="L347" s="120" t="n"/>
      <c r="M347" s="121" t="n"/>
      <c r="N347" s="120" t="n"/>
      <c r="O347" s="121" t="n"/>
      <c r="P347" s="121" t="n"/>
      <c r="Q347" s="121" t="n"/>
      <c r="R347" s="121" t="n"/>
      <c r="S347" s="120" t="n"/>
      <c r="T347" s="121" t="n"/>
      <c r="U347" s="120" t="n"/>
      <c r="V347" s="120" t="n"/>
      <c r="W347" s="121" t="n"/>
      <c r="X347" s="121" t="n"/>
    </row>
    <row r="348" ht="372" customHeight="1">
      <c r="A348" s="119" t="inlineStr">
        <is>
          <t>note</t>
        </is>
      </c>
      <c r="B348" s="119" t="inlineStr">
        <is>
          <t>note_mult</t>
        </is>
      </c>
      <c r="C348" s="122" t="inlineStr">
        <is>
          <t>&lt;p style="font-weight:bold;font-size:14pt;text-align:center;"&gt;Demonstrate and Practice &lt;u&gt;Multiplication&lt;/u&gt;&lt;/p&gt;
&lt;br&gt;
Use the following problem/s to demonstrate &lt;b&gt;Multiplication&lt;/b&gt;.
&lt;br&gt;&lt;br&gt;
Highlight the following points: &lt;br&gt;
&lt;ol&gt;
&lt;li&gt;Draw the multiplication table with a "carryover window" and place the numbers. 
&lt;ul&gt;
&lt;li&gt;Write the larger number at the top.&lt;/li&gt;
&lt;li&gt;Ensure the &lt;b&gt;&lt;u&gt;tens&lt;/u&gt;&lt;/b&gt; digits are on the &lt;b&gt;&lt;u&gt;left&lt;/u&gt;&lt;/b&gt; and&lt;/li&gt;
&lt;li&gt;&lt;b&gt;&lt;u&gt;unit&lt;/u&gt;&lt;/b&gt; digits are on the &lt;b&gt;&lt;u&gt;right&lt;/u&gt;&lt;/b&gt;.&lt;/li&gt;
&lt;/ul&gt;
&lt;li&gt;Multiply the units first. Multiply the lower digit (units of the bottom number) by the upper digit.&lt;/li&gt;
&lt;li&gt;When UNITS multiply to be more than 10, the extra TENS are "carried-over" in the "carryover window". These are then added to the digit in the TENS column.&lt;/li&gt;
&lt;li&gt;Bring down the digits to make a whole number.&lt;/li&gt;
&lt;/ol&gt;</t>
        </is>
      </c>
      <c r="D348" s="120" t="n"/>
      <c r="E348" s="121" t="n"/>
      <c r="F348" s="121" t="n"/>
      <c r="G348" s="120" t="n"/>
      <c r="H348" s="120" t="n"/>
      <c r="I348" s="122" t="n"/>
      <c r="J348" s="119" t="n"/>
      <c r="K348" s="121" t="n"/>
      <c r="L348" s="120" t="n"/>
      <c r="M348" s="121" t="n"/>
      <c r="N348" s="120" t="n"/>
      <c r="O348" s="121" t="n"/>
      <c r="P348" s="121" t="n"/>
      <c r="Q348" s="121" t="n"/>
      <c r="R348" s="121" t="n"/>
      <c r="S348" s="120" t="n"/>
      <c r="T348" s="121" t="n"/>
      <c r="U348" s="120" t="n"/>
      <c r="V348" s="120" t="n"/>
      <c r="W348" s="121" t="n"/>
      <c r="X348" s="121" t="n"/>
    </row>
    <row r="349" ht="68" customHeight="1">
      <c r="A349" s="119" t="inlineStr">
        <is>
          <t>note</t>
        </is>
      </c>
      <c r="B349" s="119" t="inlineStr">
        <is>
          <t>note_mult_w1_1</t>
        </is>
      </c>
      <c r="C349" s="122" t="inlineStr">
        <is>
          <t>&lt;p&gt;&lt;span style="font-size:14pt;color: #3366ff;"&gt;&lt;strong&gt;Problem 1:&lt;/strong&gt;&lt;/span&gt;&lt;span style="color: #3366ff;"&gt;&lt;/p&gt;
&lt;p style="font-weight:bold;font-size:24pt;text-align:center;color:#3366ff;"&gt;28 x 3 = ?&lt;/u&gt;&lt;/p&gt;</t>
        </is>
      </c>
      <c r="D349" s="120" t="n"/>
      <c r="E349" s="121" t="n"/>
      <c r="F349" s="121" t="n"/>
      <c r="G349" s="120" t="n"/>
      <c r="H349" s="120" t="n"/>
      <c r="I349" s="122" t="inlineStr">
        <is>
          <t>${week} = 1</t>
        </is>
      </c>
      <c r="J349" s="119" t="n"/>
      <c r="K349" s="121" t="n"/>
      <c r="L349" s="120" t="n"/>
      <c r="M349" s="121" t="n"/>
      <c r="N349" s="120" t="n"/>
      <c r="O349" s="121" t="n"/>
      <c r="P349" s="121" t="n"/>
      <c r="Q349" s="121" t="n"/>
      <c r="R349" s="121" t="n"/>
      <c r="S349" s="120" t="n"/>
      <c r="T349" s="121" t="n"/>
      <c r="U349" s="120" t="n"/>
      <c r="V349" s="120" t="n"/>
      <c r="W349" s="121" t="n"/>
      <c r="X349" s="121" t="n"/>
    </row>
    <row r="350" ht="85" customHeight="1">
      <c r="A350" s="119" t="inlineStr">
        <is>
          <t>note</t>
        </is>
      </c>
      <c r="B350" s="119" t="inlineStr">
        <is>
          <t>note_mult_w1_2</t>
        </is>
      </c>
      <c r="C350" s="122" t="inlineStr">
        <is>
          <t>&lt;p&gt;&lt;span style="font-size:14pt;color: #3366ff;"&gt;&lt;strong&gt;[OPTIONAL] Problem 2:&lt;/strong&gt;&lt;/span&gt;&lt;span style=""color: #3366ff;"&gt;&lt;/p&gt;
&lt;p style="font-weight:bold;font-size:18pt;text-align:center;color:#3366ff;"&gt;Mel sells 18 pens at PhP 3 each. How much does she make?&lt;/u&gt;&lt;/p&gt;</t>
        </is>
      </c>
      <c r="D350" s="120" t="n"/>
      <c r="E350" s="121" t="n"/>
      <c r="F350" s="121" t="n"/>
      <c r="G350" s="120" t="n"/>
      <c r="H350" s="120" t="n"/>
      <c r="I350" s="122" t="inlineStr">
        <is>
          <t>${week} = 1</t>
        </is>
      </c>
      <c r="J350" s="119" t="inlineStr">
        <is>
          <t>yes</t>
        </is>
      </c>
      <c r="K350" s="121" t="n"/>
      <c r="L350" s="120" t="n"/>
      <c r="M350" s="121" t="n"/>
      <c r="N350" s="120" t="n"/>
      <c r="O350" s="121" t="n"/>
      <c r="P350" s="121" t="n"/>
      <c r="Q350" s="121" t="n"/>
      <c r="R350" s="121" t="n"/>
      <c r="S350" s="120" t="n"/>
      <c r="T350" s="121" t="n"/>
      <c r="U350" s="120" t="n"/>
      <c r="V350" s="120" t="n"/>
      <c r="W350" s="121" t="n"/>
      <c r="X350" s="121" t="n"/>
    </row>
    <row r="351" ht="68" customHeight="1">
      <c r="A351" s="119" t="inlineStr">
        <is>
          <t>note</t>
        </is>
      </c>
      <c r="B351" s="119" t="inlineStr">
        <is>
          <t>note_mult_w2_1</t>
        </is>
      </c>
      <c r="C351" s="122" t="inlineStr">
        <is>
          <t>&lt;p&gt;&lt;span style="font-size:14pt;color: #3366ff;"&gt;&lt;strong&gt;Problem 1:&lt;/strong&gt;&lt;/span&gt;&lt;span style="color: #3366ff;"&gt;&lt;/p&gt;
&lt;p style="font-weight:bold;font-size:24pt;text-align:center;color:#3366ff;"&gt; 34 x 3 = ?&lt;/u&gt;&lt;/p&gt;</t>
        </is>
      </c>
      <c r="D351" s="120" t="n"/>
      <c r="E351" s="121" t="n"/>
      <c r="F351" s="121" t="n"/>
      <c r="G351" s="120" t="n"/>
      <c r="H351" s="120" t="n"/>
      <c r="I351" s="122" t="inlineStr">
        <is>
          <t>${week} = 2</t>
        </is>
      </c>
      <c r="J351" s="119" t="n"/>
      <c r="K351" s="121" t="n"/>
      <c r="L351" s="120" t="n"/>
      <c r="M351" s="121" t="n"/>
      <c r="N351" s="120" t="n"/>
      <c r="O351" s="121" t="n"/>
      <c r="P351" s="121" t="n"/>
      <c r="Q351" s="121" t="n"/>
      <c r="R351" s="121" t="n"/>
      <c r="S351" s="120" t="n"/>
      <c r="T351" s="121" t="n"/>
      <c r="U351" s="120" t="n"/>
      <c r="V351" s="120" t="n"/>
      <c r="W351" s="121" t="n"/>
      <c r="X351" s="121" t="n"/>
    </row>
    <row r="352" ht="85" customHeight="1">
      <c r="A352" s="119" t="inlineStr">
        <is>
          <t>note</t>
        </is>
      </c>
      <c r="B352" s="119" t="inlineStr">
        <is>
          <t>note_mult_w2_2</t>
        </is>
      </c>
      <c r="C352" s="122" t="inlineStr">
        <is>
          <t>&lt;p&gt;&lt;span style="font-size:14pt;color: #3366ff;"&gt;&lt;strong&gt;[OPTIONAL] Problem 2:&lt;/strong&gt;&lt;/span&gt;&lt;span style=""color: #3366ff;"&gt;&lt;/p&gt;
&lt;p style="font-weight:bold;font-size:18pt;text-align:center;color:#3366ff;"&gt;36 hens lay 2 eggs each. How many eggs altogether?&lt;/u&gt;&lt;/p&gt;</t>
        </is>
      </c>
      <c r="D352" s="120" t="n"/>
      <c r="E352" s="121" t="n"/>
      <c r="F352" s="121" t="n"/>
      <c r="G352" s="120" t="n"/>
      <c r="H352" s="120" t="n"/>
      <c r="I352" s="122" t="inlineStr">
        <is>
          <t>${week} = 2</t>
        </is>
      </c>
      <c r="J352" s="119" t="inlineStr">
        <is>
          <t>yes</t>
        </is>
      </c>
      <c r="K352" s="121" t="n"/>
      <c r="L352" s="120" t="n"/>
      <c r="M352" s="121" t="n"/>
      <c r="N352" s="120" t="n"/>
      <c r="O352" s="121" t="n"/>
      <c r="P352" s="121" t="n"/>
      <c r="Q352" s="121" t="n"/>
      <c r="R352" s="121" t="n"/>
      <c r="S352" s="120" t="n"/>
      <c r="T352" s="121" t="n"/>
      <c r="U352" s="120" t="n"/>
      <c r="V352" s="120" t="n"/>
      <c r="W352" s="121" t="n"/>
      <c r="X352" s="121" t="n"/>
    </row>
    <row r="353" ht="68" customHeight="1">
      <c r="A353" s="119" t="inlineStr">
        <is>
          <t>note</t>
        </is>
      </c>
      <c r="B353" s="119" t="inlineStr">
        <is>
          <t>note_mult_w3_1</t>
        </is>
      </c>
      <c r="C353" s="122" t="inlineStr">
        <is>
          <t>&lt;p&gt;&lt;span style="font-size:14pt;color: #3366ff;"&gt;&lt;strong&gt;Problem 1:&lt;/strong&gt;&lt;/span&gt;&lt;span style="color: #3366ff;"&gt;&lt;/p&gt;
&lt;p style="font-weight:bold;font-size:24pt;text-align:center;color:#3366ff;"&gt; 16 x 3= ?&lt;/u&gt;&lt;/p&gt;</t>
        </is>
      </c>
      <c r="D353" s="120" t="n"/>
      <c r="E353" s="121" t="n"/>
      <c r="F353" s="121" t="n"/>
      <c r="G353" s="120" t="n"/>
      <c r="H353" s="120" t="n"/>
      <c r="I353" s="122" t="inlineStr">
        <is>
          <t>${week} = 3</t>
        </is>
      </c>
      <c r="J353" s="119" t="n"/>
      <c r="K353" s="121" t="n"/>
      <c r="L353" s="120" t="n"/>
      <c r="M353" s="121" t="n"/>
      <c r="N353" s="120" t="n"/>
      <c r="O353" s="121" t="n"/>
      <c r="P353" s="121" t="n"/>
      <c r="Q353" s="121" t="n"/>
      <c r="R353" s="121" t="n"/>
      <c r="S353" s="120" t="n"/>
      <c r="T353" s="121" t="n"/>
      <c r="U353" s="120" t="n"/>
      <c r="V353" s="120" t="n"/>
      <c r="W353" s="121" t="n"/>
      <c r="X353" s="121" t="n"/>
    </row>
    <row r="354" ht="85" customHeight="1">
      <c r="A354" s="119" t="inlineStr">
        <is>
          <t>note</t>
        </is>
      </c>
      <c r="B354" s="119" t="inlineStr">
        <is>
          <t>note_mult_w3_2</t>
        </is>
      </c>
      <c r="C354" s="122" t="inlineStr">
        <is>
          <t>&lt;p&gt;&lt;span style="font-size:14pt;color: #3366ff;"&gt;&lt;strong&gt;[OPTIONAL] Problem 2:&lt;/strong&gt;&lt;/span&gt;&lt;span style=""color: #3366ff;"&gt;&lt;/p&gt;
&lt;p style="font-weight:bold;font-size:18pt;text-align:center;color:#3366ff;"&gt; I make 14 necklaces with 5 beads each. How many beads do I need?&lt;/u&gt;&lt;/p&gt;</t>
        </is>
      </c>
      <c r="D354" s="120" t="n"/>
      <c r="E354" s="121" t="n"/>
      <c r="F354" s="121" t="n"/>
      <c r="G354" s="120" t="n"/>
      <c r="H354" s="120" t="n"/>
      <c r="I354" s="122" t="inlineStr">
        <is>
          <t>${week} = 3</t>
        </is>
      </c>
      <c r="J354" s="119" t="inlineStr">
        <is>
          <t>yes</t>
        </is>
      </c>
      <c r="K354" s="121" t="n"/>
      <c r="L354" s="120" t="n"/>
      <c r="M354" s="121" t="n"/>
      <c r="N354" s="120" t="n"/>
      <c r="O354" s="121" t="n"/>
      <c r="P354" s="121" t="n"/>
      <c r="Q354" s="121" t="n"/>
      <c r="R354" s="121" t="n"/>
      <c r="S354" s="120" t="n"/>
      <c r="T354" s="121" t="n"/>
      <c r="U354" s="120" t="n"/>
      <c r="V354" s="120" t="n"/>
      <c r="W354" s="121" t="n"/>
      <c r="X354" s="121" t="n"/>
    </row>
    <row r="355" ht="68" customHeight="1">
      <c r="A355" s="119" t="inlineStr">
        <is>
          <t>note</t>
        </is>
      </c>
      <c r="B355" s="119" t="inlineStr">
        <is>
          <t>note_mult_w4_1</t>
        </is>
      </c>
      <c r="C355" s="122" t="inlineStr">
        <is>
          <t>&lt;p&gt;&lt;span style="font-size:14pt;color: #3366ff;"&gt;&lt;strong&gt;Problem 1:&lt;/strong&gt;&lt;/span&gt;&lt;span style="color: #3366ff;"&gt;&lt;/p&gt;
&lt;p style="font-weight:bold;font-size:24pt;text-align:center;color:#3366ff;"&gt; 15 x 5 = ?&lt;/u&gt;&lt;/p&gt;</t>
        </is>
      </c>
      <c r="D355" s="120" t="n"/>
      <c r="E355" s="121" t="n"/>
      <c r="F355" s="121" t="n"/>
      <c r="G355" s="120" t="n"/>
      <c r="H355" s="120" t="n"/>
      <c r="I355" s="122" t="inlineStr">
        <is>
          <t>${week} = 4</t>
        </is>
      </c>
      <c r="J355" s="119" t="n"/>
      <c r="K355" s="121" t="n"/>
      <c r="L355" s="120" t="n"/>
      <c r="M355" s="121" t="n"/>
      <c r="N355" s="120" t="n"/>
      <c r="O355" s="121" t="n"/>
      <c r="P355" s="121" t="n"/>
      <c r="Q355" s="121" t="n"/>
      <c r="R355" s="121" t="n"/>
      <c r="S355" s="120" t="n"/>
      <c r="T355" s="121" t="n"/>
      <c r="U355" s="120" t="n"/>
      <c r="V355" s="120" t="n"/>
      <c r="W355" s="121" t="n"/>
      <c r="X355" s="121" t="n"/>
    </row>
    <row r="356" ht="85" customHeight="1">
      <c r="A356" s="119" t="inlineStr">
        <is>
          <t>note</t>
        </is>
      </c>
      <c r="B356" s="119" t="inlineStr">
        <is>
          <t>note_mult_w4_2</t>
        </is>
      </c>
      <c r="C356" s="122" t="inlineStr">
        <is>
          <t>&lt;p&gt;&lt;span style="font-size:14pt;color: #3366ff;"&gt;&lt;strong&gt;[OPTIONAL] Problem 2:&lt;/strong&gt;&lt;/span&gt;&lt;span style=""color: #3366ff;"&gt;&lt;/p&gt;
&lt;p style="font-weight:bold;font-size:18pt;text-align:center;color:#3366ff;"&gt;Liz has 24 baskets with 4 eggs each. How many eggs in total?&lt;/u&gt;&lt;/p&gt;</t>
        </is>
      </c>
      <c r="D356" s="120" t="n"/>
      <c r="E356" s="121" t="n"/>
      <c r="F356" s="121" t="n"/>
      <c r="G356" s="120" t="n"/>
      <c r="H356" s="120" t="n"/>
      <c r="I356" s="122" t="inlineStr">
        <is>
          <t>${week} = 4</t>
        </is>
      </c>
      <c r="J356" s="119" t="inlineStr">
        <is>
          <t>yes</t>
        </is>
      </c>
      <c r="K356" s="121" t="n"/>
      <c r="L356" s="120" t="n"/>
      <c r="M356" s="121" t="n"/>
      <c r="N356" s="120" t="n"/>
      <c r="O356" s="121" t="n"/>
      <c r="P356" s="121" t="n"/>
      <c r="Q356" s="121" t="n"/>
      <c r="R356" s="121" t="n"/>
      <c r="S356" s="120" t="n"/>
      <c r="T356" s="121" t="n"/>
      <c r="U356" s="120" t="n"/>
      <c r="V356" s="120" t="n"/>
      <c r="W356" s="121" t="n"/>
      <c r="X356" s="121" t="n"/>
    </row>
    <row r="357" ht="68" customHeight="1">
      <c r="A357" s="119" t="inlineStr">
        <is>
          <t>note</t>
        </is>
      </c>
      <c r="B357" s="119" t="inlineStr">
        <is>
          <t>note_mult_w5_1</t>
        </is>
      </c>
      <c r="C357" s="122" t="inlineStr">
        <is>
          <t>&lt;p&gt;&lt;span style="font-size:14pt;color: #3366ff;"&gt;&lt;strong&gt;Problem 1:&lt;/strong&gt;&lt;/span&gt;&lt;span style="color: #3366ff;"&gt;&lt;/p&gt;
&lt;p style="font-weight:bold;font-size:24pt;text-align:center;color:#3366ff;"&gt; 12 x 7 = ?&lt;/u&gt;&lt;/p&gt;</t>
        </is>
      </c>
      <c r="D357" s="120" t="n"/>
      <c r="E357" s="121" t="n"/>
      <c r="F357" s="121" t="n"/>
      <c r="G357" s="120" t="n"/>
      <c r="H357" s="120" t="n"/>
      <c r="I357" s="122" t="inlineStr">
        <is>
          <t>${week} = 5</t>
        </is>
      </c>
      <c r="J357" s="119" t="n"/>
      <c r="K357" s="121" t="n"/>
      <c r="L357" s="120" t="n"/>
      <c r="M357" s="121" t="n"/>
      <c r="N357" s="120" t="n"/>
      <c r="O357" s="121" t="n"/>
      <c r="P357" s="121" t="n"/>
      <c r="Q357" s="121" t="n"/>
      <c r="R357" s="121" t="n"/>
      <c r="S357" s="120" t="n"/>
      <c r="T357" s="121" t="n"/>
      <c r="U357" s="120" t="n"/>
      <c r="V357" s="120" t="n"/>
      <c r="W357" s="121" t="n"/>
      <c r="X357" s="121" t="n"/>
    </row>
    <row r="358" ht="85" customHeight="1">
      <c r="A358" s="119" t="inlineStr">
        <is>
          <t>note</t>
        </is>
      </c>
      <c r="B358" s="119" t="inlineStr">
        <is>
          <t>note_mult_w5_2</t>
        </is>
      </c>
      <c r="C358" s="122" t="inlineStr">
        <is>
          <t>&lt;p&gt;&lt;span style="font-size:14pt;color: #3366ff;"&gt;&lt;strong&gt;[OPTIONAL] Problem 2:&lt;/strong&gt;&lt;/span&gt;&lt;span style=""color: #3366ff;"&gt;&lt;/p&gt;
&lt;p style="font-weight:bold;font-size:18pt;text-align:center;color:#3366ff;"&gt;Triple 26. What is the answer? &lt;/u&gt;&lt;/p&gt;</t>
        </is>
      </c>
      <c r="D358" s="120" t="n"/>
      <c r="E358" s="121" t="n"/>
      <c r="F358" s="121" t="n"/>
      <c r="G358" s="120" t="n"/>
      <c r="H358" s="120" t="n"/>
      <c r="I358" s="122" t="inlineStr">
        <is>
          <t>${week} = 5</t>
        </is>
      </c>
      <c r="J358" s="119" t="inlineStr">
        <is>
          <t>yes</t>
        </is>
      </c>
      <c r="K358" s="121" t="n"/>
      <c r="L358" s="120" t="n"/>
      <c r="M358" s="121" t="n"/>
      <c r="N358" s="120" t="n"/>
      <c r="O358" s="121" t="n"/>
      <c r="P358" s="121" t="n"/>
      <c r="Q358" s="121" t="n"/>
      <c r="R358" s="121" t="n"/>
      <c r="S358" s="120" t="n"/>
      <c r="T358" s="121" t="n"/>
      <c r="U358" s="120" t="n"/>
      <c r="V358" s="120" t="n"/>
      <c r="W358" s="121" t="n"/>
      <c r="X358" s="121" t="n"/>
    </row>
    <row r="359" ht="68" customHeight="1">
      <c r="A359" s="119" t="inlineStr">
        <is>
          <t>note</t>
        </is>
      </c>
      <c r="B359" s="129" t="inlineStr">
        <is>
          <t>note_mult_w6_1</t>
        </is>
      </c>
      <c r="C359" s="130" t="inlineStr">
        <is>
          <t>&lt;p&gt;&lt;span style="font-size:14pt;color: #3366ff;"&gt;&lt;strong&gt;Problem 1:&lt;/strong&gt;&lt;/span&gt;&lt;span style="color: #3366ff;"&gt;&lt;/p&gt;
&lt;p style="font-weight:bold;font-size:24pt;text-align:center;color:#3366ff;"&gt; 13 x 5= ?&lt;/u&gt;&lt;/p&gt;</t>
        </is>
      </c>
      <c r="D359" s="130" t="n"/>
      <c r="E359" s="131" t="n"/>
      <c r="F359" s="131" t="n"/>
      <c r="G359" s="130" t="n"/>
      <c r="H359" s="130" t="n"/>
      <c r="I359" s="130" t="inlineStr">
        <is>
          <t>${week} = 6</t>
        </is>
      </c>
      <c r="J359" s="131" t="n"/>
      <c r="K359" s="131" t="n"/>
      <c r="L359" s="130" t="n"/>
      <c r="M359" s="131" t="n"/>
      <c r="N359" s="130" t="n"/>
      <c r="O359" s="131" t="n"/>
      <c r="P359" s="131" t="n"/>
      <c r="Q359" s="131" t="n"/>
      <c r="R359" s="131" t="n"/>
      <c r="S359" s="130" t="n"/>
      <c r="T359" s="131" t="n"/>
      <c r="U359" s="130" t="n"/>
      <c r="V359" s="130" t="n"/>
      <c r="W359" s="131" t="n"/>
      <c r="X359" s="131" t="n"/>
    </row>
    <row r="360" ht="85" customHeight="1">
      <c r="A360" s="119" t="inlineStr">
        <is>
          <t>note</t>
        </is>
      </c>
      <c r="B360" s="129" t="inlineStr">
        <is>
          <t>note_mult_w6_2</t>
        </is>
      </c>
      <c r="C360" s="130" t="inlineStr">
        <is>
          <t>&lt;p&gt;&lt;span style="font-size:14pt;color: #3366ff;"&gt;&lt;strong&gt;[OPTIONAL] Problem 2:&lt;/strong&gt;&lt;/span&gt;&lt;span style=""color: #3366ff;"&gt;&lt;/p&gt;
&lt;p style="font-weight:bold;font-size:18pt;text-align:center;color:#3366ff;"&gt;Multiply length (29m) and width (3m) to find the area of my pool ?&lt;/u&gt;&lt;/p&gt;</t>
        </is>
      </c>
      <c r="D360" s="130" t="n"/>
      <c r="E360" s="131" t="n"/>
      <c r="F360" s="131" t="n"/>
      <c r="G360" s="130" t="n"/>
      <c r="H360" s="130" t="n"/>
      <c r="I360" s="130" t="inlineStr">
        <is>
          <t>${week} = 6</t>
        </is>
      </c>
      <c r="J360" s="131" t="inlineStr">
        <is>
          <t>yes</t>
        </is>
      </c>
      <c r="K360" s="131" t="n"/>
      <c r="L360" s="130" t="n"/>
      <c r="M360" s="131" t="n"/>
      <c r="N360" s="130" t="n"/>
      <c r="O360" s="131" t="n"/>
      <c r="P360" s="131" t="n"/>
      <c r="Q360" s="131" t="n"/>
      <c r="R360" s="131" t="n"/>
      <c r="S360" s="130" t="n"/>
      <c r="T360" s="131" t="n"/>
      <c r="U360" s="130" t="n"/>
      <c r="V360" s="130" t="n"/>
      <c r="W360" s="131" t="n"/>
      <c r="X360" s="131" t="n"/>
    </row>
    <row r="361" ht="68" customHeight="1">
      <c r="A361" s="119" t="inlineStr">
        <is>
          <t>note</t>
        </is>
      </c>
      <c r="B361" s="129" t="inlineStr">
        <is>
          <t>note_mult_w7_1</t>
        </is>
      </c>
      <c r="C361" s="130" t="inlineStr">
        <is>
          <t>&lt;p&gt;&lt;span style="font-size:14pt;color: #3366ff;"&gt;&lt;strong&gt;Problem 1:&lt;/strong&gt;&lt;/span&gt;&lt;span style="color: #3366ff;"&gt;&lt;/p&gt;
&lt;p style="font-weight:bold;font-size:24pt;text-align:center;color:#3366ff;"&gt; 47 x 3= ?&lt;/u&gt;&lt;/p&gt;</t>
        </is>
      </c>
      <c r="D361" s="130" t="n"/>
      <c r="E361" s="131" t="n"/>
      <c r="F361" s="131" t="n"/>
      <c r="G361" s="130" t="n"/>
      <c r="H361" s="130" t="n"/>
      <c r="I361" s="130" t="inlineStr">
        <is>
          <t>${week} = 7</t>
        </is>
      </c>
      <c r="J361" s="131" t="n"/>
      <c r="K361" s="131" t="n"/>
      <c r="L361" s="130" t="n"/>
      <c r="M361" s="131" t="n"/>
      <c r="N361" s="130" t="n"/>
      <c r="O361" s="131" t="n"/>
      <c r="P361" s="131" t="n"/>
      <c r="Q361" s="131" t="n"/>
      <c r="R361" s="131" t="n"/>
      <c r="S361" s="130" t="n"/>
      <c r="T361" s="131" t="n"/>
      <c r="U361" s="130" t="n"/>
      <c r="V361" s="130" t="n"/>
      <c r="W361" s="131" t="n"/>
      <c r="X361" s="131" t="n"/>
    </row>
    <row r="362" ht="85" customHeight="1">
      <c r="A362" s="119" t="inlineStr">
        <is>
          <t>note</t>
        </is>
      </c>
      <c r="B362" s="129" t="inlineStr">
        <is>
          <t>note_mult_w7_2</t>
        </is>
      </c>
      <c r="C362" s="130" t="inlineStr">
        <is>
          <t>&lt;p&gt;&lt;span style="font-size:14pt;color: #3366ff;"&gt;&lt;strong&gt;[OPTIONAL] Problem 2:&lt;/strong&gt;&lt;/span&gt;&lt;span style=""color: #3366ff;"&gt;&lt;/p&gt;
&lt;p style="font-weight:bold;font-size:18pt;text-align:center;color:#3366ff;"&gt; Tshego sold 23 sweets of 4 different flavours. How many were sold?&lt;/u&gt;&lt;/p&gt;</t>
        </is>
      </c>
      <c r="D362" s="130" t="n"/>
      <c r="E362" s="131" t="n"/>
      <c r="F362" s="131" t="n"/>
      <c r="G362" s="130" t="n"/>
      <c r="H362" s="130" t="n"/>
      <c r="I362" s="130" t="inlineStr">
        <is>
          <t>${week} = 7</t>
        </is>
      </c>
      <c r="J362" s="131" t="inlineStr">
        <is>
          <t>yes</t>
        </is>
      </c>
      <c r="K362" s="131" t="n"/>
      <c r="L362" s="130" t="n"/>
      <c r="M362" s="131" t="n"/>
      <c r="N362" s="130" t="n"/>
      <c r="O362" s="131" t="n"/>
      <c r="P362" s="131" t="n"/>
      <c r="Q362" s="131" t="n"/>
      <c r="R362" s="131" t="n"/>
      <c r="S362" s="130" t="n"/>
      <c r="T362" s="131" t="n"/>
      <c r="U362" s="130" t="n"/>
      <c r="V362" s="130" t="n"/>
      <c r="W362" s="131" t="n"/>
      <c r="X362" s="131" t="n"/>
    </row>
    <row r="363" ht="68" customHeight="1">
      <c r="A363" s="119" t="inlineStr">
        <is>
          <t>note</t>
        </is>
      </c>
      <c r="B363" s="129" t="inlineStr">
        <is>
          <t>note_mult_w8_1</t>
        </is>
      </c>
      <c r="C363" s="130" t="inlineStr">
        <is>
          <t>&lt;p&gt;&lt;span style="font-size:14pt;color: #3366ff;"&gt;&lt;strong&gt;Problem 1:&lt;/strong&gt;&lt;/span&gt;&lt;span style="color: #3366ff;"&gt;&lt;/p&gt;
&lt;p style="font-weight:bold;font-size:24pt;text-align:center;color:#3366ff;"&gt; 25 x 4 = ?&lt;/u&gt;&lt;/p&gt;</t>
        </is>
      </c>
      <c r="D363" s="130" t="n"/>
      <c r="E363" s="131" t="n"/>
      <c r="F363" s="131" t="n"/>
      <c r="G363" s="130" t="n"/>
      <c r="H363" s="130" t="n"/>
      <c r="I363" s="130" t="inlineStr">
        <is>
          <t>${week} = 8</t>
        </is>
      </c>
      <c r="J363" s="131" t="n"/>
      <c r="K363" s="131" t="n"/>
      <c r="L363" s="130" t="n"/>
      <c r="M363" s="131" t="n"/>
      <c r="N363" s="130" t="n"/>
      <c r="O363" s="131" t="n"/>
      <c r="P363" s="131" t="n"/>
      <c r="Q363" s="131" t="n"/>
      <c r="R363" s="131" t="n"/>
      <c r="S363" s="130" t="n"/>
      <c r="T363" s="131" t="n"/>
      <c r="U363" s="130" t="n"/>
      <c r="V363" s="130" t="n"/>
      <c r="W363" s="131" t="n"/>
      <c r="X363" s="131" t="n"/>
    </row>
    <row r="364" ht="85" customHeight="1">
      <c r="A364" s="119" t="inlineStr">
        <is>
          <t>note</t>
        </is>
      </c>
      <c r="B364" s="129" t="inlineStr">
        <is>
          <t>note_mult_w8_2</t>
        </is>
      </c>
      <c r="C364" s="130" t="inlineStr">
        <is>
          <t>&lt;p&gt;&lt;span style="font-size:14pt;color: #3366ff;"&gt;&lt;strong&gt;[OPTIONAL] Problem 2:&lt;/strong&gt;&lt;/span&gt;&lt;span style=""color: #3366ff;"&gt;&lt;/p&gt;
&lt;p style="font-weight:bold;font-size:18pt;text-align:center;color:#3366ff;"&gt;Una has 15 shells. Pule has twice as many shells like Una. How many shells does Pule has?&lt;/u&gt;&lt;/p&gt;</t>
        </is>
      </c>
      <c r="D364" s="130" t="n"/>
      <c r="E364" s="131" t="n"/>
      <c r="F364" s="131" t="n"/>
      <c r="G364" s="130" t="n"/>
      <c r="H364" s="130" t="n"/>
      <c r="I364" s="130" t="inlineStr">
        <is>
          <t>${week} = 8</t>
        </is>
      </c>
      <c r="J364" s="131" t="inlineStr">
        <is>
          <t>yes</t>
        </is>
      </c>
      <c r="K364" s="131" t="n"/>
      <c r="L364" s="130" t="n"/>
      <c r="M364" s="131" t="n"/>
      <c r="N364" s="130" t="n"/>
      <c r="O364" s="131" t="n"/>
      <c r="P364" s="131" t="n"/>
      <c r="Q364" s="131" t="n"/>
      <c r="R364" s="131" t="n"/>
      <c r="S364" s="130" t="n"/>
      <c r="T364" s="131" t="n"/>
      <c r="U364" s="130" t="n"/>
      <c r="V364" s="130" t="n"/>
      <c r="W364" s="131" t="n"/>
      <c r="X364" s="131" t="n"/>
    </row>
    <row r="365">
      <c r="A365" s="119" t="inlineStr">
        <is>
          <t>end group</t>
        </is>
      </c>
      <c r="B365" s="119" t="inlineStr">
        <is>
          <t>tutorial_multiplication</t>
        </is>
      </c>
      <c r="C365" s="122" t="n"/>
      <c r="D365" s="120" t="n"/>
      <c r="E365" s="121" t="n"/>
      <c r="F365" s="121" t="n"/>
      <c r="G365" s="120" t="n"/>
      <c r="H365" s="120" t="n"/>
      <c r="I365" s="122" t="n"/>
      <c r="J365" s="119" t="n"/>
      <c r="K365" s="121" t="n"/>
      <c r="L365" s="120" t="n"/>
      <c r="M365" s="121" t="n"/>
      <c r="N365" s="120" t="n"/>
      <c r="O365" s="121" t="n"/>
      <c r="P365" s="121" t="n"/>
      <c r="Q365" s="121" t="n"/>
      <c r="R365" s="121" t="n"/>
      <c r="S365" s="120" t="n"/>
      <c r="T365" s="121" t="n"/>
      <c r="U365" s="120" t="n"/>
      <c r="V365" s="120" t="n"/>
      <c r="W365" s="121" t="n"/>
      <c r="X365" s="121" t="n"/>
    </row>
    <row r="366" ht="17" customHeight="1">
      <c r="A366" s="119" t="inlineStr">
        <is>
          <t>begin group</t>
        </is>
      </c>
      <c r="B366" s="119" t="inlineStr">
        <is>
          <t>tutorial_division</t>
        </is>
      </c>
      <c r="C366" s="122" t="n"/>
      <c r="D366" s="120" t="n"/>
      <c r="E366" s="121" t="n"/>
      <c r="F366" s="119" t="inlineStr">
        <is>
          <t>field-list</t>
        </is>
      </c>
      <c r="G366" s="120" t="n"/>
      <c r="H366" s="120" t="n"/>
      <c r="I366" s="122" t="inlineStr">
        <is>
          <t>${operation_taught_num_i} = 4</t>
        </is>
      </c>
      <c r="J366" s="119" t="n"/>
      <c r="K366" s="121" t="n"/>
      <c r="L366" s="120" t="n"/>
      <c r="M366" s="121" t="n"/>
      <c r="N366" s="120" t="n"/>
      <c r="O366" s="121" t="n"/>
      <c r="P366" s="121" t="n"/>
      <c r="Q366" s="121" t="n"/>
      <c r="R366" s="121" t="n"/>
      <c r="S366" s="120" t="n"/>
      <c r="T366" s="121" t="n"/>
      <c r="U366" s="120" t="n"/>
      <c r="V366" s="120" t="n"/>
      <c r="W366" s="121" t="n"/>
      <c r="X366" s="121" t="n"/>
    </row>
    <row r="367" ht="409.6" customHeight="1">
      <c r="A367" s="119" t="inlineStr">
        <is>
          <t>note</t>
        </is>
      </c>
      <c r="B367" s="119" t="inlineStr">
        <is>
          <t>note_div</t>
        </is>
      </c>
      <c r="C367" s="122" t="inlineStr">
        <is>
          <t>&lt;p style="font-weight:bold;font-size:14pt;text-align:center;"&gt;Demonstrate and Practice &lt;u&gt;Division&lt;/u&gt;&lt;/p&gt;
&lt;br&gt;
Use the following problem/s to demonstrate &lt;b&gt;Division&lt;/b&gt;.
&lt;br&gt;&lt;br&gt;
Highlight the following points: &lt;br&gt;
&lt;ol&gt;
&lt;li&gt;Identify what is being divided (dividend). Place that number &lt;b&gt;inside&lt;/b&gt; the division sign.&lt;/li&gt;
&lt;li&gt;Identify the number of times something is being divided (divisor or the number dividing the dividend). Place that number outside of the division sign. &lt;/li&gt;
&lt;ul&gt;
&lt;li&gt;Ensure the &lt;b&gt;&lt;u&gt;tens&lt;/u&gt;&lt;/b&gt; digits are on the &lt;b&gt;&lt;u&gt;left&lt;/u&gt;&lt;/b&gt; and&lt;/li&gt;
&lt;li&gt;&lt;b&gt;&lt;u&gt;unit&lt;/u&gt;&lt;/b&gt; digits are on the &lt;b&gt;&lt;u&gt;right&lt;/u&gt;&lt;/b&gt;.&lt;/li&gt;
&lt;/ul&gt;
&lt;li&gt;Determine how many times the number on the outside of the sign "goes into" the number inside the sign.&lt;/li&gt;
&lt;ul&gt;
&lt;li&gt;Another way to think of this is to ask what you need to &lt;u&gt;multiply&lt;/u&gt; the &lt;b&gt;outside&lt;/b&gt; number to get the &lt;b&gt;inside&lt;/b&gt; number.&lt;/li&gt;
&lt;/ul&gt;
&lt;li&gt;If you have a leftover value that can no longer be divided, write it in your answer as a &lt;b&gt;remainder&lt;/b&gt;.&lt;/li&gt;
&lt;/ol&gt;</t>
        </is>
      </c>
      <c r="D367" s="120" t="n"/>
      <c r="E367" s="121" t="n"/>
      <c r="F367" s="121" t="n"/>
      <c r="G367" s="120" t="n"/>
      <c r="H367" s="120" t="n"/>
      <c r="I367" s="122" t="n"/>
      <c r="J367" s="119" t="n"/>
      <c r="K367" s="121" t="n"/>
      <c r="L367" s="120" t="n"/>
      <c r="M367" s="121" t="n"/>
      <c r="N367" s="120" t="n"/>
      <c r="O367" s="121" t="n"/>
      <c r="P367" s="121" t="n"/>
      <c r="Q367" s="121" t="n"/>
      <c r="R367" s="121" t="n"/>
      <c r="S367" s="120" t="n"/>
      <c r="T367" s="121" t="n"/>
      <c r="U367" s="120" t="n"/>
      <c r="V367" s="120" t="n"/>
      <c r="W367" s="121" t="n"/>
      <c r="X367" s="121" t="n"/>
    </row>
    <row r="368" ht="68" customHeight="1">
      <c r="A368" s="119" t="inlineStr">
        <is>
          <t>note</t>
        </is>
      </c>
      <c r="B368" s="119" t="inlineStr">
        <is>
          <t>note_div_w1_1</t>
        </is>
      </c>
      <c r="C368" s="122" t="inlineStr">
        <is>
          <t>&lt;p&gt;&lt;span style="font-size:14pt;color: #3366ff;"&gt;&lt;strong&gt;Problem 1:&lt;/strong&gt;&lt;/span&gt;&lt;span style="color: #3366ff;"&gt;&lt;/p&gt;
&lt;p style="font-weight:bold;font-size:24pt;text-align:center;color:#3366ff;"&gt;57 / 5 = ?&lt;/u&gt;&lt;/p&gt;</t>
        </is>
      </c>
      <c r="D368" s="120" t="n"/>
      <c r="E368" s="121" t="n"/>
      <c r="F368" s="121" t="n"/>
      <c r="G368" s="120" t="n"/>
      <c r="H368" s="120" t="n"/>
      <c r="I368" s="122" t="inlineStr">
        <is>
          <t>${week} = 1</t>
        </is>
      </c>
      <c r="J368" s="119" t="n"/>
      <c r="K368" s="121" t="n"/>
      <c r="L368" s="120" t="n"/>
      <c r="M368" s="121" t="n"/>
      <c r="N368" s="120" t="n"/>
      <c r="O368" s="121" t="n"/>
      <c r="P368" s="121" t="n"/>
      <c r="Q368" s="121" t="n"/>
      <c r="R368" s="121" t="n"/>
      <c r="S368" s="120" t="n"/>
      <c r="T368" s="121" t="n"/>
      <c r="U368" s="120" t="n"/>
      <c r="V368" s="120" t="n"/>
      <c r="W368" s="121" t="n"/>
      <c r="X368" s="121" t="n"/>
    </row>
    <row r="369" ht="85" customHeight="1">
      <c r="A369" s="119" t="inlineStr">
        <is>
          <t>note</t>
        </is>
      </c>
      <c r="B369" s="119" t="inlineStr">
        <is>
          <t>note_div_w1_2</t>
        </is>
      </c>
      <c r="C369" s="122" t="inlineStr">
        <is>
          <t>&lt;p&gt;&lt;span style="font-size:14pt;color: #3366ff;"&gt;&lt;strong&gt;[OPTIONAL] Problem 2:&lt;/strong&gt;&lt;/span&gt;&lt;span style=""color: #3366ff;"&gt;&lt;/p&gt;
&lt;p style="font-weight:bold;font-size:18pt;text-align:center;color:#3366ff;"&gt;I share PhP 71 equally amongst myself and 3 mates. How much will each receive?&lt;/u&gt;&lt;/p&gt;</t>
        </is>
      </c>
      <c r="D369" s="120" t="n"/>
      <c r="E369" s="121" t="n"/>
      <c r="F369" s="121" t="n"/>
      <c r="G369" s="120" t="n"/>
      <c r="H369" s="120" t="n"/>
      <c r="I369" s="122" t="inlineStr">
        <is>
          <t>${week} = 1</t>
        </is>
      </c>
      <c r="J369" s="119" t="inlineStr">
        <is>
          <t>yes</t>
        </is>
      </c>
      <c r="K369" s="121" t="n"/>
      <c r="L369" s="120" t="n"/>
      <c r="M369" s="121" t="n"/>
      <c r="N369" s="120" t="n"/>
      <c r="O369" s="121" t="n"/>
      <c r="P369" s="121" t="n"/>
      <c r="Q369" s="121" t="n"/>
      <c r="R369" s="121" t="n"/>
      <c r="S369" s="120" t="n"/>
      <c r="T369" s="121" t="n"/>
      <c r="U369" s="120" t="n"/>
      <c r="V369" s="120" t="n"/>
      <c r="W369" s="121" t="n"/>
      <c r="X369" s="121" t="n"/>
    </row>
    <row r="370" ht="68" customHeight="1">
      <c r="A370" s="119" t="inlineStr">
        <is>
          <t>note</t>
        </is>
      </c>
      <c r="B370" s="119" t="inlineStr">
        <is>
          <t>note_div_w2_1</t>
        </is>
      </c>
      <c r="C370" s="122" t="inlineStr">
        <is>
          <t>&lt;p&gt;&lt;span style="font-size:14pt;color: #3366ff;"&gt;&lt;strong&gt;Problem 1:&lt;/strong&gt;&lt;/span&gt;&lt;span style="color: #3366ff;"&gt;&lt;/p&gt;
&lt;p style="font-weight:bold;font-size:24pt;text-align:center;color:#3366ff;"&gt; 63 / 6 = ?&lt;/u&gt;&lt;/p&gt;</t>
        </is>
      </c>
      <c r="D370" s="120" t="n"/>
      <c r="E370" s="121" t="n"/>
      <c r="F370" s="121" t="n"/>
      <c r="G370" s="120" t="n"/>
      <c r="H370" s="120" t="n"/>
      <c r="I370" s="122" t="inlineStr">
        <is>
          <t>${week} = 2</t>
        </is>
      </c>
      <c r="J370" s="119" t="n"/>
      <c r="K370" s="121" t="n"/>
      <c r="L370" s="120" t="n"/>
      <c r="M370" s="121" t="n"/>
      <c r="N370" s="120" t="n"/>
      <c r="O370" s="121" t="n"/>
      <c r="P370" s="121" t="n"/>
      <c r="Q370" s="121" t="n"/>
      <c r="R370" s="121" t="n"/>
      <c r="S370" s="120" t="n"/>
      <c r="T370" s="121" t="n"/>
      <c r="U370" s="120" t="n"/>
      <c r="V370" s="120" t="n"/>
      <c r="W370" s="121" t="n"/>
      <c r="X370" s="121" t="n"/>
    </row>
    <row r="371" ht="85" customHeight="1">
      <c r="A371" s="119" t="inlineStr">
        <is>
          <t>note</t>
        </is>
      </c>
      <c r="B371" s="119" t="inlineStr">
        <is>
          <t>note_div_w2_2</t>
        </is>
      </c>
      <c r="C371" s="122" t="inlineStr">
        <is>
          <t>&lt;p&gt;&lt;span style="font-size:14pt;color: #3366ff;"&gt;&lt;strong&gt;[OPTIONAL] Problem 2:&lt;/strong&gt;&lt;/span&gt;&lt;span style=""color: #3366ff;"&gt;&lt;/p&gt;
&lt;p style="font-weight:bold;font-size:18pt;text-align:center;color:#3366ff;"&gt;A 58 m rope is cut into 5 equal pieces. How long is each piece?&lt;/u&gt;&lt;/p&gt;</t>
        </is>
      </c>
      <c r="D371" s="120" t="n"/>
      <c r="E371" s="121" t="n"/>
      <c r="F371" s="121" t="n"/>
      <c r="G371" s="120" t="n"/>
      <c r="H371" s="120" t="n"/>
      <c r="I371" s="122" t="inlineStr">
        <is>
          <t>${week} = 2</t>
        </is>
      </c>
      <c r="J371" s="119" t="inlineStr">
        <is>
          <t>yes</t>
        </is>
      </c>
      <c r="K371" s="121" t="n"/>
      <c r="L371" s="120" t="n"/>
      <c r="M371" s="121" t="n"/>
      <c r="N371" s="120" t="n"/>
      <c r="O371" s="121" t="n"/>
      <c r="P371" s="121" t="n"/>
      <c r="Q371" s="121" t="n"/>
      <c r="R371" s="121" t="n"/>
      <c r="S371" s="120" t="n"/>
      <c r="T371" s="121" t="n"/>
      <c r="U371" s="120" t="n"/>
      <c r="V371" s="120" t="n"/>
      <c r="W371" s="121" t="n"/>
      <c r="X371" s="121" t="n"/>
    </row>
    <row r="372" ht="68" customHeight="1">
      <c r="A372" s="119" t="inlineStr">
        <is>
          <t>note</t>
        </is>
      </c>
      <c r="B372" s="119" t="inlineStr">
        <is>
          <t>note_div_w3_1</t>
        </is>
      </c>
      <c r="C372" s="122" t="inlineStr">
        <is>
          <t>&lt;p&gt;&lt;span style="font-size:14pt;color: #3366ff;"&gt;&lt;strong&gt;Problem 1:&lt;/strong&gt;&lt;/span&gt;&lt;span style="color: #3366ff;"&gt;&lt;/p&gt;
&lt;p style="font-weight:bold;font-size:24pt;text-align:center;color:#3366ff;"&gt; 66 / 5 = ?&lt;/u&gt;&lt;/p&gt;</t>
        </is>
      </c>
      <c r="D372" s="120" t="n"/>
      <c r="E372" s="121" t="n"/>
      <c r="F372" s="121" t="n"/>
      <c r="G372" s="120" t="n"/>
      <c r="H372" s="120" t="n"/>
      <c r="I372" s="122" t="inlineStr">
        <is>
          <t>${week} = 3</t>
        </is>
      </c>
      <c r="J372" s="119" t="n"/>
      <c r="K372" s="121" t="n"/>
      <c r="L372" s="120" t="n"/>
      <c r="M372" s="121" t="n"/>
      <c r="N372" s="120" t="n"/>
      <c r="O372" s="121" t="n"/>
      <c r="P372" s="121" t="n"/>
      <c r="Q372" s="121" t="n"/>
      <c r="R372" s="121" t="n"/>
      <c r="S372" s="120" t="n"/>
      <c r="T372" s="121" t="n"/>
      <c r="U372" s="120" t="n"/>
      <c r="V372" s="120" t="n"/>
      <c r="W372" s="121" t="n"/>
      <c r="X372" s="121" t="n"/>
    </row>
    <row r="373" ht="85" customHeight="1">
      <c r="A373" s="119" t="inlineStr">
        <is>
          <t>note</t>
        </is>
      </c>
      <c r="B373" s="119" t="inlineStr">
        <is>
          <t>note_div_w3_2</t>
        </is>
      </c>
      <c r="C373" s="122" t="inlineStr">
        <is>
          <t>&lt;p&gt;&lt;span style="font-size:14pt;color: #3366ff;"&gt;&lt;strong&gt;[OPTIONAL] Problem 2:&lt;/strong&gt;&lt;/span&gt;&lt;span style=""color: #3366ff;"&gt;&lt;/p&gt;
&lt;p style="font-weight:bold;font-size:18pt;text-align:center;color:#3366ff;"&gt;Liz shares PhP70 amongst 3 mates. How much is leftover??&lt;/u&gt;&lt;/p&gt;</t>
        </is>
      </c>
      <c r="D373" s="120" t="n"/>
      <c r="E373" s="121" t="n"/>
      <c r="F373" s="121" t="n"/>
      <c r="G373" s="120" t="n"/>
      <c r="H373" s="120" t="n"/>
      <c r="I373" s="122" t="inlineStr">
        <is>
          <t>${week} = 3</t>
        </is>
      </c>
      <c r="J373" s="119" t="inlineStr">
        <is>
          <t>yes</t>
        </is>
      </c>
      <c r="K373" s="121" t="n"/>
      <c r="L373" s="120" t="n"/>
      <c r="M373" s="121" t="n"/>
      <c r="N373" s="120" t="n"/>
      <c r="O373" s="121" t="n"/>
      <c r="P373" s="121" t="n"/>
      <c r="Q373" s="121" t="n"/>
      <c r="R373" s="121" t="n"/>
      <c r="S373" s="120" t="n"/>
      <c r="T373" s="121" t="n"/>
      <c r="U373" s="120" t="n"/>
      <c r="V373" s="120" t="n"/>
      <c r="W373" s="121" t="n"/>
      <c r="X373" s="121" t="n"/>
    </row>
    <row r="374" ht="68" customHeight="1">
      <c r="A374" s="119" t="inlineStr">
        <is>
          <t>note</t>
        </is>
      </c>
      <c r="B374" s="119" t="inlineStr">
        <is>
          <t>note_div_w4_1</t>
        </is>
      </c>
      <c r="C374" s="122" t="inlineStr">
        <is>
          <t>&lt;p&gt;&lt;span style="font-size:14pt;color: #3366ff;"&gt;&lt;strong&gt;Problem 1:&lt;/strong&gt;&lt;/span&gt;&lt;span style="color: #3366ff;"&gt;&lt;/p&gt;
&lt;p style="font-weight:bold;font-size:24pt;text-align:center;color:#3366ff;"&gt; 79 / 4= ?&lt;/u&gt;&lt;/p&gt;</t>
        </is>
      </c>
      <c r="D374" s="120" t="n"/>
      <c r="E374" s="121" t="n"/>
      <c r="F374" s="121" t="n"/>
      <c r="G374" s="120" t="n"/>
      <c r="H374" s="120" t="n"/>
      <c r="I374" s="122" t="inlineStr">
        <is>
          <t>${week} = 4</t>
        </is>
      </c>
      <c r="J374" s="119" t="n"/>
      <c r="K374" s="121" t="n"/>
      <c r="L374" s="120" t="n"/>
      <c r="M374" s="121" t="n"/>
      <c r="N374" s="120" t="n"/>
      <c r="O374" s="121" t="n"/>
      <c r="P374" s="121" t="n"/>
      <c r="Q374" s="121" t="n"/>
      <c r="R374" s="121" t="n"/>
      <c r="S374" s="120" t="n"/>
      <c r="T374" s="121" t="n"/>
      <c r="U374" s="120" t="n"/>
      <c r="V374" s="120" t="n"/>
      <c r="W374" s="121" t="n"/>
      <c r="X374" s="121" t="n"/>
    </row>
    <row r="375" ht="85" customHeight="1">
      <c r="A375" s="119" t="inlineStr">
        <is>
          <t>note</t>
        </is>
      </c>
      <c r="B375" s="119" t="inlineStr">
        <is>
          <t>note_div_w4_2</t>
        </is>
      </c>
      <c r="C375" s="122" t="inlineStr">
        <is>
          <t>&lt;p&gt;&lt;span style="font-size:14pt;color: #3366ff;"&gt;&lt;strong&gt;[OPTIONAL] Problem 2:&lt;/strong&gt;&lt;/span&gt;&lt;span style=""color: #3366ff;"&gt;&lt;/p&gt;
&lt;p style="font-weight:bold;font-size:18pt;text-align:center;color:#3366ff;"&gt;What is PhP52 divided by 5?&lt;/u&gt;&lt;/p&gt;</t>
        </is>
      </c>
      <c r="D375" s="120" t="n"/>
      <c r="E375" s="121" t="n"/>
      <c r="F375" s="121" t="n"/>
      <c r="G375" s="120" t="n"/>
      <c r="H375" s="120" t="n"/>
      <c r="I375" s="122" t="inlineStr">
        <is>
          <t>${week} = 4</t>
        </is>
      </c>
      <c r="J375" s="119" t="inlineStr">
        <is>
          <t>yes</t>
        </is>
      </c>
      <c r="K375" s="121" t="n"/>
      <c r="L375" s="120" t="n"/>
      <c r="M375" s="121" t="n"/>
      <c r="N375" s="120" t="n"/>
      <c r="O375" s="121" t="n"/>
      <c r="P375" s="121" t="n"/>
      <c r="Q375" s="121" t="n"/>
      <c r="R375" s="121" t="n"/>
      <c r="S375" s="120" t="n"/>
      <c r="T375" s="121" t="n"/>
      <c r="U375" s="120" t="n"/>
      <c r="V375" s="120" t="n"/>
      <c r="W375" s="121" t="n"/>
      <c r="X375" s="121" t="n"/>
    </row>
    <row r="376" ht="68" customHeight="1">
      <c r="A376" s="119" t="inlineStr">
        <is>
          <t>note</t>
        </is>
      </c>
      <c r="B376" s="119" t="inlineStr">
        <is>
          <t>note_div_w5_1</t>
        </is>
      </c>
      <c r="C376" s="122" t="inlineStr">
        <is>
          <t>&lt;p&gt;&lt;span style="font-size:14pt;color: #3366ff;"&gt;&lt;strong&gt;Problem 1:&lt;/strong&gt;&lt;/span&gt;&lt;span style="color: #3366ff;"&gt;&lt;/p&gt;
&lt;p style="font-weight:bold;font-size:24pt;text-align:center;color:#3366ff;"&gt; 42 / 5 = ?&lt;/u&gt;&lt;/p&gt;</t>
        </is>
      </c>
      <c r="D376" s="120" t="n"/>
      <c r="E376" s="121" t="n"/>
      <c r="F376" s="121" t="n"/>
      <c r="G376" s="120" t="n"/>
      <c r="H376" s="120" t="n"/>
      <c r="I376" s="122" t="inlineStr">
        <is>
          <t>${week} = 5</t>
        </is>
      </c>
      <c r="J376" s="119" t="n"/>
      <c r="K376" s="121" t="n"/>
      <c r="L376" s="120" t="n"/>
      <c r="M376" s="121" t="n"/>
      <c r="N376" s="120" t="n"/>
      <c r="O376" s="121" t="n"/>
      <c r="P376" s="121" t="n"/>
      <c r="Q376" s="121" t="n"/>
      <c r="R376" s="121" t="n"/>
      <c r="S376" s="120" t="n"/>
      <c r="T376" s="121" t="n"/>
      <c r="U376" s="120" t="n"/>
      <c r="V376" s="120" t="n"/>
      <c r="W376" s="121" t="n"/>
      <c r="X376" s="121" t="n"/>
    </row>
    <row r="377" ht="85" customHeight="1">
      <c r="A377" s="119" t="inlineStr">
        <is>
          <t>note</t>
        </is>
      </c>
      <c r="B377" s="119" t="inlineStr">
        <is>
          <t>note_div_w5_2</t>
        </is>
      </c>
      <c r="C377" s="122" t="inlineStr">
        <is>
          <t>&lt;p&gt;&lt;span style="font-size:14pt;color: #3366ff;"&gt;&lt;strong&gt;[OPTIONAL] Problem 2:&lt;/strong&gt;&lt;/span&gt;&lt;span style=""color: #3366ff;"&gt;&lt;/p&gt;
&lt;p style="font-weight:bold;font-size:18pt;text-align:center;color:#3366ff;"&gt;A 34m rope is cut into 3 equal pieces. How long is each piece?&lt;/u&gt;&lt;/p&gt;</t>
        </is>
      </c>
      <c r="D377" s="120" t="n"/>
      <c r="E377" s="121" t="n"/>
      <c r="F377" s="121" t="n"/>
      <c r="G377" s="120" t="n"/>
      <c r="H377" s="120" t="n"/>
      <c r="I377" s="122" t="inlineStr">
        <is>
          <t>${week} = 5</t>
        </is>
      </c>
      <c r="J377" s="119" t="inlineStr">
        <is>
          <t>yes</t>
        </is>
      </c>
      <c r="K377" s="121" t="n"/>
      <c r="L377" s="120" t="n"/>
      <c r="M377" s="121" t="n"/>
      <c r="N377" s="120" t="n"/>
      <c r="O377" s="121" t="n"/>
      <c r="P377" s="121" t="n"/>
      <c r="Q377" s="121" t="n"/>
      <c r="R377" s="121" t="n"/>
      <c r="S377" s="120" t="n"/>
      <c r="T377" s="121" t="n"/>
      <c r="U377" s="120" t="n"/>
      <c r="V377" s="120" t="n"/>
      <c r="W377" s="121" t="n"/>
      <c r="X377" s="121" t="n"/>
    </row>
    <row r="378" ht="68" customHeight="1">
      <c r="A378" s="119" t="inlineStr">
        <is>
          <t>note</t>
        </is>
      </c>
      <c r="B378" s="129" t="inlineStr">
        <is>
          <t>note_div_w6_1</t>
        </is>
      </c>
      <c r="C378" s="130" t="inlineStr">
        <is>
          <t>&lt;p&gt;&lt;span style="font-size:14pt;color: #3366ff;"&gt;&lt;strong&gt;Problem 1:&lt;/strong&gt;&lt;/span&gt;&lt;span style="color: #3366ff;"&gt;&lt;/p&gt;
&lt;p style="font-weight:bold;font-size:24pt;text-align:center;color:#3366ff;"&gt; 38 / 7= ?&lt;/u&gt;&lt;/p&gt;</t>
        </is>
      </c>
      <c r="D378" s="130" t="n"/>
      <c r="E378" s="131" t="n"/>
      <c r="F378" s="131" t="n"/>
      <c r="G378" s="130" t="n"/>
      <c r="H378" s="130" t="n"/>
      <c r="I378" s="130" t="inlineStr">
        <is>
          <t>${week} = 6</t>
        </is>
      </c>
      <c r="J378" s="131" t="n"/>
      <c r="K378" s="131" t="n"/>
      <c r="L378" s="130" t="n"/>
      <c r="M378" s="131" t="n"/>
      <c r="N378" s="130" t="n"/>
      <c r="O378" s="131" t="n"/>
      <c r="P378" s="131" t="n"/>
      <c r="Q378" s="131" t="n"/>
      <c r="R378" s="131" t="n"/>
      <c r="S378" s="130" t="n"/>
      <c r="T378" s="131" t="n"/>
      <c r="U378" s="130" t="n"/>
      <c r="V378" s="130" t="n"/>
      <c r="W378" s="131" t="n"/>
      <c r="X378" s="131" t="n"/>
    </row>
    <row r="379" ht="85" customHeight="1">
      <c r="A379" s="119" t="inlineStr">
        <is>
          <t>note</t>
        </is>
      </c>
      <c r="B379" s="129" t="inlineStr">
        <is>
          <t>note_div_w6_2</t>
        </is>
      </c>
      <c r="C379" s="130" t="inlineStr">
        <is>
          <t>&lt;p&gt;&lt;span style="font-size:14pt;color: #3366ff;"&gt;&lt;strong&gt;[OPTIONAL] Problem 2:&lt;/strong&gt;&lt;/span&gt;&lt;span style=""color: #3366ff;"&gt;&lt;/p&gt;
&lt;p style="font-weight:bold;font-size:18pt;text-align:center;color:#3366ff;"&gt;A week is 7 days. How many weeks are there in 58 days?&lt;/u&gt;&lt;/p&gt;</t>
        </is>
      </c>
      <c r="D379" s="130" t="n"/>
      <c r="E379" s="131" t="n"/>
      <c r="F379" s="131" t="n"/>
      <c r="G379" s="130" t="n"/>
      <c r="H379" s="130" t="n"/>
      <c r="I379" s="130" t="inlineStr">
        <is>
          <t>${week} = 6</t>
        </is>
      </c>
      <c r="J379" s="131" t="inlineStr">
        <is>
          <t>yes</t>
        </is>
      </c>
      <c r="K379" s="131" t="n"/>
      <c r="L379" s="130" t="n"/>
      <c r="M379" s="131" t="n"/>
      <c r="N379" s="130" t="n"/>
      <c r="O379" s="131" t="n"/>
      <c r="P379" s="131" t="n"/>
      <c r="Q379" s="131" t="n"/>
      <c r="R379" s="131" t="n"/>
      <c r="S379" s="130" t="n"/>
      <c r="T379" s="131" t="n"/>
      <c r="U379" s="130" t="n"/>
      <c r="V379" s="130" t="n"/>
      <c r="W379" s="131" t="n"/>
      <c r="X379" s="131" t="n"/>
    </row>
    <row r="380" ht="68" customHeight="1">
      <c r="A380" s="119" t="inlineStr">
        <is>
          <t>note</t>
        </is>
      </c>
      <c r="B380" s="129" t="inlineStr">
        <is>
          <t>note_div_w7_1</t>
        </is>
      </c>
      <c r="C380" s="130" t="inlineStr">
        <is>
          <t>&lt;p&gt;&lt;span style="font-size:14pt;color: #3366ff;"&gt;&lt;strong&gt;Problem 1:&lt;/strong&gt;&lt;/span&gt;&lt;span style="color: #3366ff;"&gt;&lt;/p&gt;
&lt;p style="font-weight:bold;font-size:24pt;text-align:center;color:#3366ff;"&gt; 47 / 5= ?&lt;/u&gt;&lt;/p&gt;</t>
        </is>
      </c>
      <c r="D380" s="130" t="n"/>
      <c r="E380" s="131" t="n"/>
      <c r="F380" s="131" t="n"/>
      <c r="G380" s="130" t="n"/>
      <c r="H380" s="130" t="n"/>
      <c r="I380" s="130" t="inlineStr">
        <is>
          <t>${week} = 7</t>
        </is>
      </c>
      <c r="J380" s="131" t="n"/>
      <c r="K380" s="131" t="n"/>
      <c r="L380" s="130" t="n"/>
      <c r="M380" s="131" t="n"/>
      <c r="N380" s="130" t="n"/>
      <c r="O380" s="131" t="n"/>
      <c r="P380" s="131" t="n"/>
      <c r="Q380" s="131" t="n"/>
      <c r="R380" s="131" t="n"/>
      <c r="S380" s="130" t="n"/>
      <c r="T380" s="131" t="n"/>
      <c r="U380" s="130" t="n"/>
      <c r="V380" s="130" t="n"/>
      <c r="W380" s="131" t="n"/>
      <c r="X380" s="131" t="n"/>
    </row>
    <row r="381" ht="85" customHeight="1">
      <c r="A381" s="119" t="inlineStr">
        <is>
          <t>note</t>
        </is>
      </c>
      <c r="B381" s="129" t="inlineStr">
        <is>
          <t>note_div_w7_2</t>
        </is>
      </c>
      <c r="C381" s="130" t="inlineStr">
        <is>
          <t>&lt;p&gt;&lt;span style="font-size:14pt;color: #3366ff;"&gt;&lt;strong&gt;[OPTIONAL] Problem 2:&lt;/strong&gt;&lt;/span&gt;&lt;span style=""color: #3366ff;"&gt;&lt;/p&gt;
&lt;p style="font-weight:bold;font-size:18pt;text-align:center;color:#3366ff;"&gt;36 scones are shared equally among 7 students. How much will each get??&lt;/u&gt;&lt;/p&gt;</t>
        </is>
      </c>
      <c r="D381" s="130" t="n"/>
      <c r="E381" s="131" t="n"/>
      <c r="F381" s="131" t="n"/>
      <c r="G381" s="130" t="n"/>
      <c r="H381" s="130" t="n"/>
      <c r="I381" s="130" t="inlineStr">
        <is>
          <t>${week} = 7</t>
        </is>
      </c>
      <c r="J381" s="131" t="inlineStr">
        <is>
          <t>yes</t>
        </is>
      </c>
      <c r="K381" s="131" t="n"/>
      <c r="L381" s="130" t="n"/>
      <c r="M381" s="131" t="n"/>
      <c r="N381" s="130" t="n"/>
      <c r="O381" s="131" t="n"/>
      <c r="P381" s="131" t="n"/>
      <c r="Q381" s="131" t="n"/>
      <c r="R381" s="131" t="n"/>
      <c r="S381" s="130" t="n"/>
      <c r="T381" s="131" t="n"/>
      <c r="U381" s="130" t="n"/>
      <c r="V381" s="130" t="n"/>
      <c r="W381" s="131" t="n"/>
      <c r="X381" s="131" t="n"/>
    </row>
    <row r="382" ht="68" customHeight="1">
      <c r="A382" s="119" t="inlineStr">
        <is>
          <t>note</t>
        </is>
      </c>
      <c r="B382" s="129" t="inlineStr">
        <is>
          <t>note_div_w8_1</t>
        </is>
      </c>
      <c r="C382" s="130" t="inlineStr">
        <is>
          <t>&lt;p&gt;&lt;span style="font-size:14pt;color: #3366ff;"&gt;&lt;strong&gt;Problem 1:&lt;/strong&gt;&lt;/span&gt;&lt;span style="color: #3366ff;"&gt;&lt;/p&gt;
&lt;p style="font-weight:bold;font-size:24pt;text-align:center;color:#3366ff;"&gt; 86 / 7= ?&lt;/u&gt;&lt;/p&gt;</t>
        </is>
      </c>
      <c r="D382" s="130" t="n"/>
      <c r="E382" s="131" t="n"/>
      <c r="F382" s="131" t="n"/>
      <c r="G382" s="130" t="n"/>
      <c r="H382" s="130" t="n"/>
      <c r="I382" s="130" t="inlineStr">
        <is>
          <t>${week} = 8</t>
        </is>
      </c>
      <c r="J382" s="131" t="n"/>
      <c r="K382" s="131" t="n"/>
      <c r="L382" s="130" t="n"/>
      <c r="M382" s="131" t="n"/>
      <c r="N382" s="130" t="n"/>
      <c r="O382" s="131" t="n"/>
      <c r="P382" s="131" t="n"/>
      <c r="Q382" s="131" t="n"/>
      <c r="R382" s="131" t="n"/>
      <c r="S382" s="130" t="n"/>
      <c r="T382" s="131" t="n"/>
      <c r="U382" s="130" t="n"/>
      <c r="V382" s="130" t="n"/>
      <c r="W382" s="131" t="n"/>
      <c r="X382" s="131" t="n"/>
    </row>
    <row r="383" ht="85" customHeight="1">
      <c r="A383" s="119" t="inlineStr">
        <is>
          <t>note</t>
        </is>
      </c>
      <c r="B383" s="129" t="inlineStr">
        <is>
          <t>note_div_w8_2</t>
        </is>
      </c>
      <c r="C383" s="130" t="inlineStr">
        <is>
          <t>&lt;p&gt;&lt;span style="font-size:14pt;color: #3366ff;"&gt;&lt;strong&gt;[OPTIONAL] Problem 2:&lt;/strong&gt;&lt;/span&gt;&lt;span style=""color: #3366ff;"&gt;&lt;/p&gt;
&lt;p style="font-weight:bold;font-size:18pt;text-align:center;color:#3366ff;"&gt; If 1 truck carries 3 cars. How many trucks can carry 41 cars?&lt;/u&gt;&lt;/p&gt;</t>
        </is>
      </c>
      <c r="D383" s="130" t="n"/>
      <c r="E383" s="131" t="n"/>
      <c r="F383" s="131" t="n"/>
      <c r="G383" s="130" t="n"/>
      <c r="H383" s="130" t="n"/>
      <c r="I383" s="130" t="inlineStr">
        <is>
          <t>${week} = 8</t>
        </is>
      </c>
      <c r="J383" s="131" t="inlineStr">
        <is>
          <t>yes</t>
        </is>
      </c>
      <c r="K383" s="131" t="n"/>
      <c r="L383" s="130" t="n"/>
      <c r="M383" s="131" t="n"/>
      <c r="N383" s="130" t="n"/>
      <c r="O383" s="131" t="n"/>
      <c r="P383" s="131" t="n"/>
      <c r="Q383" s="131" t="n"/>
      <c r="R383" s="131" t="n"/>
      <c r="S383" s="130" t="n"/>
      <c r="T383" s="131" t="n"/>
      <c r="U383" s="130" t="n"/>
      <c r="V383" s="130" t="n"/>
      <c r="W383" s="131" t="n"/>
      <c r="X383" s="131" t="n"/>
    </row>
    <row r="384">
      <c r="A384" s="119" t="inlineStr">
        <is>
          <t>end group</t>
        </is>
      </c>
      <c r="B384" s="119" t="inlineStr">
        <is>
          <t>tutorial_division</t>
        </is>
      </c>
      <c r="C384" s="122" t="n"/>
      <c r="D384" s="120" t="n"/>
      <c r="E384" s="121" t="n"/>
      <c r="F384" s="121" t="n"/>
      <c r="G384" s="120" t="n"/>
      <c r="H384" s="120" t="n"/>
      <c r="I384" s="122" t="n"/>
      <c r="J384" s="119" t="n"/>
      <c r="K384" s="121" t="n"/>
      <c r="L384" s="120" t="n"/>
      <c r="M384" s="121" t="n"/>
      <c r="N384" s="120" t="n"/>
      <c r="O384" s="121" t="n"/>
      <c r="P384" s="121" t="n"/>
      <c r="Q384" s="121" t="n"/>
      <c r="R384" s="121" t="n"/>
      <c r="S384" s="120" t="n"/>
      <c r="T384" s="121" t="n"/>
      <c r="U384" s="120" t="n"/>
      <c r="V384" s="120" t="n"/>
      <c r="W384" s="121" t="n"/>
      <c r="X384" s="121" t="n"/>
    </row>
    <row r="385" ht="85" customHeight="1">
      <c r="A385" s="119" t="inlineStr">
        <is>
          <t>select_one yesno</t>
        </is>
      </c>
      <c r="B385" s="119" t="inlineStr">
        <is>
          <t>practice_prob2_i</t>
        </is>
      </c>
      <c r="C385" s="122" t="inlineStr">
        <is>
          <t>&lt;p&gt;&lt;span style="color: #3366ff;"&gt;&lt;strong&gt;INSTRUCTIONS: DO NOT READ OUT LOUD.&lt;/strong&gt;&lt;/span&gt;&lt;br /&gt; &lt;br /&gt;&lt;span style="color: #3366ff;"&gt;&lt;/p&gt;
Did you and &lt;font color="#14b14b"&gt;&lt;b&gt;&lt;u&gt;${stud_name_i}&lt;/u&gt;&lt;/b&gt;&lt;/font&gt; work on the optional problem #2?</t>
        </is>
      </c>
      <c r="D385" s="120" t="n"/>
      <c r="E385" s="121" t="n"/>
      <c r="F385" s="121" t="n"/>
      <c r="G385" s="120" t="n"/>
      <c r="H385" s="120" t="n"/>
      <c r="I385" s="122" t="n"/>
      <c r="J385" s="119" t="inlineStr">
        <is>
          <t>yes</t>
        </is>
      </c>
      <c r="K385" s="119" t="inlineStr">
        <is>
          <t>yes</t>
        </is>
      </c>
      <c r="L385" s="120" t="n"/>
      <c r="M385" s="121" t="n"/>
      <c r="N385" s="120" t="n"/>
      <c r="O385" s="121" t="n"/>
      <c r="P385" s="121" t="n"/>
      <c r="Q385" s="121" t="n"/>
      <c r="R385" s="121" t="n"/>
      <c r="S385" s="120" t="n"/>
      <c r="T385" s="121" t="n"/>
      <c r="U385" s="120" t="n"/>
      <c r="V385" s="120" t="n"/>
      <c r="W385" s="121" t="n"/>
      <c r="X385" s="121" t="n"/>
    </row>
    <row r="386">
      <c r="A386" s="119" t="inlineStr">
        <is>
          <t>calculate_here</t>
        </is>
      </c>
      <c r="B386" s="119" t="inlineStr">
        <is>
          <t>end_tutorial</t>
        </is>
      </c>
      <c r="C386" s="122" t="n"/>
      <c r="D386" s="120" t="n"/>
      <c r="E386" s="121" t="n"/>
      <c r="F386" s="121" t="n"/>
      <c r="G386" s="120" t="n"/>
      <c r="H386" s="120" t="n"/>
      <c r="I386" s="122" t="n"/>
      <c r="J386" s="119" t="n"/>
      <c r="K386" s="121" t="n"/>
      <c r="L386" s="120" t="n"/>
      <c r="M386" s="121" t="n"/>
      <c r="N386" s="122" t="inlineStr">
        <is>
          <t>once(duration())</t>
        </is>
      </c>
      <c r="O386" s="121" t="n"/>
      <c r="P386" s="121" t="n"/>
      <c r="Q386" s="121" t="n"/>
      <c r="R386" s="121" t="n"/>
      <c r="S386" s="120" t="n"/>
      <c r="T386" s="121" t="n"/>
      <c r="U386" s="120" t="n"/>
      <c r="V386" s="120" t="n"/>
      <c r="W386" s="121" t="n"/>
      <c r="X386" s="121" t="n"/>
    </row>
    <row r="387" ht="17" customHeight="1">
      <c r="A387" s="119" t="inlineStr">
        <is>
          <t>calculate</t>
        </is>
      </c>
      <c r="B387" s="119" t="inlineStr">
        <is>
          <t>duration_tutorial_i</t>
        </is>
      </c>
      <c r="C387" s="122" t="inlineStr">
        <is>
          <t>Returns the total amount of time spent, in seconds, on tutorial</t>
        </is>
      </c>
      <c r="D387" s="120" t="n"/>
      <c r="E387" s="121" t="n"/>
      <c r="F387" s="121" t="n"/>
      <c r="G387" s="120" t="n"/>
      <c r="H387" s="120" t="n"/>
      <c r="I387" s="122" t="n"/>
      <c r="J387" s="119" t="n"/>
      <c r="K387" s="121" t="n"/>
      <c r="L387" s="120" t="n"/>
      <c r="M387" s="121" t="n"/>
      <c r="N387" s="122" t="inlineStr">
        <is>
          <t>${end_tutorial} - ${start_tutorial}</t>
        </is>
      </c>
      <c r="O387" s="121" t="n"/>
      <c r="P387" s="121" t="n"/>
      <c r="Q387" s="121" t="n"/>
      <c r="R387" s="121" t="n"/>
      <c r="S387" s="120" t="n"/>
      <c r="T387" s="121" t="n"/>
      <c r="U387" s="120" t="n"/>
      <c r="V387" s="120" t="n"/>
      <c r="W387" s="121" t="n"/>
      <c r="X387" s="121" t="n"/>
    </row>
    <row r="388">
      <c r="A388" s="119" t="inlineStr">
        <is>
          <t>end group</t>
        </is>
      </c>
      <c r="B388" s="119" t="inlineStr">
        <is>
          <t>tutorial_num</t>
        </is>
      </c>
      <c r="C388" s="122" t="n"/>
      <c r="D388" s="120" t="n"/>
      <c r="E388" s="121" t="n"/>
      <c r="F388" s="121" t="n"/>
      <c r="G388" s="120" t="n"/>
      <c r="H388" s="120" t="n"/>
      <c r="I388" s="122" t="n"/>
      <c r="J388" s="119" t="n"/>
      <c r="K388" s="121" t="n"/>
      <c r="L388" s="120" t="n"/>
      <c r="M388" s="121" t="n"/>
      <c r="N388" s="120" t="n"/>
      <c r="O388" s="121" t="n"/>
      <c r="P388" s="121" t="n"/>
      <c r="Q388" s="121" t="n"/>
      <c r="R388" s="121" t="n"/>
      <c r="S388" s="120" t="n"/>
      <c r="T388" s="121" t="n"/>
      <c r="U388" s="120" t="n"/>
      <c r="V388" s="120" t="n"/>
      <c r="W388" s="121" t="n"/>
      <c r="X388" s="121" t="n"/>
    </row>
    <row r="389" ht="17" customHeight="1">
      <c r="A389" s="119" t="inlineStr">
        <is>
          <t>begin group</t>
        </is>
      </c>
      <c r="B389" s="119" t="inlineStr">
        <is>
          <t>checkpoint_intro</t>
        </is>
      </c>
      <c r="C389" s="122" t="inlineStr">
        <is>
          <t>Checkpoint Assessment</t>
        </is>
      </c>
      <c r="D389" s="120" t="n"/>
      <c r="E389" s="121" t="n"/>
      <c r="F389" s="119" t="inlineStr">
        <is>
          <t>field-list</t>
        </is>
      </c>
      <c r="G389" s="120" t="n"/>
      <c r="H389" s="120" t="n"/>
      <c r="I389" s="122" t="n"/>
      <c r="J389" s="119" t="n"/>
      <c r="K389" s="121" t="n"/>
      <c r="L389" s="120" t="n"/>
      <c r="M389" s="121" t="n"/>
      <c r="N389" s="120" t="n"/>
      <c r="O389" s="121" t="n"/>
      <c r="P389" s="121" t="n"/>
      <c r="Q389" s="121" t="n"/>
      <c r="R389" s="121" t="n"/>
      <c r="S389" s="120" t="n"/>
      <c r="T389" s="121" t="n"/>
      <c r="U389" s="120" t="n"/>
      <c r="V389" s="120" t="n"/>
      <c r="W389" s="121" t="n"/>
      <c r="X389" s="121" t="n"/>
    </row>
    <row r="390" ht="102" customHeight="1">
      <c r="A390" s="119" t="inlineStr">
        <is>
          <t>note</t>
        </is>
      </c>
      <c r="B390" s="119" t="inlineStr">
        <is>
          <t>note_checkpoint_intro</t>
        </is>
      </c>
      <c r="C390" s="122" t="inlineStr">
        <is>
          <t>Now, I want you to answer the following problem &lt;u&gt;&lt;b&gt;on your own&lt;/b&gt;&lt;/u&gt;. This is not an exam or a test so it's okay if you do not get the answers correct.
&lt;br&gt;&lt;br&gt;
When you are done, please read out the answer to me. Are you ready?</t>
        </is>
      </c>
      <c r="D390" s="120" t="n"/>
      <c r="E390" s="121" t="n"/>
      <c r="F390" s="121" t="n"/>
      <c r="G390" s="120" t="n"/>
      <c r="H390" s="120" t="n"/>
      <c r="I390" s="122" t="n"/>
      <c r="J390" s="119" t="n"/>
      <c r="K390" s="121" t="n"/>
      <c r="L390" s="120" t="n"/>
      <c r="M390" s="121" t="n"/>
      <c r="N390" s="120" t="n"/>
      <c r="O390" s="121" t="n"/>
      <c r="P390" s="121" t="n"/>
      <c r="Q390" s="121" t="n"/>
      <c r="R390" s="121" t="n"/>
      <c r="S390" s="120" t="n"/>
      <c r="T390" s="121" t="n"/>
      <c r="U390" s="120" t="n"/>
      <c r="V390" s="120" t="n"/>
      <c r="W390" s="121" t="n"/>
      <c r="X390" s="121" t="n"/>
    </row>
    <row r="391" ht="85" customHeight="1">
      <c r="A391" s="119" t="inlineStr">
        <is>
          <t>select_one operation</t>
        </is>
      </c>
      <c r="B391" s="119" t="inlineStr">
        <is>
          <t>checkpoint1_num_i_disabled</t>
        </is>
      </c>
      <c r="C391" s="122" t="inlineStr">
        <is>
          <t>&lt;p&gt;&lt;span style="color: #3366ff;"&gt;&lt;strong&gt;INSTRUCTIONS: DO NOT READ OUT LOUD.&lt;/strong&gt;&lt;/span&gt;&lt;br /&gt; &lt;br /&gt;&lt;span style="color: #3366ff;"&gt;&lt;/p&gt;
What checkpoint question will you ask &lt;font color="#14b14b"&gt;&lt;b&gt;&lt;u&gt;${stud_name_i}&lt;/u&gt;&lt;/b&gt;&lt;/font&gt; this week?</t>
        </is>
      </c>
      <c r="D391" s="120" t="n"/>
      <c r="E391" s="121" t="n"/>
      <c r="F391" s="121" t="n"/>
      <c r="G391" s="120" t="n"/>
      <c r="H391" s="120" t="n"/>
      <c r="I391" s="122" t="n"/>
      <c r="J391" s="119" t="inlineStr">
        <is>
          <t>yes</t>
        </is>
      </c>
      <c r="K391" s="119" t="inlineStr">
        <is>
          <t>yes</t>
        </is>
      </c>
      <c r="L391" s="120" t="n"/>
      <c r="M391" s="121" t="n"/>
      <c r="N391" s="120" t="n"/>
      <c r="O391" s="121" t="n"/>
      <c r="P391" s="121" t="n"/>
      <c r="Q391" s="121" t="n"/>
      <c r="R391" s="121" t="n"/>
      <c r="S391" s="120" t="n"/>
      <c r="T391" s="121" t="n"/>
      <c r="U391" s="120" t="n"/>
      <c r="V391" s="120" t="n"/>
      <c r="W391" s="121" t="n"/>
      <c r="X391" s="121" t="n"/>
    </row>
    <row r="392">
      <c r="A392" s="119" t="inlineStr">
        <is>
          <t>calculate</t>
        </is>
      </c>
      <c r="B392" s="119" t="inlineStr">
        <is>
          <t>checkpoint1_num_i</t>
        </is>
      </c>
      <c r="C392" s="122" t="n"/>
      <c r="D392" s="120" t="n"/>
      <c r="E392" s="121" t="n"/>
      <c r="F392" s="121" t="n"/>
      <c r="G392" s="120" t="n"/>
      <c r="H392" s="120" t="n"/>
      <c r="I392" s="122" t="n"/>
      <c r="J392" s="119" t="n"/>
      <c r="K392" s="121" t="n"/>
      <c r="L392" s="120" t="n"/>
      <c r="M392" s="121" t="n"/>
      <c r="N392" s="122" t="inlineStr">
        <is>
          <t>${operation_taught_num_i}</t>
        </is>
      </c>
      <c r="O392" s="121" t="n"/>
      <c r="P392" s="121" t="n"/>
      <c r="Q392" s="121" t="n"/>
      <c r="R392" s="121" t="n"/>
      <c r="S392" s="120" t="n"/>
      <c r="T392" s="121" t="n"/>
      <c r="U392" s="120" t="n"/>
      <c r="V392" s="120" t="n"/>
      <c r="W392" s="121" t="n"/>
      <c r="X392" s="121" t="n"/>
    </row>
    <row r="393" ht="17" customHeight="1">
      <c r="A393" s="119" t="inlineStr">
        <is>
          <t>calculate</t>
        </is>
      </c>
      <c r="B393" s="119" t="inlineStr">
        <is>
          <t>checkpoint1_num_lab_i</t>
        </is>
      </c>
      <c r="C393" s="122" t="inlineStr">
        <is>
          <t>Returns checkpoint question (choice label).</t>
        </is>
      </c>
      <c r="D393" s="120" t="n"/>
      <c r="E393" s="121" t="n"/>
      <c r="F393" s="121" t="n"/>
      <c r="G393" s="120" t="n"/>
      <c r="H393" s="120" t="n"/>
      <c r="I393" s="122" t="n"/>
      <c r="J393" s="119" t="n"/>
      <c r="K393" s="121" t="n"/>
      <c r="L393" s="120" t="n"/>
      <c r="M393" s="121" t="n"/>
      <c r="N393" s="122" t="inlineStr">
        <is>
          <t>if(${checkpoint1_num_i} = 1, 'Addition', if(${checkpoint1_num_i} = 2, 'Subtraction', if(${checkpoint1_num_i} = 3, 'Multiplication', if(${checkpoint1_num_i} = 4, 'Division', ''))))</t>
        </is>
      </c>
      <c r="O393" s="121" t="n"/>
      <c r="P393" s="121" t="n"/>
      <c r="Q393" s="121" t="n"/>
      <c r="R393" s="121" t="n"/>
      <c r="S393" s="120" t="n"/>
      <c r="T393" s="121" t="n"/>
      <c r="U393" s="120" t="n"/>
      <c r="V393" s="120" t="n"/>
      <c r="W393" s="121" t="n"/>
      <c r="X393" s="121" t="n"/>
    </row>
    <row r="394" ht="102" customHeight="1">
      <c r="A394" s="119" t="inlineStr">
        <is>
          <t>note</t>
        </is>
      </c>
      <c r="B394" s="119" t="inlineStr">
        <is>
          <t>note_automated_checkpoint</t>
        </is>
      </c>
      <c r="C394" s="123" t="inlineStr">
        <is>
          <t>&lt;b&gt;DISABLE AFTER TESTING:&lt;/b&gt;
&lt;br&gt;&lt;br&gt;
checkpoint1_num_i: ${checkpoint1_num_i} &lt;br&gt;
checkpoint1_num_lab_i: ${checkpoint1_num_lab_i}</t>
        </is>
      </c>
      <c r="D394" s="120" t="n"/>
      <c r="E394" s="121" t="n"/>
      <c r="F394" s="121" t="n"/>
      <c r="G394" s="120" t="n"/>
      <c r="H394" s="120" t="n"/>
      <c r="I394" s="122" t="n"/>
      <c r="J394" s="119" t="inlineStr">
        <is>
          <t>yes</t>
        </is>
      </c>
      <c r="K394" s="121" t="n"/>
      <c r="L394" s="120" t="n"/>
      <c r="M394" s="121" t="n"/>
      <c r="N394" s="120" t="n"/>
      <c r="O394" s="121" t="n"/>
      <c r="P394" s="121" t="n"/>
      <c r="Q394" s="121" t="n"/>
      <c r="R394" s="121" t="n"/>
      <c r="S394" s="120" t="n"/>
      <c r="T394" s="121" t="n"/>
      <c r="U394" s="120" t="n"/>
      <c r="V394" s="120" t="n"/>
      <c r="W394" s="121" t="n"/>
      <c r="X394" s="121" t="n"/>
    </row>
    <row r="395">
      <c r="A395" s="119" t="inlineStr">
        <is>
          <t>end group</t>
        </is>
      </c>
      <c r="B395" s="119" t="inlineStr">
        <is>
          <t>checkpoint_intro</t>
        </is>
      </c>
      <c r="C395" s="122" t="n"/>
      <c r="D395" s="120" t="n"/>
      <c r="E395" s="121" t="n"/>
      <c r="F395" s="121" t="n"/>
      <c r="G395" s="120" t="n"/>
      <c r="H395" s="120" t="n"/>
      <c r="I395" s="122" t="n"/>
      <c r="J395" s="119" t="n"/>
      <c r="K395" s="121" t="n"/>
      <c r="L395" s="120" t="n"/>
      <c r="M395" s="121" t="n"/>
      <c r="N395" s="120" t="n"/>
      <c r="O395" s="121" t="n"/>
      <c r="P395" s="121" t="n"/>
      <c r="Q395" s="121" t="n"/>
      <c r="R395" s="121" t="n"/>
      <c r="S395" s="120" t="n"/>
      <c r="T395" s="121" t="n"/>
      <c r="U395" s="120" t="n"/>
      <c r="V395" s="120" t="n"/>
      <c r="W395" s="121" t="n"/>
      <c r="X395" s="121" t="n"/>
    </row>
    <row r="396">
      <c r="A396" s="119" t="inlineStr">
        <is>
          <t>begin group</t>
        </is>
      </c>
      <c r="B396" s="119" t="inlineStr">
        <is>
          <t>checkpoint</t>
        </is>
      </c>
      <c r="C396" s="122" t="n"/>
      <c r="D396" s="120" t="n"/>
      <c r="E396" s="121" t="n"/>
      <c r="F396" s="121" t="n"/>
      <c r="G396" s="120" t="n"/>
      <c r="H396" s="120" t="n"/>
      <c r="I396" s="122" t="n"/>
      <c r="J396" s="119" t="n"/>
      <c r="K396" s="121" t="n"/>
      <c r="L396" s="120" t="n"/>
      <c r="M396" s="121" t="n"/>
      <c r="N396" s="120" t="n"/>
      <c r="O396" s="121" t="n"/>
      <c r="P396" s="121" t="n"/>
      <c r="Q396" s="121" t="n"/>
      <c r="R396" s="121" t="n"/>
      <c r="S396" s="120" t="n"/>
      <c r="T396" s="121" t="n"/>
      <c r="U396" s="120" t="n"/>
      <c r="V396" s="120" t="n"/>
      <c r="W396" s="121" t="n"/>
      <c r="X396" s="121" t="n"/>
    </row>
    <row r="397">
      <c r="A397" s="119" t="inlineStr">
        <is>
          <t>calculate_here</t>
        </is>
      </c>
      <c r="B397" s="119" t="inlineStr">
        <is>
          <t>start_checkpoint</t>
        </is>
      </c>
      <c r="C397" s="122" t="n"/>
      <c r="D397" s="120" t="n"/>
      <c r="E397" s="121" t="n"/>
      <c r="F397" s="121" t="n"/>
      <c r="G397" s="120" t="n"/>
      <c r="H397" s="120" t="n"/>
      <c r="I397" s="122" t="n"/>
      <c r="J397" s="119" t="n"/>
      <c r="K397" s="121" t="n"/>
      <c r="L397" s="120" t="n"/>
      <c r="M397" s="121" t="n"/>
      <c r="N397" s="122" t="inlineStr">
        <is>
          <t>once(duration())</t>
        </is>
      </c>
      <c r="O397" s="121" t="n"/>
      <c r="P397" s="121" t="n"/>
      <c r="Q397" s="121" t="n"/>
      <c r="R397" s="121" t="n"/>
      <c r="S397" s="120" t="n"/>
      <c r="T397" s="121" t="n"/>
      <c r="U397" s="120" t="n"/>
      <c r="V397" s="120" t="n"/>
      <c r="W397" s="121" t="n"/>
      <c r="X397" s="121" t="n"/>
    </row>
    <row r="398" ht="17" customHeight="1">
      <c r="A398" s="119" t="inlineStr">
        <is>
          <t>begin group</t>
        </is>
      </c>
      <c r="B398" s="119" t="inlineStr">
        <is>
          <t>checkpoint_addition</t>
        </is>
      </c>
      <c r="C398" s="122" t="n"/>
      <c r="D398" s="120" t="n"/>
      <c r="E398" s="121" t="n"/>
      <c r="F398" s="121" t="n"/>
      <c r="G398" s="120" t="n"/>
      <c r="H398" s="120" t="n"/>
      <c r="I398" s="122" t="inlineStr">
        <is>
          <t>selected(${checkpoint1_num_i},'1')</t>
        </is>
      </c>
      <c r="J398" s="119" t="n"/>
      <c r="K398" s="121" t="n"/>
      <c r="L398" s="120" t="n"/>
      <c r="M398" s="121" t="n"/>
      <c r="N398" s="120" t="n"/>
      <c r="O398" s="121" t="n"/>
      <c r="P398" s="121" t="n"/>
      <c r="Q398" s="121" t="n"/>
      <c r="R398" s="121" t="n"/>
      <c r="S398" s="120" t="n"/>
      <c r="T398" s="121" t="n"/>
      <c r="U398" s="120" t="n"/>
      <c r="V398" s="120" t="n"/>
      <c r="W398" s="121" t="n"/>
      <c r="X398" s="121" t="n"/>
    </row>
    <row r="399" ht="153" customHeight="1">
      <c r="A399" s="119" t="inlineStr">
        <is>
          <t>note</t>
        </is>
      </c>
      <c r="B399" s="119" t="inlineStr">
        <is>
          <t>note_check_add_w1</t>
        </is>
      </c>
      <c r="C399" s="122" t="inlineStr">
        <is>
          <t>Can you please solve:
&lt;br&gt;&lt;br&gt;
&lt;p style="font-weight:bold;font-size:24pt;text-align:center;"&gt;14 + 57 = ?&lt;/p&gt;
&lt;br&gt;
What did you get as the answer?</t>
        </is>
      </c>
      <c r="D399" s="120" t="n"/>
      <c r="E399" s="121" t="n"/>
      <c r="F399" s="121" t="n"/>
      <c r="G399" s="120" t="n"/>
      <c r="H399" s="120" t="n"/>
      <c r="I399" s="122" t="inlineStr">
        <is>
          <t>${week} = 1</t>
        </is>
      </c>
      <c r="J399" s="119" t="n"/>
      <c r="K399" s="121" t="n"/>
      <c r="L399" s="120" t="n"/>
      <c r="M399" s="121" t="n"/>
      <c r="N399" s="120" t="n"/>
      <c r="O399" s="121" t="n"/>
      <c r="P399" s="121" t="n"/>
      <c r="Q399" s="121" t="n"/>
      <c r="R399" s="121" t="n"/>
      <c r="S399" s="120" t="n"/>
      <c r="T399" s="121" t="n"/>
      <c r="U399" s="120" t="n"/>
      <c r="V399" s="120" t="n"/>
      <c r="W399" s="121" t="n"/>
      <c r="X399" s="121" t="n"/>
    </row>
    <row r="400" ht="153" customHeight="1">
      <c r="A400" s="119" t="inlineStr">
        <is>
          <t>note</t>
        </is>
      </c>
      <c r="B400" s="119" t="inlineStr">
        <is>
          <t>note_check_add_w2</t>
        </is>
      </c>
      <c r="C400" s="122" t="inlineStr">
        <is>
          <t>Can you please solve:
&lt;br&gt;&lt;br&gt;
&lt;p style="font-weight:bold;font-size:24pt;text-align:center;"&gt; 15 + 45 = ?&lt;/p&gt;
&lt;br&gt;
What did you get as the answer?</t>
        </is>
      </c>
      <c r="D400" s="120" t="n"/>
      <c r="E400" s="121" t="n"/>
      <c r="F400" s="121" t="n"/>
      <c r="G400" s="120" t="n"/>
      <c r="H400" s="120" t="n"/>
      <c r="I400" s="122" t="inlineStr">
        <is>
          <t>${week} = 2</t>
        </is>
      </c>
      <c r="J400" s="119" t="n"/>
      <c r="K400" s="121" t="n"/>
      <c r="L400" s="120" t="n"/>
      <c r="M400" s="121" t="n"/>
      <c r="N400" s="120" t="n"/>
      <c r="O400" s="121" t="n"/>
      <c r="P400" s="121" t="n"/>
      <c r="Q400" s="121" t="n"/>
      <c r="R400" s="121" t="n"/>
      <c r="S400" s="120" t="n"/>
      <c r="T400" s="121" t="n"/>
      <c r="U400" s="120" t="n"/>
      <c r="V400" s="120" t="n"/>
      <c r="W400" s="121" t="n"/>
      <c r="X400" s="121" t="n"/>
    </row>
    <row r="401" ht="153" customHeight="1">
      <c r="A401" s="119" t="inlineStr">
        <is>
          <t>note</t>
        </is>
      </c>
      <c r="B401" s="119" t="inlineStr">
        <is>
          <t>note_check_add_w3</t>
        </is>
      </c>
      <c r="C401" s="122" t="inlineStr">
        <is>
          <t>Can you please solve:
&lt;br&gt;&lt;br&gt;
&lt;p style="font-weight:bold;font-size:24pt;text-align:center;"&gt; 13 + 38 = ?&lt;/p&gt;
&lt;br&gt;
What did you get as the answer?</t>
        </is>
      </c>
      <c r="D401" s="120" t="n"/>
      <c r="E401" s="121" t="n"/>
      <c r="F401" s="121" t="n"/>
      <c r="G401" s="120" t="n"/>
      <c r="H401" s="120" t="n"/>
      <c r="I401" s="122" t="inlineStr">
        <is>
          <t>${week} = 3</t>
        </is>
      </c>
      <c r="J401" s="119" t="n"/>
      <c r="K401" s="121" t="n"/>
      <c r="L401" s="120" t="n"/>
      <c r="M401" s="121" t="n"/>
      <c r="N401" s="120" t="n"/>
      <c r="O401" s="121" t="n"/>
      <c r="P401" s="121" t="n"/>
      <c r="Q401" s="121" t="n"/>
      <c r="R401" s="121" t="n"/>
      <c r="S401" s="120" t="n"/>
      <c r="T401" s="121" t="n"/>
      <c r="U401" s="120" t="n"/>
      <c r="V401" s="120" t="n"/>
      <c r="W401" s="121" t="n"/>
      <c r="X401" s="121" t="n"/>
    </row>
    <row r="402" ht="153" customHeight="1">
      <c r="A402" s="119" t="inlineStr">
        <is>
          <t>note</t>
        </is>
      </c>
      <c r="B402" s="119" t="inlineStr">
        <is>
          <t>note_check_add_w4</t>
        </is>
      </c>
      <c r="C402" s="122" t="inlineStr">
        <is>
          <t>Can you please solve:
&lt;br&gt;&lt;br&gt;
&lt;p style="font-weight:bold;font-size:24pt;text-align:center;"&gt;36 + 29= ?&lt;/p&gt;
&lt;br&gt;
What did you get as the answer?</t>
        </is>
      </c>
      <c r="D402" s="120" t="n"/>
      <c r="E402" s="121" t="n"/>
      <c r="F402" s="121" t="n"/>
      <c r="G402" s="120" t="n"/>
      <c r="H402" s="120" t="n"/>
      <c r="I402" s="122" t="inlineStr">
        <is>
          <t>${week} = 4</t>
        </is>
      </c>
      <c r="J402" s="119" t="n"/>
      <c r="K402" s="121" t="n"/>
      <c r="L402" s="120" t="n"/>
      <c r="M402" s="121" t="n"/>
      <c r="N402" s="120" t="n"/>
      <c r="O402" s="121" t="n"/>
      <c r="P402" s="121" t="n"/>
      <c r="Q402" s="121" t="n"/>
      <c r="R402" s="121" t="n"/>
      <c r="S402" s="120" t="n"/>
      <c r="T402" s="121" t="n"/>
      <c r="U402" s="120" t="n"/>
      <c r="V402" s="120" t="n"/>
      <c r="W402" s="121" t="n"/>
      <c r="X402" s="121" t="n"/>
    </row>
    <row r="403" ht="153" customHeight="1">
      <c r="A403" s="119" t="inlineStr">
        <is>
          <t>note</t>
        </is>
      </c>
      <c r="B403" s="119" t="inlineStr">
        <is>
          <t>note_check_add_w5</t>
        </is>
      </c>
      <c r="C403" s="122" t="inlineStr">
        <is>
          <t>Can you please solve:
&lt;br&gt;&lt;br&gt;
&lt;p style="font-weight:bold;font-size:24pt;text-align:center;"&gt; 12 + 78= ?&lt;/p&gt;
&lt;br&gt;
What did you get as the answer?</t>
        </is>
      </c>
      <c r="D403" s="120" t="n"/>
      <c r="E403" s="121" t="n"/>
      <c r="F403" s="121" t="n"/>
      <c r="G403" s="120" t="n"/>
      <c r="H403" s="120" t="n"/>
      <c r="I403" s="122" t="inlineStr">
        <is>
          <t>${week} = 5</t>
        </is>
      </c>
      <c r="J403" s="119" t="n"/>
      <c r="K403" s="121" t="n"/>
      <c r="L403" s="120" t="n"/>
      <c r="M403" s="121" t="n"/>
      <c r="N403" s="120" t="n"/>
      <c r="O403" s="121" t="n"/>
      <c r="P403" s="121" t="n"/>
      <c r="Q403" s="121" t="n"/>
      <c r="R403" s="121" t="n"/>
      <c r="S403" s="120" t="n"/>
      <c r="T403" s="121" t="n"/>
      <c r="U403" s="120" t="n"/>
      <c r="V403" s="120" t="n"/>
      <c r="W403" s="121" t="n"/>
      <c r="X403" s="121" t="n"/>
    </row>
    <row r="404" ht="153" customHeight="1">
      <c r="A404" s="119" t="inlineStr">
        <is>
          <t>note</t>
        </is>
      </c>
      <c r="B404" s="119" t="inlineStr">
        <is>
          <t>note_check_add_w6</t>
        </is>
      </c>
      <c r="C404" s="122" t="inlineStr">
        <is>
          <t>Can you please solve:
&lt;br&gt;&lt;br&gt;
&lt;p style="font-weight:bold;font-size:24pt;text-align:center;"&gt; 28 + 37 = ?&lt;/p&gt;
&lt;br&gt;
What did you get as the answer?</t>
        </is>
      </c>
      <c r="D404" s="120" t="n"/>
      <c r="E404" s="121" t="n"/>
      <c r="F404" s="121" t="n"/>
      <c r="G404" s="120" t="n"/>
      <c r="H404" s="120" t="n"/>
      <c r="I404" s="122" t="inlineStr">
        <is>
          <t>${week} = 6</t>
        </is>
      </c>
      <c r="J404" s="119" t="n"/>
      <c r="K404" s="121" t="n"/>
      <c r="L404" s="120" t="n"/>
      <c r="M404" s="121" t="n"/>
      <c r="N404" s="120" t="n"/>
      <c r="O404" s="121" t="n"/>
      <c r="P404" s="121" t="n"/>
      <c r="Q404" s="121" t="n"/>
      <c r="R404" s="121" t="n"/>
      <c r="S404" s="120" t="n"/>
      <c r="T404" s="121" t="n"/>
      <c r="U404" s="120" t="n"/>
      <c r="V404" s="120" t="n"/>
      <c r="W404" s="121" t="n"/>
      <c r="X404" s="121" t="n"/>
    </row>
    <row r="405" ht="153" customHeight="1">
      <c r="A405" s="119" t="inlineStr">
        <is>
          <t>note</t>
        </is>
      </c>
      <c r="B405" s="119" t="inlineStr">
        <is>
          <t>note_check_add_w7</t>
        </is>
      </c>
      <c r="C405" s="122" t="inlineStr">
        <is>
          <t>Can you please solve:
&lt;br&gt;&lt;br&gt;
&lt;p style="font-weight:bold;font-size:24pt;text-align:center;"&gt; 52 + 19= ?&lt;/p&gt;
&lt;br&gt;
What did you get as the answer?</t>
        </is>
      </c>
      <c r="D405" s="120" t="n"/>
      <c r="E405" s="121" t="n"/>
      <c r="F405" s="121" t="n"/>
      <c r="G405" s="120" t="n"/>
      <c r="H405" s="120" t="n"/>
      <c r="I405" s="122" t="inlineStr">
        <is>
          <t>${week} = 7</t>
        </is>
      </c>
      <c r="J405" s="119" t="n"/>
      <c r="K405" s="121" t="n"/>
      <c r="L405" s="120" t="n"/>
      <c r="M405" s="121" t="n"/>
      <c r="N405" s="120" t="n"/>
      <c r="O405" s="121" t="n"/>
      <c r="P405" s="121" t="n"/>
      <c r="Q405" s="121" t="n"/>
      <c r="R405" s="121" t="n"/>
      <c r="S405" s="120" t="n"/>
      <c r="T405" s="121" t="n"/>
      <c r="U405" s="120" t="n"/>
      <c r="V405" s="120" t="n"/>
      <c r="W405" s="121" t="n"/>
      <c r="X405" s="121" t="n"/>
    </row>
    <row r="406" ht="153" customHeight="1">
      <c r="A406" s="119" t="inlineStr">
        <is>
          <t>note</t>
        </is>
      </c>
      <c r="B406" s="119" t="inlineStr">
        <is>
          <t>note_check_add_w8</t>
        </is>
      </c>
      <c r="C406" s="122" t="inlineStr">
        <is>
          <t>Can you please solve:
&lt;br&gt;&lt;br&gt;
&lt;p style="font-weight:bold;font-size:24pt;text-align:center;"&gt; 60 + 16 = ?&lt;/p&gt;
&lt;br&gt;
What did you get as the answer?</t>
        </is>
      </c>
      <c r="D406" s="120" t="n"/>
      <c r="E406" s="121" t="n"/>
      <c r="F406" s="121" t="n"/>
      <c r="G406" s="120" t="n"/>
      <c r="H406" s="120" t="n"/>
      <c r="I406" s="122" t="inlineStr">
        <is>
          <t>${week} = 8</t>
        </is>
      </c>
      <c r="J406" s="119" t="n"/>
      <c r="K406" s="121" t="n"/>
      <c r="L406" s="120" t="n"/>
      <c r="M406" s="121" t="n"/>
      <c r="N406" s="120" t="n"/>
      <c r="O406" s="121" t="n"/>
      <c r="P406" s="121" t="n"/>
      <c r="Q406" s="121" t="n"/>
      <c r="R406" s="121" t="n"/>
      <c r="S406" s="120" t="n"/>
      <c r="T406" s="121" t="n"/>
      <c r="U406" s="120" t="n"/>
      <c r="V406" s="120" t="n"/>
      <c r="W406" s="121" t="n"/>
      <c r="X406" s="121" t="n"/>
    </row>
    <row r="407">
      <c r="A407" s="119" t="inlineStr">
        <is>
          <t>end group</t>
        </is>
      </c>
      <c r="B407" s="119" t="inlineStr">
        <is>
          <t>checkpoint_addition</t>
        </is>
      </c>
      <c r="C407" s="122" t="n"/>
      <c r="D407" s="120" t="n"/>
      <c r="E407" s="121" t="n"/>
      <c r="F407" s="121" t="n"/>
      <c r="G407" s="120" t="n"/>
      <c r="H407" s="120" t="n"/>
      <c r="I407" s="122" t="n"/>
      <c r="J407" s="119" t="n"/>
      <c r="K407" s="121" t="n"/>
      <c r="L407" s="120" t="n"/>
      <c r="M407" s="121" t="n"/>
      <c r="N407" s="120" t="n"/>
      <c r="O407" s="121" t="n"/>
      <c r="P407" s="121" t="n"/>
      <c r="Q407" s="121" t="n"/>
      <c r="R407" s="121" t="n"/>
      <c r="S407" s="120" t="n"/>
      <c r="T407" s="121" t="n"/>
      <c r="U407" s="120" t="n"/>
      <c r="V407" s="120" t="n"/>
      <c r="W407" s="121" t="n"/>
      <c r="X407" s="121" t="n"/>
    </row>
    <row r="408" ht="17" customHeight="1">
      <c r="A408" s="119" t="inlineStr">
        <is>
          <t>begin group</t>
        </is>
      </c>
      <c r="B408" s="119" t="inlineStr">
        <is>
          <t>checkpoint_subtraction</t>
        </is>
      </c>
      <c r="C408" s="122" t="n"/>
      <c r="D408" s="120" t="n"/>
      <c r="E408" s="121" t="n"/>
      <c r="F408" s="121" t="n"/>
      <c r="G408" s="120" t="n"/>
      <c r="H408" s="120" t="n"/>
      <c r="I408" s="122" t="inlineStr">
        <is>
          <t>selected(${checkpoint1_num_i},'2')</t>
        </is>
      </c>
      <c r="J408" s="119" t="n"/>
      <c r="K408" s="121" t="n"/>
      <c r="L408" s="120" t="n"/>
      <c r="M408" s="121" t="n"/>
      <c r="N408" s="120" t="n"/>
      <c r="O408" s="121" t="n"/>
      <c r="P408" s="121" t="n"/>
      <c r="Q408" s="121" t="n"/>
      <c r="R408" s="121" t="n"/>
      <c r="S408" s="120" t="n"/>
      <c r="T408" s="121" t="n"/>
      <c r="U408" s="120" t="n"/>
      <c r="V408" s="120" t="n"/>
      <c r="W408" s="121" t="n"/>
      <c r="X408" s="121" t="n"/>
    </row>
    <row r="409" ht="153" customHeight="1">
      <c r="A409" s="119" t="inlineStr">
        <is>
          <t>note</t>
        </is>
      </c>
      <c r="B409" s="119" t="inlineStr">
        <is>
          <t>note_check_sub_w1</t>
        </is>
      </c>
      <c r="C409" s="122" t="inlineStr">
        <is>
          <t>Can you please solve:
&lt;br&gt;&lt;br&gt;
&lt;p style="font-weight:bold;font-size:24pt;text-align:center;"&gt;32 - 15 = ?&lt;/p&gt;
&lt;br&gt;
What did you get as the answer?</t>
        </is>
      </c>
      <c r="D409" s="120" t="n"/>
      <c r="E409" s="121" t="n"/>
      <c r="F409" s="121" t="n"/>
      <c r="G409" s="120" t="n"/>
      <c r="H409" s="120" t="n"/>
      <c r="I409" s="122" t="inlineStr">
        <is>
          <t>${week} = 1</t>
        </is>
      </c>
      <c r="J409" s="119" t="n"/>
      <c r="K409" s="121" t="n"/>
      <c r="L409" s="120" t="n"/>
      <c r="M409" s="121" t="n"/>
      <c r="N409" s="120" t="n"/>
      <c r="O409" s="121" t="n"/>
      <c r="P409" s="121" t="n"/>
      <c r="Q409" s="121" t="n"/>
      <c r="R409" s="121" t="n"/>
      <c r="S409" s="120" t="n"/>
      <c r="T409" s="121" t="n"/>
      <c r="U409" s="120" t="n"/>
      <c r="V409" s="120" t="n"/>
      <c r="W409" s="121" t="n"/>
      <c r="X409" s="121" t="n"/>
    </row>
    <row r="410" ht="153" customHeight="1">
      <c r="A410" s="119" t="inlineStr">
        <is>
          <t>note</t>
        </is>
      </c>
      <c r="B410" s="119" t="inlineStr">
        <is>
          <t>note_check_sub_w2</t>
        </is>
      </c>
      <c r="C410" s="122" t="inlineStr">
        <is>
          <t>Can you please solve:
&lt;br&gt;&lt;br&gt;
&lt;p style="font-weight:bold;font-size:24pt;text-align:center;"&gt; 67 - 58 = ?&lt;/p&gt;
&lt;br&gt;
What did you get as the answer?</t>
        </is>
      </c>
      <c r="D410" s="120" t="n"/>
      <c r="E410" s="121" t="n"/>
      <c r="F410" s="121" t="n"/>
      <c r="G410" s="120" t="n"/>
      <c r="H410" s="120" t="n"/>
      <c r="I410" s="122" t="inlineStr">
        <is>
          <t>${week} = 2</t>
        </is>
      </c>
      <c r="J410" s="119" t="n"/>
      <c r="K410" s="121" t="n"/>
      <c r="L410" s="120" t="n"/>
      <c r="M410" s="121" t="n"/>
      <c r="N410" s="120" t="n"/>
      <c r="O410" s="121" t="n"/>
      <c r="P410" s="121" t="n"/>
      <c r="Q410" s="121" t="n"/>
      <c r="R410" s="121" t="n"/>
      <c r="S410" s="120" t="n"/>
      <c r="T410" s="121" t="n"/>
      <c r="U410" s="120" t="n"/>
      <c r="V410" s="120" t="n"/>
      <c r="W410" s="121" t="n"/>
      <c r="X410" s="121" t="n"/>
    </row>
    <row r="411" ht="153" customHeight="1">
      <c r="A411" s="119" t="inlineStr">
        <is>
          <t>note</t>
        </is>
      </c>
      <c r="B411" s="119" t="inlineStr">
        <is>
          <t>note_check_sub_w3</t>
        </is>
      </c>
      <c r="C411" s="122" t="inlineStr">
        <is>
          <t>Can you please solve:
&lt;br&gt;&lt;br&gt;
&lt;p style="font-weight:bold;font-size:24pt;text-align:center;"&gt; 94 - 45 = ?&lt;/p&gt;
&lt;br&gt;
What did you get as the answer?</t>
        </is>
      </c>
      <c r="D411" s="120" t="n"/>
      <c r="E411" s="121" t="n"/>
      <c r="F411" s="121" t="n"/>
      <c r="G411" s="120" t="n"/>
      <c r="H411" s="120" t="n"/>
      <c r="I411" s="122" t="inlineStr">
        <is>
          <t>${week} = 3</t>
        </is>
      </c>
      <c r="J411" s="119" t="n"/>
      <c r="K411" s="121" t="n"/>
      <c r="L411" s="120" t="n"/>
      <c r="M411" s="121" t="n"/>
      <c r="N411" s="120" t="n"/>
      <c r="O411" s="121" t="n"/>
      <c r="P411" s="121" t="n"/>
      <c r="Q411" s="121" t="n"/>
      <c r="R411" s="121" t="n"/>
      <c r="S411" s="120" t="n"/>
      <c r="T411" s="121" t="n"/>
      <c r="U411" s="120" t="n"/>
      <c r="V411" s="120" t="n"/>
      <c r="W411" s="121" t="n"/>
      <c r="X411" s="121" t="n"/>
    </row>
    <row r="412" ht="153" customHeight="1">
      <c r="A412" s="119" t="inlineStr">
        <is>
          <t>note</t>
        </is>
      </c>
      <c r="B412" s="119" t="inlineStr">
        <is>
          <t>note_check_sub_w4</t>
        </is>
      </c>
      <c r="C412" s="122" t="inlineStr">
        <is>
          <t>Can you please solve:
&lt;br&gt;&lt;br&gt;
&lt;p style="font-weight:bold;font-size:24pt;text-align:center;"&gt; 72 - 34= ?&lt;/p&gt;
&lt;br&gt;
What did you get as the answer?</t>
        </is>
      </c>
      <c r="D412" s="120" t="n"/>
      <c r="E412" s="121" t="n"/>
      <c r="F412" s="121" t="n"/>
      <c r="G412" s="120" t="n"/>
      <c r="H412" s="120" t="n"/>
      <c r="I412" s="122" t="inlineStr">
        <is>
          <t>${week} = 4</t>
        </is>
      </c>
      <c r="J412" s="119" t="n"/>
      <c r="K412" s="121" t="n"/>
      <c r="L412" s="120" t="n"/>
      <c r="M412" s="121" t="n"/>
      <c r="N412" s="120" t="n"/>
      <c r="O412" s="121" t="n"/>
      <c r="P412" s="121" t="n"/>
      <c r="Q412" s="121" t="n"/>
      <c r="R412" s="121" t="n"/>
      <c r="S412" s="120" t="n"/>
      <c r="T412" s="121" t="n"/>
      <c r="U412" s="120" t="n"/>
      <c r="V412" s="120" t="n"/>
      <c r="W412" s="121" t="n"/>
      <c r="X412" s="121" t="n"/>
    </row>
    <row r="413" ht="153" customHeight="1">
      <c r="A413" s="119" t="inlineStr">
        <is>
          <t>note</t>
        </is>
      </c>
      <c r="B413" s="119" t="inlineStr">
        <is>
          <t>note_check_sub_w5</t>
        </is>
      </c>
      <c r="C413" s="122" t="inlineStr">
        <is>
          <t>Can you please solve:
&lt;br&gt;&lt;br&gt;
&lt;p style="font-weight:bold;font-size:24pt;text-align:center;"&gt; 58 - 29 = ?&lt;/p&gt;
&lt;br&gt;
What did you get as the answer?</t>
        </is>
      </c>
      <c r="D413" s="120" t="n"/>
      <c r="E413" s="121" t="n"/>
      <c r="F413" s="121" t="n"/>
      <c r="G413" s="120" t="n"/>
      <c r="H413" s="120" t="n"/>
      <c r="I413" s="122" t="inlineStr">
        <is>
          <t>${week} = 5</t>
        </is>
      </c>
      <c r="J413" s="119" t="n"/>
      <c r="K413" s="121" t="n"/>
      <c r="L413" s="120" t="n"/>
      <c r="M413" s="121" t="n"/>
      <c r="N413" s="120" t="n"/>
      <c r="O413" s="121" t="n"/>
      <c r="P413" s="121" t="n"/>
      <c r="Q413" s="121" t="n"/>
      <c r="R413" s="121" t="n"/>
      <c r="S413" s="120" t="n"/>
      <c r="T413" s="121" t="n"/>
      <c r="U413" s="120" t="n"/>
      <c r="V413" s="120" t="n"/>
      <c r="W413" s="121" t="n"/>
      <c r="X413" s="121" t="n"/>
    </row>
    <row r="414" ht="153" customHeight="1">
      <c r="A414" s="119" t="inlineStr">
        <is>
          <t>note</t>
        </is>
      </c>
      <c r="B414" s="119" t="inlineStr">
        <is>
          <t>note_check_sub_w6</t>
        </is>
      </c>
      <c r="C414" s="122" t="inlineStr">
        <is>
          <t>Can you please solve:
&lt;br&gt;&lt;br&gt;
&lt;p style="font-weight:bold;font-size:24pt;text-align:center;"&gt;  58 - 27 = ?&lt;/p&gt;
&lt;br&gt;
What did you get as the answer?</t>
        </is>
      </c>
      <c r="D414" s="120" t="n"/>
      <c r="E414" s="121" t="n"/>
      <c r="F414" s="121" t="n"/>
      <c r="G414" s="120" t="n"/>
      <c r="H414" s="120" t="n"/>
      <c r="I414" s="122" t="inlineStr">
        <is>
          <t>${week} = 6</t>
        </is>
      </c>
      <c r="J414" s="119" t="n"/>
      <c r="K414" s="121" t="n"/>
      <c r="L414" s="120" t="n"/>
      <c r="M414" s="121" t="n"/>
      <c r="N414" s="120" t="n"/>
      <c r="O414" s="121" t="n"/>
      <c r="P414" s="121" t="n"/>
      <c r="Q414" s="121" t="n"/>
      <c r="R414" s="121" t="n"/>
      <c r="S414" s="120" t="n"/>
      <c r="T414" s="121" t="n"/>
      <c r="U414" s="120" t="n"/>
      <c r="V414" s="120" t="n"/>
      <c r="W414" s="121" t="n"/>
      <c r="X414" s="121" t="n"/>
    </row>
    <row r="415" ht="153" customHeight="1">
      <c r="A415" s="119" t="inlineStr">
        <is>
          <t>note</t>
        </is>
      </c>
      <c r="B415" s="119" t="inlineStr">
        <is>
          <t>note_check_sub_w7</t>
        </is>
      </c>
      <c r="C415" s="122" t="inlineStr">
        <is>
          <t>Can you please solve:
&lt;br&gt;&lt;br&gt;
&lt;p style="font-weight:bold;font-size:24pt;text-align:center;"&gt; 50 - 32= ?&lt;/p&gt;
&lt;br&gt;
What did you get as the answer?</t>
        </is>
      </c>
      <c r="D415" s="120" t="n"/>
      <c r="E415" s="121" t="n"/>
      <c r="F415" s="121" t="n"/>
      <c r="G415" s="120" t="n"/>
      <c r="H415" s="120" t="n"/>
      <c r="I415" s="122" t="inlineStr">
        <is>
          <t>${week} = 7</t>
        </is>
      </c>
      <c r="J415" s="119" t="n"/>
      <c r="K415" s="121" t="n"/>
      <c r="L415" s="120" t="n"/>
      <c r="M415" s="121" t="n"/>
      <c r="N415" s="120" t="n"/>
      <c r="O415" s="121" t="n"/>
      <c r="P415" s="121" t="n"/>
      <c r="Q415" s="121" t="n"/>
      <c r="R415" s="121" t="n"/>
      <c r="S415" s="120" t="n"/>
      <c r="T415" s="121" t="n"/>
      <c r="U415" s="120" t="n"/>
      <c r="V415" s="120" t="n"/>
      <c r="W415" s="121" t="n"/>
      <c r="X415" s="121" t="n"/>
    </row>
    <row r="416" ht="153" customHeight="1">
      <c r="A416" s="119" t="inlineStr">
        <is>
          <t>note</t>
        </is>
      </c>
      <c r="B416" s="119" t="inlineStr">
        <is>
          <t>note_check_sub_w8</t>
        </is>
      </c>
      <c r="C416" s="122" t="inlineStr">
        <is>
          <t>Can you please solve:
&lt;br&gt;&lt;br&gt;
&lt;p style="font-weight:bold;font-size:24pt;text-align:center;"&gt; 73 - 16 = ?&lt;/p&gt;
&lt;br&gt;
What did you get as the answer?</t>
        </is>
      </c>
      <c r="D416" s="120" t="n"/>
      <c r="E416" s="121" t="n"/>
      <c r="F416" s="121" t="n"/>
      <c r="G416" s="120" t="n"/>
      <c r="H416" s="120" t="n"/>
      <c r="I416" s="122" t="inlineStr">
        <is>
          <t>${week} = 8</t>
        </is>
      </c>
      <c r="J416" s="119" t="n"/>
      <c r="K416" s="121" t="n"/>
      <c r="L416" s="120" t="n"/>
      <c r="M416" s="121" t="n"/>
      <c r="N416" s="120" t="n"/>
      <c r="O416" s="121" t="n"/>
      <c r="P416" s="121" t="n"/>
      <c r="Q416" s="121" t="n"/>
      <c r="R416" s="121" t="n"/>
      <c r="S416" s="120" t="n"/>
      <c r="T416" s="121" t="n"/>
      <c r="U416" s="120" t="n"/>
      <c r="V416" s="120" t="n"/>
      <c r="W416" s="121" t="n"/>
      <c r="X416" s="121" t="n"/>
    </row>
    <row r="417">
      <c r="A417" s="119" t="inlineStr">
        <is>
          <t>end group</t>
        </is>
      </c>
      <c r="B417" s="119" t="inlineStr">
        <is>
          <t>checkpoint_subtraction</t>
        </is>
      </c>
      <c r="C417" s="122" t="n"/>
      <c r="D417" s="120" t="n"/>
      <c r="E417" s="121" t="n"/>
      <c r="F417" s="121" t="n"/>
      <c r="G417" s="120" t="n"/>
      <c r="H417" s="120" t="n"/>
      <c r="I417" s="122" t="n"/>
      <c r="J417" s="119" t="n"/>
      <c r="K417" s="121" t="n"/>
      <c r="L417" s="120" t="n"/>
      <c r="M417" s="121" t="n"/>
      <c r="N417" s="120" t="n"/>
      <c r="O417" s="121" t="n"/>
      <c r="P417" s="121" t="n"/>
      <c r="Q417" s="121" t="n"/>
      <c r="R417" s="121" t="n"/>
      <c r="S417" s="120" t="n"/>
      <c r="T417" s="121" t="n"/>
      <c r="U417" s="120" t="n"/>
      <c r="V417" s="120" t="n"/>
      <c r="W417" s="121" t="n"/>
      <c r="X417" s="121" t="n"/>
    </row>
    <row r="418" ht="17" customHeight="1">
      <c r="A418" s="119" t="inlineStr">
        <is>
          <t>begin group</t>
        </is>
      </c>
      <c r="B418" s="119" t="inlineStr">
        <is>
          <t>checkpoint_multiplication</t>
        </is>
      </c>
      <c r="C418" s="122" t="n"/>
      <c r="D418" s="120" t="n"/>
      <c r="E418" s="121" t="n"/>
      <c r="F418" s="121" t="n"/>
      <c r="G418" s="120" t="n"/>
      <c r="H418" s="120" t="n"/>
      <c r="I418" s="122" t="inlineStr">
        <is>
          <t>selected(${checkpoint1_num_i},'3')</t>
        </is>
      </c>
      <c r="J418" s="119" t="n"/>
      <c r="K418" s="121" t="n"/>
      <c r="L418" s="120" t="n"/>
      <c r="M418" s="121" t="n"/>
      <c r="N418" s="120" t="n"/>
      <c r="O418" s="121" t="n"/>
      <c r="P418" s="121" t="n"/>
      <c r="Q418" s="121" t="n"/>
      <c r="R418" s="121" t="n"/>
      <c r="S418" s="120" t="n"/>
      <c r="T418" s="121" t="n"/>
      <c r="U418" s="120" t="n"/>
      <c r="V418" s="120" t="n"/>
      <c r="W418" s="121" t="n"/>
      <c r="X418" s="121" t="n"/>
    </row>
    <row r="419" ht="153" customHeight="1">
      <c r="A419" s="119" t="inlineStr">
        <is>
          <t>note</t>
        </is>
      </c>
      <c r="B419" s="119" t="inlineStr">
        <is>
          <t>note_check_mult_w1</t>
        </is>
      </c>
      <c r="C419" s="122" t="inlineStr">
        <is>
          <t>Can you please solve:
&lt;br&gt;&lt;br&gt;
&lt;p style="font-weight:bold;font-size:24pt;text-align:center;"&gt;24 x 3 = ?&lt;/p&gt;
&lt;br&gt;
What did you get as the answer?</t>
        </is>
      </c>
      <c r="D419" s="120" t="n"/>
      <c r="E419" s="121" t="n"/>
      <c r="F419" s="121" t="n"/>
      <c r="G419" s="120" t="n"/>
      <c r="H419" s="120" t="n"/>
      <c r="I419" s="122" t="inlineStr">
        <is>
          <t>${week} = 1</t>
        </is>
      </c>
      <c r="J419" s="119" t="n"/>
      <c r="K419" s="121" t="n"/>
      <c r="L419" s="120" t="n"/>
      <c r="M419" s="121" t="n"/>
      <c r="N419" s="120" t="n"/>
      <c r="O419" s="121" t="n"/>
      <c r="P419" s="121" t="n"/>
      <c r="Q419" s="121" t="n"/>
      <c r="R419" s="121" t="n"/>
      <c r="S419" s="120" t="n"/>
      <c r="T419" s="121" t="n"/>
      <c r="U419" s="120" t="n"/>
      <c r="V419" s="120" t="n"/>
      <c r="W419" s="121" t="n"/>
      <c r="X419" s="121" t="n"/>
    </row>
    <row r="420" ht="153" customHeight="1">
      <c r="A420" s="119" t="inlineStr">
        <is>
          <t>note</t>
        </is>
      </c>
      <c r="B420" s="119" t="inlineStr">
        <is>
          <t>note_check_mult_w2</t>
        </is>
      </c>
      <c r="C420" s="122" t="inlineStr">
        <is>
          <t>Can you please solve:
&lt;br&gt;&lt;br&gt;
&lt;p style="font-weight:bold;font-size:24pt;text-align:center;"&gt; 23 x 2 = ?&lt;/p&gt;
&lt;br&gt;
What did you get as the answer?</t>
        </is>
      </c>
      <c r="D420" s="120" t="n"/>
      <c r="E420" s="121" t="n"/>
      <c r="F420" s="121" t="n"/>
      <c r="G420" s="120" t="n"/>
      <c r="H420" s="120" t="n"/>
      <c r="I420" s="122" t="inlineStr">
        <is>
          <t>${week} = 2</t>
        </is>
      </c>
      <c r="J420" s="119" t="n"/>
      <c r="K420" s="121" t="n"/>
      <c r="L420" s="120" t="n"/>
      <c r="M420" s="121" t="n"/>
      <c r="N420" s="120" t="n"/>
      <c r="O420" s="121" t="n"/>
      <c r="P420" s="121" t="n"/>
      <c r="Q420" s="121" t="n"/>
      <c r="R420" s="121" t="n"/>
      <c r="S420" s="120" t="n"/>
      <c r="T420" s="121" t="n"/>
      <c r="U420" s="120" t="n"/>
      <c r="V420" s="120" t="n"/>
      <c r="W420" s="121" t="n"/>
      <c r="X420" s="121" t="n"/>
    </row>
    <row r="421" ht="153" customHeight="1">
      <c r="A421" s="119" t="inlineStr">
        <is>
          <t>note</t>
        </is>
      </c>
      <c r="B421" s="119" t="inlineStr">
        <is>
          <t>note_check_mult_w3</t>
        </is>
      </c>
      <c r="C421" s="122" t="inlineStr">
        <is>
          <t>Can you please solve:
&lt;br&gt;&lt;br&gt;
&lt;p style="font-weight:bold;font-size:24pt;text-align:center;"&gt; 14 x 6= ?&lt;/p&gt;
&lt;br&gt;
What did you get as the answer?</t>
        </is>
      </c>
      <c r="D421" s="120" t="n"/>
      <c r="E421" s="121" t="n"/>
      <c r="F421" s="121" t="n"/>
      <c r="G421" s="120" t="n"/>
      <c r="H421" s="120" t="n"/>
      <c r="I421" s="122" t="inlineStr">
        <is>
          <t>${week} = 3</t>
        </is>
      </c>
      <c r="J421" s="119" t="n"/>
      <c r="K421" s="121" t="n"/>
      <c r="L421" s="120" t="n"/>
      <c r="M421" s="121" t="n"/>
      <c r="N421" s="120" t="n"/>
      <c r="O421" s="121" t="n"/>
      <c r="P421" s="121" t="n"/>
      <c r="Q421" s="121" t="n"/>
      <c r="R421" s="121" t="n"/>
      <c r="S421" s="120" t="n"/>
      <c r="T421" s="121" t="n"/>
      <c r="U421" s="120" t="n"/>
      <c r="V421" s="120" t="n"/>
      <c r="W421" s="121" t="n"/>
      <c r="X421" s="121" t="n"/>
    </row>
    <row r="422" ht="153" customHeight="1">
      <c r="A422" s="119" t="inlineStr">
        <is>
          <t>note</t>
        </is>
      </c>
      <c r="B422" s="119" t="inlineStr">
        <is>
          <t>note_check_mult_w4</t>
        </is>
      </c>
      <c r="C422" s="122" t="inlineStr">
        <is>
          <t>Can you please solve:
&lt;br&gt;&lt;br&gt;
&lt;p style="font-weight:bold;font-size:24pt;text-align:center;"&gt; 13 x 5= ?&lt;/p&gt;
&lt;br&gt;
What did you get as the answer?</t>
        </is>
      </c>
      <c r="D422" s="120" t="n"/>
      <c r="E422" s="121" t="n"/>
      <c r="F422" s="121" t="n"/>
      <c r="G422" s="120" t="n"/>
      <c r="H422" s="120" t="n"/>
      <c r="I422" s="122" t="inlineStr">
        <is>
          <t>${week} = 4</t>
        </is>
      </c>
      <c r="J422" s="119" t="n"/>
      <c r="K422" s="121" t="n"/>
      <c r="L422" s="120" t="n"/>
      <c r="M422" s="121" t="n"/>
      <c r="N422" s="120" t="n"/>
      <c r="O422" s="121" t="n"/>
      <c r="P422" s="121" t="n"/>
      <c r="Q422" s="121" t="n"/>
      <c r="R422" s="121" t="n"/>
      <c r="S422" s="120" t="n"/>
      <c r="T422" s="121" t="n"/>
      <c r="U422" s="120" t="n"/>
      <c r="V422" s="120" t="n"/>
      <c r="W422" s="121" t="n"/>
      <c r="X422" s="121" t="n"/>
    </row>
    <row r="423" ht="153" customHeight="1">
      <c r="A423" s="119" t="inlineStr">
        <is>
          <t>note</t>
        </is>
      </c>
      <c r="B423" s="119" t="inlineStr">
        <is>
          <t>note_check_mult_w5</t>
        </is>
      </c>
      <c r="C423" s="122" t="inlineStr">
        <is>
          <t>Can you please solve:
&lt;br&gt;&lt;br&gt;
&lt;p style="font-weight:bold;font-size:24pt;text-align:center;"&gt; 27 x 3 = ?&lt;/p&gt;
&lt;br&gt;
What did you get as the answer?</t>
        </is>
      </c>
      <c r="D423" s="120" t="n"/>
      <c r="E423" s="121" t="n"/>
      <c r="F423" s="121" t="n"/>
      <c r="G423" s="120" t="n"/>
      <c r="H423" s="120" t="n"/>
      <c r="I423" s="122" t="inlineStr">
        <is>
          <t>${week} = 5</t>
        </is>
      </c>
      <c r="J423" s="119" t="n"/>
      <c r="K423" s="121" t="n"/>
      <c r="L423" s="120" t="n"/>
      <c r="M423" s="121" t="n"/>
      <c r="N423" s="120" t="n"/>
      <c r="O423" s="121" t="n"/>
      <c r="P423" s="121" t="n"/>
      <c r="Q423" s="121" t="n"/>
      <c r="R423" s="121" t="n"/>
      <c r="S423" s="120" t="n"/>
      <c r="T423" s="121" t="n"/>
      <c r="U423" s="120" t="n"/>
      <c r="V423" s="120" t="n"/>
      <c r="W423" s="121" t="n"/>
      <c r="X423" s="121" t="n"/>
    </row>
    <row r="424" ht="153" customHeight="1">
      <c r="A424" s="119" t="inlineStr">
        <is>
          <t>note</t>
        </is>
      </c>
      <c r="B424" s="119" t="inlineStr">
        <is>
          <t>note_check_mult_w6</t>
        </is>
      </c>
      <c r="C424" s="122" t="inlineStr">
        <is>
          <t>Can you please solve:
&lt;br&gt;&lt;br&gt;
&lt;p style="font-weight:bold;font-size:24pt;text-align:center;"&gt; 28 x 2= ?&lt;/p&gt;
&lt;br&gt;
What did you get as the answer?</t>
        </is>
      </c>
      <c r="D424" s="120" t="n"/>
      <c r="E424" s="121" t="n"/>
      <c r="F424" s="121" t="n"/>
      <c r="G424" s="120" t="n"/>
      <c r="H424" s="120" t="n"/>
      <c r="I424" s="122" t="inlineStr">
        <is>
          <t>${week} = 6</t>
        </is>
      </c>
      <c r="J424" s="119" t="n"/>
      <c r="K424" s="121" t="n"/>
      <c r="L424" s="120" t="n"/>
      <c r="M424" s="121" t="n"/>
      <c r="N424" s="120" t="n"/>
      <c r="O424" s="121" t="n"/>
      <c r="P424" s="121" t="n"/>
      <c r="Q424" s="121" t="n"/>
      <c r="R424" s="121" t="n"/>
      <c r="S424" s="120" t="n"/>
      <c r="T424" s="121" t="n"/>
      <c r="U424" s="120" t="n"/>
      <c r="V424" s="120" t="n"/>
      <c r="W424" s="121" t="n"/>
      <c r="X424" s="121" t="n"/>
    </row>
    <row r="425" ht="153" customHeight="1">
      <c r="A425" s="119" t="inlineStr">
        <is>
          <t>note</t>
        </is>
      </c>
      <c r="B425" s="119" t="inlineStr">
        <is>
          <t>note_check_mult_w7</t>
        </is>
      </c>
      <c r="C425" s="122" t="inlineStr">
        <is>
          <t>Can you please solve:
&lt;br&gt;&lt;br&gt;
&lt;p style="font-weight:bold;font-size:24pt;text-align:center;"&gt; 34 x 4= ?&lt;/p&gt;
&lt;br&gt;
What did you get as the answer?</t>
        </is>
      </c>
      <c r="D425" s="120" t="n"/>
      <c r="E425" s="121" t="n"/>
      <c r="F425" s="121" t="n"/>
      <c r="G425" s="120" t="n"/>
      <c r="H425" s="120" t="n"/>
      <c r="I425" s="122" t="inlineStr">
        <is>
          <t>${week} = 7</t>
        </is>
      </c>
      <c r="J425" s="119" t="n"/>
      <c r="K425" s="121" t="n"/>
      <c r="L425" s="120" t="n"/>
      <c r="M425" s="121" t="n"/>
      <c r="N425" s="120" t="n"/>
      <c r="O425" s="121" t="n"/>
      <c r="P425" s="121" t="n"/>
      <c r="Q425" s="121" t="n"/>
      <c r="R425" s="121" t="n"/>
      <c r="S425" s="120" t="n"/>
      <c r="T425" s="121" t="n"/>
      <c r="U425" s="120" t="n"/>
      <c r="V425" s="120" t="n"/>
      <c r="W425" s="121" t="n"/>
      <c r="X425" s="121" t="n"/>
    </row>
    <row r="426" ht="153" customHeight="1">
      <c r="A426" s="119" t="inlineStr">
        <is>
          <t>note</t>
        </is>
      </c>
      <c r="B426" s="119" t="inlineStr">
        <is>
          <t>note_check_mult_w8</t>
        </is>
      </c>
      <c r="C426" s="122" t="inlineStr">
        <is>
          <t>Can you please solve:
&lt;br&gt;&lt;br&gt;
&lt;p style="font-weight:bold;font-size:24pt;text-align:center;"&gt; 13 x 6= ?&lt;/p&gt;
&lt;br&gt;
What did you get as the answer?</t>
        </is>
      </c>
      <c r="D426" s="120" t="n"/>
      <c r="E426" s="121" t="n"/>
      <c r="F426" s="121" t="n"/>
      <c r="G426" s="120" t="n"/>
      <c r="H426" s="120" t="n"/>
      <c r="I426" s="122" t="inlineStr">
        <is>
          <t>${week} = 8</t>
        </is>
      </c>
      <c r="J426" s="119" t="n"/>
      <c r="K426" s="121" t="n"/>
      <c r="L426" s="120" t="n"/>
      <c r="M426" s="121" t="n"/>
      <c r="N426" s="120" t="n"/>
      <c r="O426" s="121" t="n"/>
      <c r="P426" s="121" t="n"/>
      <c r="Q426" s="121" t="n"/>
      <c r="R426" s="121" t="n"/>
      <c r="S426" s="120" t="n"/>
      <c r="T426" s="121" t="n"/>
      <c r="U426" s="120" t="n"/>
      <c r="V426" s="120" t="n"/>
      <c r="W426" s="121" t="n"/>
      <c r="X426" s="121" t="n"/>
    </row>
    <row r="427">
      <c r="A427" s="119" t="inlineStr">
        <is>
          <t>end group</t>
        </is>
      </c>
      <c r="B427" s="119" t="inlineStr">
        <is>
          <t>checkpoint_multiplication</t>
        </is>
      </c>
      <c r="C427" s="122" t="n"/>
      <c r="D427" s="120" t="n"/>
      <c r="E427" s="121" t="n"/>
      <c r="F427" s="121" t="n"/>
      <c r="G427" s="120" t="n"/>
      <c r="H427" s="120" t="n"/>
      <c r="I427" s="122" t="n"/>
      <c r="J427" s="119" t="n"/>
      <c r="K427" s="121" t="n"/>
      <c r="L427" s="120" t="n"/>
      <c r="M427" s="121" t="n"/>
      <c r="N427" s="120" t="n"/>
      <c r="O427" s="121" t="n"/>
      <c r="P427" s="121" t="n"/>
      <c r="Q427" s="121" t="n"/>
      <c r="R427" s="121" t="n"/>
      <c r="S427" s="120" t="n"/>
      <c r="T427" s="121" t="n"/>
      <c r="U427" s="120" t="n"/>
      <c r="V427" s="120" t="n"/>
      <c r="W427" s="121" t="n"/>
      <c r="X427" s="121" t="n"/>
    </row>
    <row r="428" ht="17" customHeight="1">
      <c r="A428" s="119" t="inlineStr">
        <is>
          <t>begin group</t>
        </is>
      </c>
      <c r="B428" s="119" t="inlineStr">
        <is>
          <t>checkpoint_division</t>
        </is>
      </c>
      <c r="C428" s="122" t="n"/>
      <c r="D428" s="120" t="n"/>
      <c r="E428" s="121" t="n"/>
      <c r="F428" s="121" t="n"/>
      <c r="G428" s="120" t="n"/>
      <c r="H428" s="120" t="n"/>
      <c r="I428" s="122" t="inlineStr">
        <is>
          <t>selected(${checkpoint1_num_i},'4')</t>
        </is>
      </c>
      <c r="J428" s="119" t="n"/>
      <c r="K428" s="121" t="n"/>
      <c r="L428" s="120" t="n"/>
      <c r="M428" s="121" t="n"/>
      <c r="N428" s="120" t="n"/>
      <c r="O428" s="121" t="n"/>
      <c r="P428" s="121" t="n"/>
      <c r="Q428" s="121" t="n"/>
      <c r="R428" s="121" t="n"/>
      <c r="S428" s="120" t="n"/>
      <c r="T428" s="121" t="n"/>
      <c r="U428" s="120" t="n"/>
      <c r="V428" s="120" t="n"/>
      <c r="W428" s="121" t="n"/>
      <c r="X428" s="121" t="n"/>
    </row>
    <row r="429" ht="153" customHeight="1">
      <c r="A429" s="119" t="inlineStr">
        <is>
          <t>note</t>
        </is>
      </c>
      <c r="B429" s="119" t="inlineStr">
        <is>
          <t>note_check_div_w1</t>
        </is>
      </c>
      <c r="C429" s="122" t="inlineStr">
        <is>
          <t>Can you please solve:
&lt;br&gt;&lt;br&gt;
&lt;p style="font-weight:bold;font-size:24pt;text-align:center;"&gt;82 / 7 = ?&lt;/p&gt;
&lt;br&gt;
What did you get as the answer?</t>
        </is>
      </c>
      <c r="D429" s="120" t="n"/>
      <c r="E429" s="121" t="n"/>
      <c r="F429" s="121" t="n"/>
      <c r="G429" s="120" t="n"/>
      <c r="H429" s="120" t="n"/>
      <c r="I429" s="122" t="inlineStr">
        <is>
          <t>${week} = 1</t>
        </is>
      </c>
      <c r="J429" s="119" t="n"/>
      <c r="K429" s="121" t="n"/>
      <c r="L429" s="120" t="n"/>
      <c r="M429" s="121" t="n"/>
      <c r="N429" s="120" t="n"/>
      <c r="O429" s="121" t="n"/>
      <c r="P429" s="121" t="n"/>
      <c r="Q429" s="121" t="n"/>
      <c r="R429" s="121" t="n"/>
      <c r="S429" s="120" t="n"/>
      <c r="T429" s="121" t="n"/>
      <c r="U429" s="120" t="n"/>
      <c r="V429" s="120" t="n"/>
      <c r="W429" s="121" t="n"/>
      <c r="X429" s="121" t="n"/>
    </row>
    <row r="430" ht="153" customHeight="1">
      <c r="A430" s="119" t="inlineStr">
        <is>
          <t>note</t>
        </is>
      </c>
      <c r="B430" s="119" t="inlineStr">
        <is>
          <t>note_check_div_w2</t>
        </is>
      </c>
      <c r="C430" s="122" t="inlineStr">
        <is>
          <t>Can you please solve:
&lt;br&gt;&lt;br&gt;
&lt;p style="font-weight:bold;font-size:24pt;text-align:center;"&gt; 82 / 8= ?&lt;/p&gt;
&lt;br&gt;
What did you get as the answer?</t>
        </is>
      </c>
      <c r="D430" s="120" t="n"/>
      <c r="E430" s="121" t="n"/>
      <c r="F430" s="121" t="n"/>
      <c r="G430" s="120" t="n"/>
      <c r="H430" s="120" t="n"/>
      <c r="I430" s="122" t="inlineStr">
        <is>
          <t>${week} = 2</t>
        </is>
      </c>
      <c r="J430" s="119" t="n"/>
      <c r="K430" s="121" t="n"/>
      <c r="L430" s="120" t="n"/>
      <c r="M430" s="121" t="n"/>
      <c r="N430" s="120" t="n"/>
      <c r="O430" s="121" t="n"/>
      <c r="P430" s="121" t="n"/>
      <c r="Q430" s="121" t="n"/>
      <c r="R430" s="121" t="n"/>
      <c r="S430" s="120" t="n"/>
      <c r="T430" s="121" t="n"/>
      <c r="U430" s="120" t="n"/>
      <c r="V430" s="120" t="n"/>
      <c r="W430" s="121" t="n"/>
      <c r="X430" s="121" t="n"/>
    </row>
    <row r="431" ht="153" customHeight="1">
      <c r="A431" s="119" t="inlineStr">
        <is>
          <t>note</t>
        </is>
      </c>
      <c r="B431" s="119" t="inlineStr">
        <is>
          <t>note_check_div_w3</t>
        </is>
      </c>
      <c r="C431" s="122" t="inlineStr">
        <is>
          <t>Can you please solve:
&lt;br&gt;&lt;br&gt;
&lt;p style="font-weight:bold;font-size:24pt;text-align:center;"&gt; 67 / 3= ?&lt;/p&gt;
&lt;br&gt;
What did you get as the answer?</t>
        </is>
      </c>
      <c r="D431" s="120" t="n"/>
      <c r="E431" s="121" t="n"/>
      <c r="F431" s="121" t="n"/>
      <c r="G431" s="120" t="n"/>
      <c r="H431" s="120" t="n"/>
      <c r="I431" s="122" t="inlineStr">
        <is>
          <t>${week} = 3</t>
        </is>
      </c>
      <c r="J431" s="119" t="n"/>
      <c r="K431" s="121" t="n"/>
      <c r="L431" s="120" t="n"/>
      <c r="M431" s="121" t="n"/>
      <c r="N431" s="120" t="n"/>
      <c r="O431" s="121" t="n"/>
      <c r="P431" s="121" t="n"/>
      <c r="Q431" s="121" t="n"/>
      <c r="R431" s="121" t="n"/>
      <c r="S431" s="120" t="n"/>
      <c r="T431" s="121" t="n"/>
      <c r="U431" s="120" t="n"/>
      <c r="V431" s="120" t="n"/>
      <c r="W431" s="121" t="n"/>
      <c r="X431" s="121" t="n"/>
    </row>
    <row r="432" ht="153" customHeight="1">
      <c r="A432" s="119" t="inlineStr">
        <is>
          <t>note</t>
        </is>
      </c>
      <c r="B432" s="119" t="inlineStr">
        <is>
          <t>note_check_div_w4</t>
        </is>
      </c>
      <c r="C432" s="122" t="inlineStr">
        <is>
          <t>Can you please solve:
&lt;br&gt;&lt;br&gt;
&lt;p style="font-weight:bold;font-size:24pt;text-align:center;"&gt; 37 / 2 = ?&lt;/p&gt;
&lt;br&gt;
What did you get as the answer?</t>
        </is>
      </c>
      <c r="D432" s="120" t="n"/>
      <c r="E432" s="121" t="n"/>
      <c r="F432" s="121" t="n"/>
      <c r="G432" s="120" t="n"/>
      <c r="H432" s="120" t="n"/>
      <c r="I432" s="122" t="inlineStr">
        <is>
          <t>${week} = 4</t>
        </is>
      </c>
      <c r="J432" s="119" t="n"/>
      <c r="K432" s="121" t="n"/>
      <c r="L432" s="120" t="n"/>
      <c r="M432" s="121" t="n"/>
      <c r="N432" s="120" t="n"/>
      <c r="O432" s="121" t="n"/>
      <c r="P432" s="121" t="n"/>
      <c r="Q432" s="121" t="n"/>
      <c r="R432" s="121" t="n"/>
      <c r="S432" s="120" t="n"/>
      <c r="T432" s="121" t="n"/>
      <c r="U432" s="120" t="n"/>
      <c r="V432" s="120" t="n"/>
      <c r="W432" s="121" t="n"/>
      <c r="X432" s="121" t="n"/>
    </row>
    <row r="433" ht="153" customHeight="1">
      <c r="A433" s="119" t="inlineStr">
        <is>
          <t>note</t>
        </is>
      </c>
      <c r="B433" s="119" t="inlineStr">
        <is>
          <t>note_check_div_w5</t>
        </is>
      </c>
      <c r="C433" s="122" t="inlineStr">
        <is>
          <t>Can you please solve:
&lt;br&gt;&lt;br&gt;
&lt;p style="font-weight:bold;font-size:24pt;text-align:center;"&gt; 38 / 4= ?&lt;/p&gt;
&lt;br&gt;
What did you get as the answer?</t>
        </is>
      </c>
      <c r="D433" s="120" t="n"/>
      <c r="E433" s="121" t="n"/>
      <c r="F433" s="121" t="n"/>
      <c r="G433" s="120" t="n"/>
      <c r="H433" s="120" t="n"/>
      <c r="I433" s="122" t="inlineStr">
        <is>
          <t>${week} = 5</t>
        </is>
      </c>
      <c r="J433" s="119" t="n"/>
      <c r="K433" s="121" t="n"/>
      <c r="L433" s="120" t="n"/>
      <c r="M433" s="121" t="n"/>
      <c r="N433" s="120" t="n"/>
      <c r="O433" s="121" t="n"/>
      <c r="P433" s="121" t="n"/>
      <c r="Q433" s="121" t="n"/>
      <c r="R433" s="121" t="n"/>
      <c r="S433" s="120" t="n"/>
      <c r="T433" s="121" t="n"/>
      <c r="U433" s="120" t="n"/>
      <c r="V433" s="120" t="n"/>
      <c r="W433" s="121" t="n"/>
      <c r="X433" s="121" t="n"/>
    </row>
    <row r="434" ht="153" customHeight="1">
      <c r="A434" s="119" t="inlineStr">
        <is>
          <t>note</t>
        </is>
      </c>
      <c r="B434" s="119" t="inlineStr">
        <is>
          <t>note_check_div_w6</t>
        </is>
      </c>
      <c r="C434" s="122" t="inlineStr">
        <is>
          <t>Can you please solve:
&lt;br&gt;&lt;br&gt;
&lt;p style="font-weight:bold;font-size:24pt;text-align:center;"&gt; 73 / 9= ?&lt;/p&gt;
&lt;br&gt;
What did you get as the answer?</t>
        </is>
      </c>
      <c r="D434" s="120" t="n"/>
      <c r="E434" s="121" t="n"/>
      <c r="F434" s="121" t="n"/>
      <c r="G434" s="120" t="n"/>
      <c r="H434" s="120" t="n"/>
      <c r="I434" s="122" t="inlineStr">
        <is>
          <t>${week} = 6</t>
        </is>
      </c>
      <c r="J434" s="119" t="n"/>
      <c r="K434" s="121" t="n"/>
      <c r="L434" s="120" t="n"/>
      <c r="M434" s="121" t="n"/>
      <c r="N434" s="120" t="n"/>
      <c r="O434" s="121" t="n"/>
      <c r="P434" s="121" t="n"/>
      <c r="Q434" s="121" t="n"/>
      <c r="R434" s="121" t="n"/>
      <c r="S434" s="120" t="n"/>
      <c r="T434" s="121" t="n"/>
      <c r="U434" s="120" t="n"/>
      <c r="V434" s="120" t="n"/>
      <c r="W434" s="121" t="n"/>
      <c r="X434" s="121" t="n"/>
    </row>
    <row r="435" ht="153" customHeight="1">
      <c r="A435" s="119" t="inlineStr">
        <is>
          <t>note</t>
        </is>
      </c>
      <c r="B435" s="119" t="inlineStr">
        <is>
          <t>note_check_div_w7</t>
        </is>
      </c>
      <c r="C435" s="122" t="inlineStr">
        <is>
          <t>Can you please solve:
&lt;br&gt;&lt;br&gt;
&lt;p style="font-weight:bold;font-size:24pt;text-align:center;"&gt; 69 / 8= ?&lt;/p&gt;
&lt;br&gt;
What did you get as the answer?</t>
        </is>
      </c>
      <c r="D435" s="120" t="n"/>
      <c r="E435" s="121" t="n"/>
      <c r="F435" s="121" t="n"/>
      <c r="G435" s="120" t="n"/>
      <c r="H435" s="120" t="n"/>
      <c r="I435" s="122" t="inlineStr">
        <is>
          <t>${week} = 7</t>
        </is>
      </c>
      <c r="J435" s="119" t="n"/>
      <c r="K435" s="121" t="n"/>
      <c r="L435" s="120" t="n"/>
      <c r="M435" s="121" t="n"/>
      <c r="N435" s="120" t="n"/>
      <c r="O435" s="121" t="n"/>
      <c r="P435" s="121" t="n"/>
      <c r="Q435" s="121" t="n"/>
      <c r="R435" s="121" t="n"/>
      <c r="S435" s="120" t="n"/>
      <c r="T435" s="121" t="n"/>
      <c r="U435" s="120" t="n"/>
      <c r="V435" s="120" t="n"/>
      <c r="W435" s="121" t="n"/>
      <c r="X435" s="121" t="n"/>
    </row>
    <row r="436" ht="153" customHeight="1">
      <c r="A436" s="119" t="inlineStr">
        <is>
          <t>note</t>
        </is>
      </c>
      <c r="B436" s="119" t="inlineStr">
        <is>
          <t>note_check_div_w8</t>
        </is>
      </c>
      <c r="C436" s="122" t="inlineStr">
        <is>
          <t>Can you please solve:
&lt;br&gt;&lt;br&gt;
&lt;p style="font-weight:bold;font-size:24pt;text-align:center;"&gt; 92 / 5= ?&lt;/p&gt;
&lt;br&gt;
What did you get as the answer?</t>
        </is>
      </c>
      <c r="D436" s="120" t="n"/>
      <c r="E436" s="121" t="n"/>
      <c r="F436" s="121" t="n"/>
      <c r="G436" s="120" t="n"/>
      <c r="H436" s="120" t="n"/>
      <c r="I436" s="122" t="inlineStr">
        <is>
          <t>${week} = 8</t>
        </is>
      </c>
      <c r="J436" s="119" t="n"/>
      <c r="K436" s="121" t="n"/>
      <c r="L436" s="120" t="n"/>
      <c r="M436" s="121" t="n"/>
      <c r="N436" s="120" t="n"/>
      <c r="O436" s="121" t="n"/>
      <c r="P436" s="121" t="n"/>
      <c r="Q436" s="121" t="n"/>
      <c r="R436" s="121" t="n"/>
      <c r="S436" s="120" t="n"/>
      <c r="T436" s="121" t="n"/>
      <c r="U436" s="120" t="n"/>
      <c r="V436" s="120" t="n"/>
      <c r="W436" s="121" t="n"/>
      <c r="X436" s="121" t="n"/>
    </row>
    <row r="437">
      <c r="A437" s="119" t="inlineStr">
        <is>
          <t>end group</t>
        </is>
      </c>
      <c r="B437" s="119" t="inlineStr">
        <is>
          <t>checkpoint_division</t>
        </is>
      </c>
      <c r="C437" s="122" t="n"/>
      <c r="D437" s="120" t="n"/>
      <c r="E437" s="121" t="n"/>
      <c r="F437" s="121" t="n"/>
      <c r="G437" s="120" t="n"/>
      <c r="H437" s="120" t="n"/>
      <c r="I437" s="122" t="n"/>
      <c r="J437" s="119" t="n"/>
      <c r="K437" s="121" t="n"/>
      <c r="L437" s="120" t="n"/>
      <c r="M437" s="121" t="n"/>
      <c r="N437" s="120" t="n"/>
      <c r="O437" s="121" t="n"/>
      <c r="P437" s="121" t="n"/>
      <c r="Q437" s="121" t="n"/>
      <c r="R437" s="121" t="n"/>
      <c r="S437" s="120" t="n"/>
      <c r="T437" s="121" t="n"/>
      <c r="U437" s="120" t="n"/>
      <c r="V437" s="120" t="n"/>
      <c r="W437" s="121" t="n"/>
      <c r="X437" s="121" t="n"/>
    </row>
    <row r="438" ht="68" customHeight="1">
      <c r="A438" s="119" t="inlineStr">
        <is>
          <t>select_one levelling</t>
        </is>
      </c>
      <c r="B438" s="119" t="inlineStr">
        <is>
          <t>checkpoint1_correct_num_i</t>
        </is>
      </c>
      <c r="C438" s="132" t="inlineStr">
        <is>
          <t>&lt;p&gt;&lt;span style="color: #3366ff;"&gt;&lt;strong&gt;INSTRUCTIONS: DO NOT READ OUT LOUD.&lt;/strong&gt;&lt;/span&gt;&lt;br /&gt; &lt;br /&gt;&lt;span style="color: #3366ff;"&gt;&lt;/p&gt;
Did &lt;font color="#14b14b"&gt;&lt;b&gt;&lt;u&gt;${stud_name_i}&lt;/u&gt;&lt;/b&gt;&lt;/font&gt; get the checkpoint question correct?</t>
        </is>
      </c>
      <c r="D438" s="120" t="n"/>
      <c r="E438" s="121" t="n"/>
      <c r="F438" s="121" t="n"/>
      <c r="G438" s="120" t="n"/>
      <c r="H438" s="120" t="n"/>
      <c r="I438" s="122" t="n"/>
      <c r="J438" s="119" t="n"/>
      <c r="K438" s="119" t="inlineStr">
        <is>
          <t>yes</t>
        </is>
      </c>
      <c r="L438" s="120" t="n"/>
      <c r="M438" s="121" t="n"/>
      <c r="N438" s="120" t="n"/>
      <c r="O438" s="121" t="n"/>
      <c r="P438" s="121" t="n"/>
      <c r="Q438" s="121" t="n"/>
      <c r="R438" s="121" t="n"/>
      <c r="S438" s="120" t="n"/>
      <c r="T438" s="121" t="n"/>
      <c r="U438" s="120" t="n"/>
      <c r="V438" s="120" t="n"/>
      <c r="W438" s="121" t="n"/>
      <c r="X438" s="121" t="n"/>
    </row>
    <row r="439" ht="17" customHeight="1">
      <c r="A439" s="119" t="inlineStr">
        <is>
          <t>calculate</t>
        </is>
      </c>
      <c r="B439" s="119" t="inlineStr">
        <is>
          <t>checkpoint1_correct_num_lab_i</t>
        </is>
      </c>
      <c r="C439" s="122" t="inlineStr">
        <is>
          <t>Returns checkpoint correct (choice label)</t>
        </is>
      </c>
      <c r="D439" s="120" t="n"/>
      <c r="E439" s="121" t="n"/>
      <c r="F439" s="121" t="n"/>
      <c r="G439" s="120" t="n"/>
      <c r="H439" s="120" t="n"/>
      <c r="I439" s="122" t="n"/>
      <c r="J439" s="119" t="n"/>
      <c r="K439" s="121" t="n"/>
      <c r="L439" s="120" t="n"/>
      <c r="M439" s="121" t="n"/>
      <c r="N439" s="122" t="inlineStr">
        <is>
          <t>choice-label(${checkpoint1_correct_num_i}, ${checkpoint1_correct_num_i})</t>
        </is>
      </c>
      <c r="O439" s="121" t="n"/>
      <c r="P439" s="121" t="n"/>
      <c r="Q439" s="121" t="n"/>
      <c r="R439" s="121" t="n"/>
      <c r="S439" s="120" t="n"/>
      <c r="T439" s="121" t="n"/>
      <c r="U439" s="120" t="n"/>
      <c r="V439" s="120" t="n"/>
      <c r="W439" s="121" t="n"/>
      <c r="X439" s="121" t="n"/>
    </row>
    <row r="440">
      <c r="A440" s="119" t="inlineStr">
        <is>
          <t>calculate_here</t>
        </is>
      </c>
      <c r="B440" s="119" t="inlineStr">
        <is>
          <t>end_checkpoint</t>
        </is>
      </c>
      <c r="C440" s="122" t="n"/>
      <c r="D440" s="120" t="n"/>
      <c r="E440" s="121" t="n"/>
      <c r="F440" s="121" t="n"/>
      <c r="G440" s="120" t="n"/>
      <c r="H440" s="120" t="n"/>
      <c r="I440" s="122" t="n"/>
      <c r="J440" s="119" t="n"/>
      <c r="K440" s="121" t="n"/>
      <c r="L440" s="120" t="n"/>
      <c r="M440" s="121" t="n"/>
      <c r="N440" s="122" t="inlineStr">
        <is>
          <t>once(duration())</t>
        </is>
      </c>
      <c r="O440" s="121" t="n"/>
      <c r="P440" s="121" t="n"/>
      <c r="Q440" s="121" t="n"/>
      <c r="R440" s="121" t="n"/>
      <c r="S440" s="120" t="n"/>
      <c r="T440" s="121" t="n"/>
      <c r="U440" s="120" t="n"/>
      <c r="V440" s="120" t="n"/>
      <c r="W440" s="121" t="n"/>
      <c r="X440" s="121" t="n"/>
    </row>
    <row r="441" ht="17" customHeight="1">
      <c r="A441" s="119" t="inlineStr">
        <is>
          <t>calculate</t>
        </is>
      </c>
      <c r="B441" s="119" t="inlineStr">
        <is>
          <t>duration_checkpoint_i</t>
        </is>
      </c>
      <c r="C441" s="122" t="inlineStr">
        <is>
          <t>Returns the total amount of time spent, in seconds, on checkpoint assessment</t>
        </is>
      </c>
      <c r="D441" s="120" t="n"/>
      <c r="E441" s="121" t="n"/>
      <c r="F441" s="121" t="n"/>
      <c r="G441" s="120" t="n"/>
      <c r="H441" s="120" t="n"/>
      <c r="I441" s="122" t="n"/>
      <c r="J441" s="119" t="n"/>
      <c r="K441" s="121" t="n"/>
      <c r="L441" s="120" t="n"/>
      <c r="M441" s="121" t="n"/>
      <c r="N441" s="122" t="inlineStr">
        <is>
          <t>${end_checkpoint} - ${start_checkpoint}</t>
        </is>
      </c>
      <c r="O441" s="121" t="n"/>
      <c r="P441" s="121" t="n"/>
      <c r="Q441" s="121" t="n"/>
      <c r="R441" s="121" t="n"/>
      <c r="S441" s="120" t="n"/>
      <c r="T441" s="121" t="n"/>
      <c r="U441" s="120" t="n"/>
      <c r="V441" s="120" t="n"/>
      <c r="W441" s="121" t="n"/>
      <c r="X441" s="121" t="n"/>
    </row>
    <row r="442" ht="68" customHeight="1">
      <c r="A442" s="119" t="inlineStr">
        <is>
          <t>calculate</t>
        </is>
      </c>
      <c r="B442" s="119" t="inlineStr">
        <is>
          <t>suggested_lesson_next_week</t>
        </is>
      </c>
      <c r="C442" s="122" t="inlineStr">
        <is>
          <t>Returns suggested operation to teach next call</t>
        </is>
      </c>
      <c r="D442" s="120" t="n"/>
      <c r="E442" s="121" t="n"/>
      <c r="F442" s="121" t="n"/>
      <c r="G442" s="120" t="n"/>
      <c r="H442" s="120" t="n"/>
      <c r="I442" s="122" t="n"/>
      <c r="J442" s="119" t="n"/>
      <c r="K442" s="121" t="n"/>
      <c r="L442" s="120" t="n"/>
      <c r="M442" s="121" t="n"/>
      <c r="N442" s="122" t="inlineStr">
        <is>
          <t>if(${checkpoint1_num_i} = 1 and ${checkpoint1_correct_num_i} &gt; 0, '2',
if(${checkpoint1_num_i} = 2 and ${checkpoint1_correct_num_i}  &gt; 0, '3',
if(${checkpoint1_num_i} = 3 and ${checkpoint1_correct_num_i}  &gt; 0, '4',
if(${checkpoint1_num_i} = 4 and ${checkpoint1_correct_num_i}  &gt; 0, '4', ${checkpoint1_num_i}))))</t>
        </is>
      </c>
      <c r="O442" s="121" t="n"/>
      <c r="P442" s="121" t="n"/>
      <c r="Q442" s="121" t="n"/>
      <c r="R442" s="121" t="n"/>
      <c r="S442" s="120" t="n"/>
      <c r="T442" s="121" t="n"/>
      <c r="U442" s="120" t="n"/>
      <c r="V442" s="120" t="n"/>
      <c r="W442" s="121" t="n"/>
      <c r="X442" s="121" t="n"/>
    </row>
    <row r="443" ht="68" customHeight="1">
      <c r="A443" s="119" t="inlineStr">
        <is>
          <t>calculate</t>
        </is>
      </c>
      <c r="B443" s="119" t="inlineStr">
        <is>
          <t>suggested_lesson_next_week_lab</t>
        </is>
      </c>
      <c r="C443" s="122" t="inlineStr">
        <is>
          <t>Returns suggested operation to teach next call (choice label)</t>
        </is>
      </c>
      <c r="D443" s="120" t="n"/>
      <c r="E443" s="121" t="n"/>
      <c r="F443" s="121" t="n"/>
      <c r="G443" s="120" t="n"/>
      <c r="H443" s="120" t="n"/>
      <c r="I443" s="122" t="n"/>
      <c r="J443" s="119" t="n"/>
      <c r="K443" s="121" t="n"/>
      <c r="L443" s="120" t="n"/>
      <c r="M443" s="121" t="n"/>
      <c r="N443" s="122" t="inlineStr">
        <is>
          <t>if(${checkpoint1_num_i} = 1 and ${checkpoint1_correct_num_i}  &gt; 0, 'Subtraction',
if(${checkpoint1_num_i} = 2 and ${checkpoint1_correct_num_i}  &gt; 0, 'Multiplication',
if(${checkpoint1_num_i} = 3 and ${checkpoint1_correct_num_i}  &gt; 0, 'Division',
if(${checkpoint1_num_i} = 4 and ${checkpoint1_correct_num_i}  &gt; 0, 'Division', ${checkpoint1_num_lab_i}))))</t>
        </is>
      </c>
      <c r="O443" s="121" t="n"/>
      <c r="P443" s="121" t="n"/>
      <c r="Q443" s="121" t="n"/>
      <c r="R443" s="121" t="n"/>
      <c r="S443" s="120" t="n"/>
      <c r="T443" s="121" t="n"/>
      <c r="U443" s="120" t="n"/>
      <c r="V443" s="120" t="n"/>
      <c r="W443" s="121" t="n"/>
      <c r="X443" s="121" t="n"/>
    </row>
    <row r="444">
      <c r="A444" s="119" t="inlineStr">
        <is>
          <t>end group</t>
        </is>
      </c>
      <c r="B444" s="119" t="inlineStr">
        <is>
          <t>checkpoint</t>
        </is>
      </c>
      <c r="C444" s="122" t="n"/>
      <c r="D444" s="120" t="n"/>
      <c r="E444" s="121" t="n"/>
      <c r="F444" s="121" t="n"/>
      <c r="G444" s="120" t="n"/>
      <c r="H444" s="120" t="n"/>
      <c r="I444" s="122" t="n"/>
      <c r="J444" s="119" t="n"/>
      <c r="K444" s="121" t="n"/>
      <c r="L444" s="120" t="n"/>
      <c r="M444" s="121" t="n"/>
      <c r="N444" s="120" t="n"/>
      <c r="O444" s="121" t="n"/>
      <c r="P444" s="121" t="n"/>
      <c r="Q444" s="121" t="n"/>
      <c r="R444" s="121" t="n"/>
      <c r="S444" s="120" t="n"/>
      <c r="T444" s="121" t="n"/>
      <c r="U444" s="120" t="n"/>
      <c r="V444" s="120" t="n"/>
      <c r="W444" s="121" t="n"/>
      <c r="X444" s="121" t="n"/>
    </row>
    <row r="445" ht="170" customHeight="1">
      <c r="A445" s="119" t="inlineStr">
        <is>
          <t>note</t>
        </is>
      </c>
      <c r="B445" s="119" t="inlineStr">
        <is>
          <t>note_endcall</t>
        </is>
      </c>
      <c r="C445" s="122" t="inlineStr">
        <is>
          <t>&lt;p&gt;&lt;span style="color: #3366ff;"&gt;&lt;strong&gt;FACILITATOR INSTRUCTIONS: DO NOT READ OUT LOUD.&lt;/strong&gt;&lt;/span&gt;&lt;br /&gt; &lt;br /&gt;&lt;span style="color: #3366ff;"&gt;&lt;/p&gt;
&lt;br&gt;&lt;br&gt;
&lt;ol&gt;
&lt;li&gt;Tell the child that she/he did a great job on the maths/numeracy learning game.&lt;/li&gt;
&lt;li&gt;Ask to speak to the caregiver again.&lt;/li&gt;
&lt;li&gt;Provide an update on how the child did on the learning games.&lt;/li&gt;
&lt;li&gt;Answer any remaining questions from the caregiver, say goodbye and end the call.&lt;/li&gt;
&lt;/ol&gt;</t>
        </is>
      </c>
      <c r="D445" s="120" t="n"/>
      <c r="E445" s="121" t="n"/>
      <c r="F445" s="121" t="n"/>
      <c r="G445" s="120" t="n"/>
      <c r="H445" s="120" t="n"/>
      <c r="I445" s="122" t="n"/>
      <c r="J445" s="119" t="n"/>
      <c r="K445" s="121" t="n"/>
      <c r="L445" s="120" t="n"/>
      <c r="M445" s="121" t="n"/>
      <c r="N445" s="120" t="n"/>
      <c r="O445" s="121" t="n"/>
      <c r="P445" s="121" t="n"/>
      <c r="Q445" s="121" t="n"/>
      <c r="R445" s="121" t="n"/>
      <c r="S445" s="120" t="n"/>
      <c r="T445" s="121" t="n"/>
      <c r="U445" s="120" t="n"/>
      <c r="V445" s="120" t="n"/>
      <c r="W445" s="121" t="n"/>
      <c r="X445" s="121" t="n"/>
    </row>
    <row r="446">
      <c r="A446" s="119" t="inlineStr">
        <is>
          <t>end group</t>
        </is>
      </c>
      <c r="B446" s="119" t="inlineStr">
        <is>
          <t>tutorial</t>
        </is>
      </c>
      <c r="C446" s="122" t="n"/>
      <c r="D446" s="120" t="n"/>
      <c r="E446" s="121" t="n"/>
      <c r="F446" s="121" t="n"/>
      <c r="G446" s="120" t="n"/>
      <c r="H446" s="120" t="n"/>
      <c r="I446" s="122" t="n"/>
      <c r="J446" s="119" t="n"/>
      <c r="K446" s="121" t="n"/>
      <c r="L446" s="120" t="n"/>
      <c r="M446" s="121" t="n"/>
      <c r="N446" s="120" t="n"/>
      <c r="O446" s="121" t="n"/>
      <c r="P446" s="121" t="n"/>
      <c r="Q446" s="121" t="n"/>
      <c r="R446" s="121" t="n"/>
      <c r="S446" s="120" t="n"/>
      <c r="T446" s="121" t="n"/>
      <c r="U446" s="120" t="n"/>
      <c r="V446" s="120" t="n"/>
      <c r="W446" s="121" t="n"/>
      <c r="X446" s="121" t="n"/>
    </row>
    <row r="447">
      <c r="A447" s="121" t="n"/>
      <c r="B447" s="121" t="n"/>
      <c r="C447" s="122" t="n"/>
      <c r="D447" s="120" t="n"/>
      <c r="E447" s="121" t="n"/>
      <c r="F447" s="121" t="n"/>
      <c r="G447" s="120" t="n"/>
      <c r="H447" s="120" t="n"/>
      <c r="I447" s="122" t="n"/>
      <c r="J447" s="119" t="n"/>
      <c r="K447" s="121" t="n"/>
      <c r="L447" s="120" t="n"/>
      <c r="M447" s="121" t="n"/>
      <c r="N447" s="120" t="n"/>
      <c r="O447" s="121" t="n"/>
      <c r="P447" s="121" t="n"/>
      <c r="Q447" s="121" t="n"/>
      <c r="R447" s="121" t="n"/>
      <c r="S447" s="120" t="n"/>
      <c r="T447" s="121" t="n"/>
      <c r="U447" s="120" t="n"/>
      <c r="V447" s="120" t="n"/>
      <c r="W447" s="121" t="n"/>
      <c r="X447" s="121" t="n"/>
    </row>
    <row r="448" ht="17" customHeight="1">
      <c r="A448" s="119" t="inlineStr">
        <is>
          <t>calculate</t>
        </is>
      </c>
      <c r="B448" s="119" t="inlineStr">
        <is>
          <t>suggested_lesson_i</t>
        </is>
      </c>
      <c r="C448" s="122" t="inlineStr">
        <is>
          <t>Returns suggested operation to teach next call, taking into account students not tutored</t>
        </is>
      </c>
      <c r="D448" s="120" t="n"/>
      <c r="E448" s="121" t="n"/>
      <c r="F448" s="121" t="n"/>
      <c r="G448" s="120" t="n"/>
      <c r="H448" s="120" t="n"/>
      <c r="I448" s="122" t="n"/>
      <c r="J448" s="119" t="n"/>
      <c r="K448" s="121" t="n"/>
      <c r="L448" s="120" t="n"/>
      <c r="M448" s="121" t="n"/>
      <c r="N448" s="122" t="inlineStr">
        <is>
          <t>coalesce(${suggested_lesson_next_week}, ${suggested_lesson_this_week}, '1')</t>
        </is>
      </c>
      <c r="O448" s="121" t="n"/>
      <c r="P448" s="121" t="n"/>
      <c r="Q448" s="121" t="n"/>
      <c r="R448" s="121" t="n"/>
      <c r="S448" s="120" t="n"/>
      <c r="T448" s="121" t="n"/>
      <c r="U448" s="120" t="n"/>
      <c r="V448" s="120" t="n"/>
      <c r="W448" s="121" t="n"/>
      <c r="X448" s="121" t="n"/>
    </row>
    <row r="449" ht="17" customHeight="1">
      <c r="A449" s="119" t="inlineStr">
        <is>
          <t>calculate</t>
        </is>
      </c>
      <c r="B449" s="119" t="inlineStr">
        <is>
          <t>suggested_lesson_lab_i</t>
        </is>
      </c>
      <c r="C449" s="122" t="inlineStr">
        <is>
          <t>Returns suggested operation to teach next call, taking into account students not tutored</t>
        </is>
      </c>
      <c r="D449" s="120" t="n"/>
      <c r="E449" s="121" t="n"/>
      <c r="F449" s="121" t="n"/>
      <c r="G449" s="120" t="n"/>
      <c r="H449" s="120" t="n"/>
      <c r="I449" s="122" t="n"/>
      <c r="J449" s="119" t="n"/>
      <c r="K449" s="121" t="n"/>
      <c r="L449" s="120" t="n"/>
      <c r="M449" s="121" t="n"/>
      <c r="N449" s="122" t="inlineStr">
        <is>
          <t>coalesce(${suggested_lesson_next_week_lab}, ${suggested_lesson_this_week_lab}, 'Addition')</t>
        </is>
      </c>
      <c r="O449" s="121" t="n"/>
      <c r="P449" s="121" t="n"/>
      <c r="Q449" s="121" t="n"/>
      <c r="R449" s="121" t="n"/>
      <c r="S449" s="120" t="n"/>
      <c r="T449" s="121" t="n"/>
      <c r="U449" s="120" t="n"/>
      <c r="V449" s="120" t="n"/>
      <c r="W449" s="121" t="n"/>
      <c r="X449" s="121" t="n"/>
    </row>
    <row r="450">
      <c r="A450" s="121" t="n"/>
      <c r="B450" s="121" t="n"/>
      <c r="C450" s="122" t="n"/>
      <c r="D450" s="120" t="n"/>
      <c r="E450" s="121" t="n"/>
      <c r="F450" s="121" t="n"/>
      <c r="G450" s="120" t="n"/>
      <c r="H450" s="120" t="n"/>
      <c r="I450" s="122" t="n"/>
      <c r="J450" s="119" t="n"/>
      <c r="K450" s="121" t="n"/>
      <c r="L450" s="120" t="n"/>
      <c r="M450" s="121" t="n"/>
      <c r="N450" s="120" t="n"/>
      <c r="O450" s="121" t="n"/>
      <c r="P450" s="121" t="n"/>
      <c r="Q450" s="121" t="n"/>
      <c r="R450" s="121" t="n"/>
      <c r="S450" s="120" t="n"/>
      <c r="T450" s="121" t="n"/>
      <c r="U450" s="120" t="n"/>
      <c r="V450" s="120" t="n"/>
      <c r="W450" s="121" t="n"/>
      <c r="X450" s="121" t="n"/>
    </row>
    <row r="451" ht="17" customHeight="1">
      <c r="A451" s="119" t="inlineStr">
        <is>
          <t>begin group</t>
        </is>
      </c>
      <c r="B451" s="119" t="inlineStr">
        <is>
          <t>end_call</t>
        </is>
      </c>
      <c r="C451" s="123" t="inlineStr">
        <is>
          <t>End call</t>
        </is>
      </c>
      <c r="D451" s="120" t="n"/>
      <c r="E451" s="121" t="n"/>
      <c r="F451" s="121" t="n"/>
      <c r="G451" s="120" t="n"/>
      <c r="H451" s="120" t="n"/>
      <c r="I451" s="120" t="n"/>
      <c r="J451" s="121" t="n"/>
      <c r="K451" s="121" t="n"/>
      <c r="L451" s="120" t="n"/>
      <c r="M451" s="121" t="n"/>
      <c r="N451" s="120" t="n"/>
      <c r="O451" s="121" t="n"/>
      <c r="P451" s="121" t="n"/>
      <c r="Q451" s="121" t="n"/>
      <c r="R451" s="121" t="n"/>
      <c r="S451" s="120" t="n"/>
      <c r="T451" s="121" t="n"/>
      <c r="U451" s="120" t="n"/>
      <c r="V451" s="120" t="n"/>
      <c r="W451" s="121" t="n"/>
      <c r="X451" s="121" t="n"/>
    </row>
    <row r="452" ht="51" customHeight="1">
      <c r="A452" s="119" t="inlineStr">
        <is>
          <t>select_multiple disruption</t>
        </is>
      </c>
      <c r="B452" s="119" t="inlineStr">
        <is>
          <t>school_disruptions_i</t>
        </is>
      </c>
      <c r="C452" s="123" t="inlineStr">
        <is>
          <t>&lt;b&gt;&lt;u&gt;This week&lt;/b&gt;&lt;/u&gt;, has this child missed class or school attendance due to the following events?</t>
        </is>
      </c>
      <c r="D452" s="122" t="inlineStr">
        <is>
          <t>Select ALL that apply.</t>
        </is>
      </c>
      <c r="E452" s="121" t="n"/>
      <c r="F452" s="121" t="n"/>
      <c r="G452" s="122" t="inlineStr">
        <is>
          <t>if(selected(., 0), count-selected(.) = 1 , count-selected(.) &gt;= 1)</t>
        </is>
      </c>
      <c r="H452" s="122" t="inlineStr">
        <is>
          <t>WARNING! If selected "No disruptions", can't select other reasons.</t>
        </is>
      </c>
      <c r="I452" s="120" t="n"/>
      <c r="J452" s="121" t="n"/>
      <c r="K452" s="119" t="inlineStr">
        <is>
          <t>yes</t>
        </is>
      </c>
      <c r="L452" s="120" t="n"/>
      <c r="M452" s="121" t="n"/>
      <c r="N452" s="120" t="n"/>
      <c r="O452" s="121" t="n"/>
      <c r="P452" s="121" t="n"/>
      <c r="Q452" s="121" t="n"/>
      <c r="R452" s="121" t="n"/>
      <c r="S452" s="120" t="n"/>
      <c r="T452" s="121" t="n"/>
      <c r="U452" s="120" t="n"/>
      <c r="V452" s="120" t="n"/>
      <c r="W452" s="121" t="n"/>
      <c r="X452" s="121" t="n"/>
    </row>
    <row r="453" ht="17" customHeight="1">
      <c r="A453" s="119" t="inlineStr">
        <is>
          <t>select_one calltech</t>
        </is>
      </c>
      <c r="B453" s="119" t="inlineStr">
        <is>
          <t>call_tool_i</t>
        </is>
      </c>
      <c r="C453" s="123" t="inlineStr">
        <is>
          <t>How did you reach this household?</t>
        </is>
      </c>
      <c r="D453" s="120" t="n"/>
      <c r="E453" s="121" t="n"/>
      <c r="F453" s="121" t="n"/>
      <c r="G453" s="120" t="n"/>
      <c r="H453" s="120" t="n"/>
      <c r="I453" s="120" t="n"/>
      <c r="J453" s="121" t="n"/>
      <c r="K453" s="119" t="inlineStr">
        <is>
          <t>yes</t>
        </is>
      </c>
      <c r="L453" s="120" t="n"/>
      <c r="M453" s="121" t="n"/>
      <c r="N453" s="120" t="n"/>
      <c r="O453" s="121" t="n"/>
      <c r="P453" s="121" t="n"/>
      <c r="Q453" s="121" t="n"/>
      <c r="R453" s="121" t="n"/>
      <c r="S453" s="120" t="n"/>
      <c r="T453" s="121" t="n"/>
      <c r="U453" s="120" t="n"/>
      <c r="V453" s="120" t="n"/>
      <c r="W453" s="121" t="n"/>
      <c r="X453" s="121" t="n"/>
    </row>
    <row r="454" ht="34" customHeight="1">
      <c r="A454" s="119" t="inlineStr">
        <is>
          <t>text</t>
        </is>
      </c>
      <c r="B454" s="119" t="inlineStr">
        <is>
          <t>call_tool_other_i</t>
        </is>
      </c>
      <c r="C454" s="123" t="inlineStr">
        <is>
          <t>In what other way did you reach this household?</t>
        </is>
      </c>
      <c r="D454" s="120" t="n"/>
      <c r="E454" s="121" t="n"/>
      <c r="F454" s="121" t="n"/>
      <c r="G454" s="122" t="inlineStr">
        <is>
          <t>string-length(.) &gt; 2</t>
        </is>
      </c>
      <c r="H454" s="122" t="inlineStr">
        <is>
          <t>Your answer is too short.</t>
        </is>
      </c>
      <c r="I454" s="120" t="n"/>
      <c r="J454" s="121" t="n"/>
      <c r="K454" s="119" t="inlineStr">
        <is>
          <t>yes</t>
        </is>
      </c>
      <c r="L454" s="120" t="n"/>
      <c r="M454" s="121" t="n"/>
      <c r="N454" s="120" t="n"/>
      <c r="O454" s="121" t="n"/>
      <c r="P454" s="121" t="n"/>
      <c r="Q454" s="121" t="n"/>
      <c r="R454" s="121" t="n"/>
      <c r="S454" s="120" t="n"/>
      <c r="T454" s="121" t="n"/>
      <c r="U454" s="120" t="n"/>
      <c r="V454" s="120" t="n"/>
      <c r="W454" s="121" t="n"/>
      <c r="X454" s="121" t="n"/>
    </row>
    <row r="455" ht="17" customHeight="1">
      <c r="A455" s="119" t="inlineStr">
        <is>
          <t>select_one status</t>
        </is>
      </c>
      <c r="B455" s="119" t="inlineStr">
        <is>
          <t>call_status_i</t>
        </is>
      </c>
      <c r="C455" s="123" t="inlineStr">
        <is>
          <t>Please report the status of this call:</t>
        </is>
      </c>
      <c r="D455" s="120" t="n"/>
      <c r="E455" s="121" t="n"/>
      <c r="F455" s="121" t="n"/>
      <c r="G455" s="120" t="n"/>
      <c r="H455" s="120" t="n"/>
      <c r="I455" s="120" t="n"/>
      <c r="J455" s="121" t="n"/>
      <c r="K455" s="119" t="inlineStr">
        <is>
          <t>yes</t>
        </is>
      </c>
      <c r="L455" s="120" t="n"/>
      <c r="M455" s="121" t="n"/>
      <c r="N455" s="120" t="n"/>
      <c r="O455" s="121" t="n"/>
      <c r="P455" s="121" t="n"/>
      <c r="Q455" s="121" t="n"/>
      <c r="R455" s="121" t="n"/>
      <c r="S455" s="120" t="n"/>
      <c r="T455" s="121" t="n"/>
      <c r="U455" s="120" t="n"/>
      <c r="V455" s="120" t="n"/>
      <c r="W455" s="121" t="n"/>
      <c r="X455" s="121" t="n"/>
    </row>
    <row r="456">
      <c r="A456" s="119" t="inlineStr">
        <is>
          <t>calculate</t>
        </is>
      </c>
      <c r="B456" s="119" t="inlineStr">
        <is>
          <t>call_status_lab_i</t>
        </is>
      </c>
      <c r="C456" s="120" t="n"/>
      <c r="D456" s="120" t="n"/>
      <c r="E456" s="121" t="n"/>
      <c r="F456" s="121" t="n"/>
      <c r="G456" s="120" t="n"/>
      <c r="H456" s="120" t="n"/>
      <c r="I456" s="120" t="n"/>
      <c r="J456" s="121" t="n"/>
      <c r="K456" s="121" t="n"/>
      <c r="L456" s="120" t="n"/>
      <c r="M456" s="121" t="n"/>
      <c r="N456" s="122" t="inlineStr">
        <is>
          <t>choice-label(${call_status_i}, ${call_status_i})</t>
        </is>
      </c>
      <c r="O456" s="121" t="n"/>
      <c r="P456" s="121" t="n"/>
      <c r="Q456" s="121" t="n"/>
      <c r="R456" s="121" t="n"/>
      <c r="S456" s="120" t="n"/>
      <c r="T456" s="121" t="n"/>
      <c r="U456" s="120" t="n"/>
      <c r="V456" s="120" t="n"/>
      <c r="W456" s="121" t="n"/>
      <c r="X456" s="121" t="n"/>
    </row>
    <row r="457" ht="17" customHeight="1">
      <c r="A457" s="119" t="inlineStr">
        <is>
          <t>calculate</t>
        </is>
      </c>
      <c r="B457" s="119" t="inlineStr">
        <is>
          <t>reach_i</t>
        </is>
      </c>
      <c r="C457" s="123" t="inlineStr">
        <is>
          <t>1 if household is reached (someone answered the call), 0 otherwise</t>
        </is>
      </c>
      <c r="D457" s="120" t="n"/>
      <c r="E457" s="121" t="n"/>
      <c r="F457" s="121" t="n"/>
      <c r="G457" s="120" t="n"/>
      <c r="H457" s="120" t="n"/>
      <c r="I457" s="120" t="n"/>
      <c r="J457" s="121" t="n"/>
      <c r="K457" s="121" t="n"/>
      <c r="L457" s="120" t="n"/>
      <c r="M457" s="121" t="n"/>
      <c r="N457" s="122" t="inlineStr">
        <is>
          <t>if(${call_status_i} &lt;= 2, '1', '0')</t>
        </is>
      </c>
      <c r="O457" s="121" t="n"/>
      <c r="P457" s="121" t="n"/>
      <c r="Q457" s="121" t="n"/>
      <c r="R457" s="121" t="n"/>
      <c r="S457" s="120" t="n"/>
      <c r="T457" s="121" t="n"/>
      <c r="U457" s="120" t="n"/>
      <c r="V457" s="120" t="n"/>
      <c r="W457" s="121" t="n"/>
      <c r="X457" s="121" t="n"/>
    </row>
    <row r="458" ht="17" customHeight="1">
      <c r="A458" s="119" t="inlineStr">
        <is>
          <t>calculate</t>
        </is>
      </c>
      <c r="B458" s="119" t="inlineStr">
        <is>
          <t>stud_tutored_i</t>
        </is>
      </c>
      <c r="C458" s="123" t="inlineStr">
        <is>
          <t>1 if student is tutored, 0 otherwise</t>
        </is>
      </c>
      <c r="D458" s="120" t="n"/>
      <c r="E458" s="121" t="n"/>
      <c r="F458" s="121" t="n"/>
      <c r="G458" s="120" t="n"/>
      <c r="H458" s="120" t="n"/>
      <c r="I458" s="120" t="n"/>
      <c r="J458" s="121" t="n"/>
      <c r="K458" s="121" t="n"/>
      <c r="L458" s="120" t="n"/>
      <c r="M458" s="121" t="n"/>
      <c r="N458" s="122" t="inlineStr">
        <is>
          <t>if(${operation_taught_num_i} != null, '1', '0')</t>
        </is>
      </c>
      <c r="O458" s="121" t="n"/>
      <c r="P458" s="121" t="n"/>
      <c r="Q458" s="121" t="n"/>
      <c r="R458" s="121" t="n"/>
      <c r="S458" s="120" t="n"/>
      <c r="T458" s="121" t="n"/>
      <c r="U458" s="120" t="n"/>
      <c r="V458" s="120" t="n"/>
      <c r="W458" s="121" t="n"/>
      <c r="X458" s="121" t="n"/>
    </row>
    <row r="459" ht="102" customHeight="1">
      <c r="A459" s="119" t="inlineStr">
        <is>
          <t>note</t>
        </is>
      </c>
      <c r="B459" s="119" t="inlineStr">
        <is>
          <t>warning_status_completed</t>
        </is>
      </c>
      <c r="C459" s="124" t="inlineStr">
        <is>
          <t>&lt;p&gt;&lt;span style="color: #ff0000;"&gt;&lt;strong&gt;WARNING!&lt;/strong&gt;&lt;/span&gt;&lt;br /&gt; &lt;br /&gt;&lt;span style="color: #ff0000;"&gt;&lt;/p&gt;
&lt;p&gt;&lt;span style="color: #ff0000;"&gt;There is no indication that the survey is complete (i.e., caregiver is interviewed and student is levelled). Please go back and change your response accordingly.&lt;/span&gt;&lt;br /&gt; &lt;br /&gt;&lt;span style="color: #ff0000;"&gt;&lt;/p&gt;</t>
        </is>
      </c>
      <c r="D459" s="120" t="n"/>
      <c r="E459" s="121" t="n"/>
      <c r="F459" s="121" t="n"/>
      <c r="G459" s="120" t="n"/>
      <c r="H459" s="120" t="n"/>
      <c r="I459" s="122" t="inlineStr">
        <is>
          <t>selected(${call_status_i}, '1') and ${confirm_stud_avail} != 1</t>
        </is>
      </c>
      <c r="J459" s="121" t="n"/>
      <c r="K459" s="119" t="inlineStr">
        <is>
          <t>yes</t>
        </is>
      </c>
      <c r="L459" s="120" t="n"/>
      <c r="M459" s="121" t="n"/>
      <c r="N459" s="122" t="n"/>
      <c r="O459" s="121" t="n"/>
      <c r="P459" s="121" t="n"/>
      <c r="Q459" s="121" t="n"/>
      <c r="R459" s="121" t="n"/>
      <c r="S459" s="120" t="n"/>
      <c r="T459" s="121" t="n"/>
      <c r="U459" s="120" t="n"/>
      <c r="V459" s="120" t="n"/>
      <c r="W459" s="121" t="n"/>
      <c r="X459" s="121" t="n"/>
    </row>
    <row r="460" ht="102" customHeight="1">
      <c r="A460" s="119" t="inlineStr">
        <is>
          <t>note</t>
        </is>
      </c>
      <c r="B460" s="119" t="inlineStr">
        <is>
          <t>warning_status_resched</t>
        </is>
      </c>
      <c r="C460" s="124" t="inlineStr">
        <is>
          <t>&lt;p&gt;&lt;span style="color: #ff0000;"&gt;&lt;strong&gt;WARNING!&lt;/strong&gt;&lt;/span&gt;&lt;br /&gt; &lt;br /&gt;&lt;span style="color: #ff0000;"&gt;&lt;/p&gt;
&lt;p&gt;&lt;span style="color: #ff0000;"&gt;There is no indication that the caregiver/call recipient re-scheduled the call. Please go back and change your response accordingly.&lt;/span&gt;&lt;br /&gt; &lt;br /&gt;&lt;span style="color: #ff0000;"&gt;&lt;/p&gt;</t>
        </is>
      </c>
      <c r="D460" s="120" t="n"/>
      <c r="E460" s="121" t="n"/>
      <c r="F460" s="121" t="n"/>
      <c r="G460" s="120" t="n"/>
      <c r="H460" s="120" t="n"/>
      <c r="I460" s="122" t="inlineStr">
        <is>
          <t>selected(${call_status_i}, '2') and ${callback_time} = null</t>
        </is>
      </c>
      <c r="J460" s="121" t="n"/>
      <c r="K460" s="119" t="inlineStr">
        <is>
          <t>yes</t>
        </is>
      </c>
      <c r="L460" s="120" t="n"/>
      <c r="M460" s="121" t="n"/>
      <c r="N460" s="122" t="n"/>
      <c r="O460" s="121" t="n"/>
      <c r="P460" s="121" t="n"/>
      <c r="Q460" s="121" t="n"/>
      <c r="R460" s="121" t="n"/>
      <c r="S460" s="120" t="n"/>
      <c r="T460" s="121" t="n"/>
      <c r="U460" s="120" t="n"/>
      <c r="V460" s="120" t="n"/>
      <c r="W460" s="121" t="n"/>
      <c r="X460" s="121" t="n"/>
    </row>
    <row r="461" ht="85" customHeight="1">
      <c r="A461" s="119" t="inlineStr">
        <is>
          <t>note</t>
        </is>
      </c>
      <c r="B461" s="119" t="inlineStr">
        <is>
          <t>warning_status_noanswer</t>
        </is>
      </c>
      <c r="C461" s="124" t="inlineStr">
        <is>
          <t>&lt;p&gt;&lt;span style="color: #ff0000;"&gt;&lt;strong&gt;WARNING!&lt;/strong&gt;&lt;/span&gt;&lt;br /&gt; &lt;br /&gt;&lt;span style="color: #ff0000;"&gt;&lt;/p&gt;
&lt;p&gt;&lt;span style="color: #ff0000;"&gt;There is no indication that the call is not answered. Please go back and change your response accordingly.&lt;/span&gt;&lt;br /&gt; &lt;br /&gt;&lt;span style="color: #ff0000;"&gt;&lt;/p&gt;</t>
        </is>
      </c>
      <c r="D461" s="120" t="n"/>
      <c r="E461" s="121" t="n"/>
      <c r="F461" s="121" t="n"/>
      <c r="G461" s="120" t="n"/>
      <c r="H461" s="120" t="n"/>
      <c r="I461" s="122" t="inlineStr">
        <is>
          <t>selected(${call_status_i}, '3') and not(selected(${phone_call_response}, '3'))</t>
        </is>
      </c>
      <c r="J461" s="121" t="n"/>
      <c r="K461" s="119" t="inlineStr">
        <is>
          <t>yes</t>
        </is>
      </c>
      <c r="L461" s="120" t="n"/>
      <c r="M461" s="121" t="n"/>
      <c r="N461" s="122" t="n"/>
      <c r="O461" s="121" t="n"/>
      <c r="P461" s="121" t="n"/>
      <c r="Q461" s="121" t="n"/>
      <c r="R461" s="121" t="n"/>
      <c r="S461" s="120" t="n"/>
      <c r="T461" s="121" t="n"/>
      <c r="U461" s="120" t="n"/>
      <c r="V461" s="120" t="n"/>
      <c r="W461" s="121" t="n"/>
      <c r="X461" s="121" t="n"/>
    </row>
    <row r="462" ht="102" customHeight="1">
      <c r="A462" s="119" t="inlineStr">
        <is>
          <t>note</t>
        </is>
      </c>
      <c r="B462" s="119" t="inlineStr">
        <is>
          <t>warning_status_refusal</t>
        </is>
      </c>
      <c r="C462" s="124" t="inlineStr">
        <is>
          <t>&lt;p&gt;&lt;span style="color: #ff0000;"&gt;&lt;strong&gt;WARNING!&lt;/strong&gt;&lt;/span&gt;&lt;br /&gt; &lt;br /&gt;&lt;span style="color: #ff0000;"&gt;&lt;/p&gt;
&lt;p&gt;&lt;span style="color: #ff0000;"&gt;There is no indication that the caregiver did not consent to the survey. Please go back and change your response accordingly.&lt;/span&gt;&lt;br /&gt; &lt;br /&gt;&lt;span style="color: #ff0000;"&gt;&lt;/p&gt;</t>
        </is>
      </c>
      <c r="D462" s="120" t="n"/>
      <c r="E462" s="121" t="n"/>
      <c r="F462" s="121" t="n"/>
      <c r="G462" s="120" t="n"/>
      <c r="H462" s="120" t="n"/>
      <c r="I462" s="122" t="inlineStr">
        <is>
          <t>selected(${call_status_i}, '4') and ${stud_avail} != -99</t>
        </is>
      </c>
      <c r="J462" s="121" t="n"/>
      <c r="K462" s="119" t="inlineStr">
        <is>
          <t>yes</t>
        </is>
      </c>
      <c r="L462" s="120" t="n"/>
      <c r="M462" s="121" t="n"/>
      <c r="N462" s="122" t="n"/>
      <c r="O462" s="121" t="n"/>
      <c r="P462" s="121" t="n"/>
      <c r="Q462" s="121" t="n"/>
      <c r="R462" s="121" t="n"/>
      <c r="S462" s="120" t="n"/>
      <c r="T462" s="121" t="n"/>
      <c r="U462" s="120" t="n"/>
      <c r="V462" s="120" t="n"/>
      <c r="W462" s="121" t="n"/>
      <c r="X462" s="121" t="n"/>
    </row>
    <row r="463" ht="85" customHeight="1">
      <c r="A463" s="119" t="inlineStr">
        <is>
          <t>note</t>
        </is>
      </c>
      <c r="B463" s="119" t="inlineStr">
        <is>
          <t>warning_status_wrongno</t>
        </is>
      </c>
      <c r="C463" s="124" t="inlineStr">
        <is>
          <t>&lt;p&gt;&lt;span style="color: #ff0000;"&gt;&lt;strong&gt;WARNING!&lt;/strong&gt;&lt;/span&gt;&lt;br /&gt; &lt;br /&gt;&lt;span style="color: #ff0000;"&gt;&lt;/p&gt;
&lt;p&gt;&lt;span style="color: #ff0000;"&gt;There is no indication that the phone number is wrong or invalid. Please go back and change your response accordingly.&lt;/span&gt;&lt;br /&gt; &lt;br /&gt;&lt;span style="color: #ff0000;"&gt;&lt;/p&gt;</t>
        </is>
      </c>
      <c r="D463" s="120" t="n"/>
      <c r="E463" s="121" t="n"/>
      <c r="F463" s="121" t="n"/>
      <c r="G463" s="120" t="n"/>
      <c r="H463" s="120" t="n"/>
      <c r="I463" s="122" t="inlineStr">
        <is>
          <t>selected(${call_status_i}, '5') and not(selected(${phone_call_response}, '4'))</t>
        </is>
      </c>
      <c r="J463" s="121" t="n"/>
      <c r="K463" s="119" t="inlineStr">
        <is>
          <t>yes</t>
        </is>
      </c>
      <c r="L463" s="120" t="n"/>
      <c r="M463" s="121" t="n"/>
      <c r="N463" s="122" t="n"/>
      <c r="O463" s="121" t="n"/>
      <c r="P463" s="121" t="n"/>
      <c r="Q463" s="121" t="n"/>
      <c r="R463" s="121" t="n"/>
      <c r="S463" s="120" t="n"/>
      <c r="T463" s="121" t="n"/>
      <c r="U463" s="120" t="n"/>
      <c r="V463" s="120" t="n"/>
      <c r="W463" s="121" t="n"/>
      <c r="X463" s="121" t="n"/>
    </row>
    <row r="464">
      <c r="A464" s="119" t="inlineStr">
        <is>
          <t>end group</t>
        </is>
      </c>
      <c r="B464" s="119" t="inlineStr">
        <is>
          <t>end_call</t>
        </is>
      </c>
      <c r="C464" s="120" t="n"/>
      <c r="D464" s="120" t="n"/>
      <c r="E464" s="121" t="n"/>
      <c r="F464" s="121" t="n"/>
      <c r="G464" s="120" t="n"/>
      <c r="H464" s="120" t="n"/>
      <c r="I464" s="120" t="n"/>
      <c r="J464" s="121" t="n"/>
      <c r="K464" s="121" t="n"/>
      <c r="L464" s="120" t="n"/>
      <c r="M464" s="121" t="n"/>
      <c r="N464" s="120" t="n"/>
      <c r="O464" s="121" t="n"/>
      <c r="P464" s="121" t="n"/>
      <c r="Q464" s="121" t="n"/>
      <c r="R464" s="121" t="n"/>
      <c r="S464" s="120" t="n"/>
      <c r="T464" s="121" t="n"/>
      <c r="U464" s="120" t="n"/>
      <c r="V464" s="120" t="n"/>
      <c r="W464" s="121" t="n"/>
      <c r="X464" s="121" t="n"/>
    </row>
    <row r="465">
      <c r="A465" s="121" t="n"/>
      <c r="B465" s="121" t="n"/>
      <c r="C465" s="120" t="n"/>
      <c r="D465" s="120" t="n"/>
      <c r="E465" s="121" t="n"/>
      <c r="F465" s="121" t="n"/>
      <c r="G465" s="120" t="n"/>
      <c r="H465" s="120" t="n"/>
      <c r="I465" s="120" t="n"/>
      <c r="J465" s="121" t="n"/>
      <c r="K465" s="121" t="n"/>
      <c r="L465" s="120" t="n"/>
      <c r="M465" s="121" t="n"/>
      <c r="N465" s="120" t="n"/>
      <c r="O465" s="121" t="n"/>
      <c r="P465" s="121" t="n"/>
      <c r="Q465" s="121" t="n"/>
      <c r="R465" s="121" t="n"/>
      <c r="S465" s="120" t="n"/>
      <c r="T465" s="121" t="n"/>
      <c r="U465" s="120" t="n"/>
      <c r="V465" s="120" t="n"/>
      <c r="W465" s="121" t="n"/>
      <c r="X465" s="121" t="n"/>
    </row>
    <row r="466" ht="17" customHeight="1">
      <c r="A466" s="119" t="inlineStr">
        <is>
          <t>calculate_here</t>
        </is>
      </c>
      <c r="B466" s="119" t="inlineStr">
        <is>
          <t>survey_end_ts</t>
        </is>
      </c>
      <c r="C466" s="123" t="inlineStr">
        <is>
          <t>Calculates actual end time of survey (after call status is inputted)</t>
        </is>
      </c>
      <c r="D466" s="120" t="n"/>
      <c r="E466" s="121" t="n"/>
      <c r="F466" s="121" t="n"/>
      <c r="G466" s="120" t="n"/>
      <c r="H466" s="120" t="n"/>
      <c r="I466" s="120" t="n"/>
      <c r="J466" s="121" t="n"/>
      <c r="K466" s="121" t="n"/>
      <c r="L466" s="120" t="n"/>
      <c r="M466" s="121" t="n"/>
      <c r="N466" s="122" t="inlineStr">
        <is>
          <t>once(duration())</t>
        </is>
      </c>
      <c r="O466" s="121" t="n"/>
      <c r="P466" s="121" t="n"/>
      <c r="Q466" s="121" t="n"/>
      <c r="R466" s="121" t="n"/>
      <c r="S466" s="120" t="n"/>
      <c r="T466" s="121" t="n"/>
      <c r="U466" s="120" t="n"/>
      <c r="V466" s="120" t="n"/>
      <c r="W466" s="121" t="n"/>
      <c r="X466" s="121" t="n"/>
    </row>
    <row r="467" ht="170" customHeight="1">
      <c r="A467" s="119" t="inlineStr">
        <is>
          <t>note</t>
        </is>
      </c>
      <c r="B467" s="119" t="inlineStr">
        <is>
          <t>test_wx_done</t>
        </is>
      </c>
      <c r="C467" s="123" t="inlineStr">
        <is>
          <t>&lt;b&gt;DISABLE AFTER TESTING:&lt;/b&gt;
&lt;br&gt;&lt;br&gt;
Week: ${week} &lt;br&gt;&lt;br&gt;
tutored_w1_prev: ${tutored_w1_prev} &lt;br&gt;&lt;br&gt;
w1_done: ${w1_done} &lt;br&gt;&lt;br&gt;
tutored_w2_prev: ${tutored_w2_prev} &lt;br&gt;&lt;br&gt;
w2_done: ${w2_done} &lt;br&gt;&lt;br&gt;
w3_done: ${w3_done} &lt;br&gt;&lt;br&gt;</t>
        </is>
      </c>
      <c r="D467" s="120" t="n"/>
      <c r="E467" s="121" t="n"/>
      <c r="F467" s="121" t="n"/>
      <c r="G467" s="120" t="n"/>
      <c r="H467" s="120" t="n"/>
      <c r="I467" s="120" t="n"/>
      <c r="J467" s="119" t="inlineStr">
        <is>
          <t>yes</t>
        </is>
      </c>
      <c r="K467" s="121" t="n"/>
      <c r="L467" s="120" t="n"/>
      <c r="M467" s="121" t="n"/>
      <c r="N467" s="120" t="n"/>
      <c r="O467" s="121" t="n"/>
      <c r="P467" s="121" t="n"/>
      <c r="Q467" s="121" t="n"/>
      <c r="R467" s="121" t="n"/>
      <c r="S467" s="120" t="n"/>
      <c r="T467" s="121" t="n"/>
      <c r="U467" s="120" t="n"/>
      <c r="V467" s="120" t="n"/>
      <c r="W467" s="121" t="n"/>
      <c r="X467" s="121" t="n"/>
    </row>
    <row r="468" ht="17" customHeight="1">
      <c r="A468" s="119" t="inlineStr">
        <is>
          <t>text</t>
        </is>
      </c>
      <c r="B468" s="119" t="inlineStr">
        <is>
          <t>fac_comments</t>
        </is>
      </c>
      <c r="C468" s="123" t="inlineStr">
        <is>
          <t>Do you have any comments you would like to record?</t>
        </is>
      </c>
      <c r="D468" s="120" t="n"/>
      <c r="E468" s="121" t="n"/>
      <c r="F468" s="121" t="n"/>
      <c r="G468" s="120" t="n"/>
      <c r="H468" s="120" t="n"/>
      <c r="I468" s="120" t="n"/>
      <c r="J468" s="121" t="n"/>
      <c r="K468" s="121" t="n"/>
      <c r="L468" s="120" t="n"/>
      <c r="M468" s="121" t="n"/>
      <c r="N468" s="120" t="n"/>
      <c r="O468" s="121" t="n"/>
      <c r="P468" s="121" t="n"/>
      <c r="Q468" s="121" t="n"/>
      <c r="R468" s="121" t="n"/>
      <c r="S468" s="120" t="n"/>
      <c r="T468" s="121" t="n"/>
      <c r="U468" s="120" t="n"/>
      <c r="V468" s="120" t="n"/>
      <c r="W468" s="121" t="n"/>
      <c r="X468" s="121" t="n"/>
    </row>
    <row r="469" ht="109.25" customHeight="1">
      <c r="A469" s="119" t="inlineStr">
        <is>
          <t>note</t>
        </is>
      </c>
      <c r="B469" s="119" t="inlineStr">
        <is>
          <t>thankyou</t>
        </is>
      </c>
      <c r="C469" s="123" t="inlineStr">
        <is>
          <t>Thank you for completing this form and for being a part of mEducation!</t>
        </is>
      </c>
      <c r="D469" s="120" t="n"/>
      <c r="E469" s="121" t="n"/>
      <c r="F469" s="119" t="inlineStr">
        <is>
          <t>thankyou</t>
        </is>
      </c>
      <c r="G469" s="120" t="n"/>
      <c r="H469" s="120" t="n"/>
      <c r="I469" s="120" t="n"/>
      <c r="J469" s="121" t="n"/>
      <c r="K469" s="121" t="n"/>
      <c r="L469" s="120" t="n"/>
      <c r="M469" s="121" t="n"/>
      <c r="N469" s="120" t="n"/>
      <c r="O469" s="121" t="n"/>
      <c r="P469" s="121" t="n"/>
      <c r="Q469" s="121" t="n"/>
      <c r="R469" s="121" t="n"/>
      <c r="S469" s="120" t="n"/>
      <c r="T469" s="121" t="n"/>
      <c r="U469" s="120" t="n"/>
      <c r="V469" s="120" t="n"/>
      <c r="W469" s="121" t="n"/>
      <c r="X469" s="121" t="n"/>
    </row>
    <row r="470">
      <c r="A470" s="121" t="n"/>
      <c r="B470" s="121" t="n"/>
      <c r="C470" s="120" t="n"/>
      <c r="D470" s="120" t="n"/>
      <c r="E470" s="121" t="n"/>
      <c r="F470" s="121" t="n"/>
      <c r="G470" s="120" t="n"/>
      <c r="H470" s="120" t="n"/>
      <c r="I470" s="120" t="n"/>
      <c r="J470" s="121" t="n"/>
      <c r="K470" s="121" t="n"/>
      <c r="L470" s="120" t="n"/>
      <c r="M470" s="121" t="n"/>
      <c r="N470" s="120" t="n"/>
      <c r="O470" s="121" t="n"/>
      <c r="P470" s="121" t="n"/>
      <c r="Q470" s="121" t="n"/>
      <c r="R470" s="121" t="n"/>
      <c r="S470" s="120" t="n"/>
      <c r="T470" s="121" t="n"/>
      <c r="U470" s="120" t="n"/>
      <c r="V470" s="120" t="n"/>
      <c r="W470" s="121" t="n"/>
      <c r="X470" s="121" t="n"/>
    </row>
    <row r="471" ht="17" customHeight="1">
      <c r="A471" s="119" t="inlineStr">
        <is>
          <t>calculate</t>
        </is>
      </c>
      <c r="B471" s="119" t="inlineStr">
        <is>
          <t>add_call</t>
        </is>
      </c>
      <c r="C471" s="123" t="inlineStr">
        <is>
          <t>Used for "Add" publishing to add to 'num_calls' in the server/cases dataset</t>
        </is>
      </c>
      <c r="D471" s="120" t="n"/>
      <c r="E471" s="121" t="n"/>
      <c r="F471" s="121" t="n"/>
      <c r="G471" s="120" t="n"/>
      <c r="H471" s="120" t="n"/>
      <c r="I471" s="120" t="n"/>
      <c r="J471" s="121" t="n"/>
      <c r="K471" s="121" t="n"/>
      <c r="L471" s="120" t="n"/>
      <c r="M471" s="121" t="n"/>
      <c r="N471" s="122" t="n">
        <v>1</v>
      </c>
      <c r="O471" s="121" t="n"/>
      <c r="P471" s="121" t="n"/>
      <c r="Q471" s="121" t="n"/>
      <c r="R471" s="121" t="n"/>
      <c r="S471" s="120" t="n"/>
      <c r="T471" s="121" t="n"/>
      <c r="U471" s="120" t="n"/>
      <c r="V471" s="120" t="n"/>
      <c r="W471" s="121" t="n"/>
      <c r="X471" s="121" t="n"/>
    </row>
    <row r="472" ht="17" customHeight="1">
      <c r="A472" s="119" t="inlineStr">
        <is>
          <t>calculate</t>
        </is>
      </c>
      <c r="B472" s="119" t="inlineStr">
        <is>
          <t>w1</t>
        </is>
      </c>
      <c r="C472" s="123" t="inlineStr">
        <is>
          <t>Returns "1" if week = 1</t>
        </is>
      </c>
      <c r="D472" s="120" t="n"/>
      <c r="E472" s="121" t="n"/>
      <c r="F472" s="121" t="n"/>
      <c r="G472" s="120" t="n"/>
      <c r="H472" s="120" t="n"/>
      <c r="I472" s="120" t="n"/>
      <c r="J472" s="121" t="n"/>
      <c r="K472" s="121" t="n"/>
      <c r="L472" s="120" t="n"/>
      <c r="M472" s="121" t="n"/>
      <c r="N472" s="122" t="inlineStr">
        <is>
          <t>if(${week} = 1, '1', '')</t>
        </is>
      </c>
      <c r="O472" s="121" t="n"/>
      <c r="P472" s="121" t="n"/>
      <c r="Q472" s="121" t="n"/>
      <c r="R472" s="121" t="n"/>
      <c r="S472" s="120" t="n"/>
      <c r="T472" s="121" t="n"/>
      <c r="U472" s="120" t="n"/>
      <c r="V472" s="120" t="n"/>
      <c r="W472" s="121" t="n"/>
      <c r="X472" s="121" t="n"/>
    </row>
    <row r="473" ht="17" customHeight="1">
      <c r="A473" s="119" t="inlineStr">
        <is>
          <t>calculate</t>
        </is>
      </c>
      <c r="B473" s="119" t="inlineStr">
        <is>
          <t>w2</t>
        </is>
      </c>
      <c r="C473" s="123" t="inlineStr">
        <is>
          <t>Returns "1" if week = 2</t>
        </is>
      </c>
      <c r="D473" s="120" t="n"/>
      <c r="E473" s="121" t="n"/>
      <c r="F473" s="121" t="n"/>
      <c r="G473" s="120" t="n"/>
      <c r="H473" s="120" t="n"/>
      <c r="I473" s="120" t="n"/>
      <c r="J473" s="121" t="n"/>
      <c r="K473" s="121" t="n"/>
      <c r="L473" s="120" t="n"/>
      <c r="M473" s="121" t="n"/>
      <c r="N473" s="122" t="inlineStr">
        <is>
          <t>if(${week} = 2, '1', '')</t>
        </is>
      </c>
      <c r="O473" s="121" t="n"/>
      <c r="P473" s="121" t="n"/>
      <c r="Q473" s="121" t="n"/>
      <c r="R473" s="121" t="n"/>
      <c r="S473" s="120" t="n"/>
      <c r="T473" s="121" t="n"/>
      <c r="U473" s="120" t="n"/>
      <c r="V473" s="120" t="n"/>
      <c r="W473" s="121" t="n"/>
      <c r="X473" s="121" t="n"/>
    </row>
    <row r="474" ht="17" customHeight="1">
      <c r="A474" s="119" t="inlineStr">
        <is>
          <t>calculate</t>
        </is>
      </c>
      <c r="B474" s="119" t="inlineStr">
        <is>
          <t>w3</t>
        </is>
      </c>
      <c r="C474" s="123" t="inlineStr">
        <is>
          <t>Returns "1" if week = 3</t>
        </is>
      </c>
      <c r="D474" s="120" t="n"/>
      <c r="E474" s="121" t="n"/>
      <c r="F474" s="121" t="n"/>
      <c r="G474" s="120" t="n"/>
      <c r="H474" s="120" t="n"/>
      <c r="I474" s="120" t="n"/>
      <c r="J474" s="121" t="n"/>
      <c r="K474" s="121" t="n"/>
      <c r="L474" s="120" t="n"/>
      <c r="M474" s="121" t="n"/>
      <c r="N474" s="122" t="inlineStr">
        <is>
          <t>if(${week} = 3, '1', '')</t>
        </is>
      </c>
      <c r="O474" s="121" t="n"/>
      <c r="P474" s="121" t="n"/>
      <c r="Q474" s="121" t="n"/>
      <c r="R474" s="121" t="n"/>
      <c r="S474" s="120" t="n"/>
      <c r="T474" s="121" t="n"/>
      <c r="U474" s="120" t="n"/>
      <c r="V474" s="120" t="n"/>
      <c r="W474" s="121" t="n"/>
      <c r="X474" s="121" t="n"/>
    </row>
    <row r="475" ht="17" customHeight="1">
      <c r="A475" s="119" t="inlineStr">
        <is>
          <t>calculate</t>
        </is>
      </c>
      <c r="B475" s="119" t="inlineStr">
        <is>
          <t>w4</t>
        </is>
      </c>
      <c r="C475" s="123" t="inlineStr">
        <is>
          <t>Returns "1" if week = 4</t>
        </is>
      </c>
      <c r="D475" s="120" t="n"/>
      <c r="E475" s="121" t="n"/>
      <c r="F475" s="121" t="n"/>
      <c r="G475" s="120" t="n"/>
      <c r="H475" s="120" t="n"/>
      <c r="I475" s="120" t="n"/>
      <c r="J475" s="121" t="n"/>
      <c r="K475" s="121" t="n"/>
      <c r="L475" s="120" t="n"/>
      <c r="M475" s="121" t="n"/>
      <c r="N475" s="122" t="inlineStr">
        <is>
          <t>if(${week} = 4, '1', '')</t>
        </is>
      </c>
      <c r="O475" s="121" t="n"/>
      <c r="P475" s="121" t="n"/>
      <c r="Q475" s="121" t="n"/>
      <c r="R475" s="121" t="n"/>
      <c r="S475" s="120" t="n"/>
      <c r="T475" s="121" t="n"/>
      <c r="U475" s="120" t="n"/>
      <c r="V475" s="120" t="n"/>
      <c r="W475" s="121" t="n"/>
      <c r="X475" s="121" t="n"/>
    </row>
    <row r="476" ht="17" customHeight="1">
      <c r="A476" s="119" t="inlineStr">
        <is>
          <t>calculate</t>
        </is>
      </c>
      <c r="B476" s="119" t="inlineStr">
        <is>
          <t>w5</t>
        </is>
      </c>
      <c r="C476" s="123" t="inlineStr">
        <is>
          <t>Returns "1" if week = 5</t>
        </is>
      </c>
      <c r="D476" s="120" t="n"/>
      <c r="E476" s="121" t="n"/>
      <c r="F476" s="121" t="n"/>
      <c r="G476" s="120" t="n"/>
      <c r="H476" s="120" t="n"/>
      <c r="I476" s="120" t="n"/>
      <c r="J476" s="121" t="n"/>
      <c r="K476" s="121" t="n"/>
      <c r="L476" s="120" t="n"/>
      <c r="M476" s="121" t="n"/>
      <c r="N476" s="122" t="inlineStr">
        <is>
          <t>if(${week} = 5, '1', '')</t>
        </is>
      </c>
      <c r="O476" s="121" t="n"/>
      <c r="P476" s="121" t="n"/>
      <c r="Q476" s="121" t="n"/>
      <c r="R476" s="121" t="n"/>
      <c r="S476" s="120" t="n"/>
      <c r="T476" s="121" t="n"/>
      <c r="U476" s="120" t="n"/>
      <c r="V476" s="120" t="n"/>
      <c r="W476" s="121" t="n"/>
      <c r="X476" s="121" t="n"/>
    </row>
    <row r="477" ht="17" customHeight="1">
      <c r="A477" s="119" t="inlineStr">
        <is>
          <t>calculate</t>
        </is>
      </c>
      <c r="B477" s="119" t="inlineStr">
        <is>
          <t>w6</t>
        </is>
      </c>
      <c r="C477" s="123" t="inlineStr">
        <is>
          <t>Returns "1" if week = 6</t>
        </is>
      </c>
      <c r="D477" s="120" t="n"/>
      <c r="E477" s="121" t="n"/>
      <c r="F477" s="121" t="n"/>
      <c r="G477" s="120" t="n"/>
      <c r="H477" s="120" t="n"/>
      <c r="I477" s="120" t="n"/>
      <c r="J477" s="121" t="n"/>
      <c r="K477" s="121" t="n"/>
      <c r="L477" s="120" t="n"/>
      <c r="M477" s="121" t="n"/>
      <c r="N477" s="122" t="inlineStr">
        <is>
          <t>if(${week} = 6, '1', '')</t>
        </is>
      </c>
      <c r="O477" s="121" t="n"/>
      <c r="P477" s="121" t="n"/>
      <c r="Q477" s="121" t="n"/>
      <c r="R477" s="121" t="n"/>
      <c r="S477" s="120" t="n"/>
      <c r="T477" s="121" t="n"/>
      <c r="U477" s="120" t="n"/>
      <c r="V477" s="120" t="n"/>
      <c r="W477" s="121" t="n"/>
      <c r="X477" s="121" t="n"/>
    </row>
    <row r="478" ht="17" customHeight="1">
      <c r="A478" s="119" t="inlineStr">
        <is>
          <t>calculate</t>
        </is>
      </c>
      <c r="B478" s="119" t="inlineStr">
        <is>
          <t>w7</t>
        </is>
      </c>
      <c r="C478" s="123" t="inlineStr">
        <is>
          <t>Returns "1" if week = 7</t>
        </is>
      </c>
      <c r="D478" s="120" t="n"/>
      <c r="E478" s="121" t="n"/>
      <c r="F478" s="121" t="n"/>
      <c r="G478" s="120" t="n"/>
      <c r="H478" s="120" t="n"/>
      <c r="I478" s="120" t="n"/>
      <c r="J478" s="121" t="n"/>
      <c r="K478" s="121" t="n"/>
      <c r="L478" s="120" t="n"/>
      <c r="M478" s="121" t="n"/>
      <c r="N478" s="122" t="inlineStr">
        <is>
          <t>if(${week} = 7, '1', '')</t>
        </is>
      </c>
      <c r="O478" s="121" t="n"/>
      <c r="P478" s="121" t="n"/>
      <c r="Q478" s="121" t="n"/>
      <c r="R478" s="121" t="n"/>
      <c r="S478" s="120" t="n"/>
      <c r="T478" s="121" t="n"/>
      <c r="U478" s="120" t="n"/>
      <c r="V478" s="120" t="n"/>
      <c r="W478" s="121" t="n"/>
      <c r="X478" s="121" t="n"/>
    </row>
    <row r="479" ht="17" customHeight="1">
      <c r="A479" s="119" t="inlineStr">
        <is>
          <t>calculate</t>
        </is>
      </c>
      <c r="B479" s="119" t="inlineStr">
        <is>
          <t>w8</t>
        </is>
      </c>
      <c r="C479" s="123" t="inlineStr">
        <is>
          <t>Returns "1" if week = 8</t>
        </is>
      </c>
      <c r="D479" s="120" t="n"/>
      <c r="E479" s="121" t="n"/>
      <c r="F479" s="121" t="n"/>
      <c r="G479" s="120" t="n"/>
      <c r="H479" s="120" t="n"/>
      <c r="I479" s="120" t="n"/>
      <c r="J479" s="121" t="n"/>
      <c r="K479" s="121" t="n"/>
      <c r="L479" s="120" t="n"/>
      <c r="M479" s="121" t="n"/>
      <c r="N479" s="122" t="inlineStr">
        <is>
          <t>if(${week} = 8, '1', '')</t>
        </is>
      </c>
      <c r="O479" s="121" t="n"/>
      <c r="P479" s="121" t="n"/>
      <c r="Q479" s="121" t="n"/>
      <c r="R479" s="121" t="n"/>
      <c r="S479" s="120" t="n"/>
      <c r="T479" s="121" t="n"/>
      <c r="U479" s="120" t="n"/>
      <c r="V479" s="120" t="n"/>
      <c r="W479" s="121" t="n"/>
      <c r="X479" s="121" t="n"/>
    </row>
    <row r="480">
      <c r="A480" s="121" t="n"/>
      <c r="B480" s="121" t="n"/>
      <c r="C480" s="120" t="n"/>
      <c r="D480" s="120" t="n"/>
      <c r="E480" s="121" t="n"/>
      <c r="F480" s="121" t="n"/>
      <c r="G480" s="120" t="n"/>
      <c r="H480" s="120" t="n"/>
      <c r="I480" s="120" t="n"/>
      <c r="J480" s="121" t="n"/>
      <c r="K480" s="121" t="n"/>
      <c r="L480" s="120" t="n"/>
      <c r="M480" s="121" t="n"/>
      <c r="N480" s="120" t="n"/>
      <c r="O480" s="121" t="n"/>
      <c r="P480" s="121" t="n"/>
      <c r="Q480" s="121" t="n"/>
      <c r="R480" s="121" t="n"/>
      <c r="S480" s="120" t="n"/>
      <c r="T480" s="121" t="n"/>
      <c r="U480" s="120" t="n"/>
      <c r="V480" s="120" t="n"/>
      <c r="W480" s="121" t="n"/>
      <c r="X480" s="121" t="n"/>
    </row>
    <row r="481" ht="17" customHeight="1">
      <c r="A481" s="119" t="inlineStr">
        <is>
          <t>calculate</t>
        </is>
      </c>
      <c r="B481" s="119" t="inlineStr">
        <is>
          <t>w1_done</t>
        </is>
      </c>
      <c r="C481" s="123" t="inlineStr">
        <is>
          <t>Returns "1" if student was tutored in week 1</t>
        </is>
      </c>
      <c r="D481" s="120" t="n"/>
      <c r="E481" s="121" t="n"/>
      <c r="F481" s="121" t="n"/>
      <c r="G481" s="120" t="n"/>
      <c r="H481" s="120" t="n"/>
      <c r="I481" s="120" t="n"/>
      <c r="J481" s="121" t="n"/>
      <c r="K481" s="121" t="n"/>
      <c r="L481" s="120" t="n"/>
      <c r="M481" s="121" t="n"/>
      <c r="N481" s="122" t="inlineStr">
        <is>
          <t>if(${week} = 1 and selected(${call_status_i}, 1), '1', ${tutored_w1_prev})</t>
        </is>
      </c>
      <c r="O481" s="121" t="n"/>
      <c r="P481" s="121" t="n"/>
      <c r="Q481" s="121" t="n"/>
      <c r="R481" s="121" t="n"/>
      <c r="S481" s="120" t="n"/>
      <c r="T481" s="121" t="n"/>
      <c r="U481" s="120" t="n"/>
      <c r="V481" s="120" t="n"/>
      <c r="W481" s="121" t="n"/>
      <c r="X481" s="121" t="n"/>
    </row>
    <row r="482" ht="17" customHeight="1">
      <c r="A482" s="119" t="inlineStr">
        <is>
          <t>calculate</t>
        </is>
      </c>
      <c r="B482" s="119" t="inlineStr">
        <is>
          <t>w2_done</t>
        </is>
      </c>
      <c r="C482" s="123" t="inlineStr">
        <is>
          <t>Returns "1" if student was tutored in week 2</t>
        </is>
      </c>
      <c r="D482" s="120" t="n"/>
      <c r="E482" s="121" t="n"/>
      <c r="F482" s="121" t="n"/>
      <c r="G482" s="120" t="n"/>
      <c r="H482" s="120" t="n"/>
      <c r="I482" s="120" t="n"/>
      <c r="J482" s="121" t="n"/>
      <c r="K482" s="121" t="n"/>
      <c r="L482" s="120" t="n"/>
      <c r="M482" s="121" t="n"/>
      <c r="N482" s="122" t="inlineStr">
        <is>
          <t>if(${week} = 2 and selected(${call_status_i}, 1), '1', ${tutored_w2_prev})</t>
        </is>
      </c>
      <c r="O482" s="121" t="n"/>
      <c r="P482" s="121" t="n"/>
      <c r="Q482" s="121" t="n"/>
      <c r="R482" s="121" t="n"/>
      <c r="S482" s="120" t="n"/>
      <c r="T482" s="121" t="n"/>
      <c r="U482" s="120" t="n"/>
      <c r="V482" s="120" t="n"/>
      <c r="W482" s="121" t="n"/>
      <c r="X482" s="121" t="n"/>
    </row>
    <row r="483" ht="17" customHeight="1">
      <c r="A483" s="119" t="inlineStr">
        <is>
          <t>calculate</t>
        </is>
      </c>
      <c r="B483" s="119" t="inlineStr">
        <is>
          <t>w3_done</t>
        </is>
      </c>
      <c r="C483" s="123" t="inlineStr">
        <is>
          <t>Returns "1" if student was tutored in week 3</t>
        </is>
      </c>
      <c r="D483" s="120" t="n"/>
      <c r="E483" s="121" t="n"/>
      <c r="F483" s="121" t="n"/>
      <c r="G483" s="120" t="n"/>
      <c r="H483" s="120" t="n"/>
      <c r="I483" s="120" t="n"/>
      <c r="J483" s="121" t="n"/>
      <c r="K483" s="121" t="n"/>
      <c r="L483" s="120" t="n"/>
      <c r="M483" s="121" t="n"/>
      <c r="N483" s="122" t="inlineStr">
        <is>
          <t>if(${week} = 3 and selected(${call_status_i}, 1), '1', ${tutored_w3_prev})</t>
        </is>
      </c>
      <c r="O483" s="121" t="n"/>
      <c r="P483" s="121" t="n"/>
      <c r="Q483" s="121" t="n"/>
      <c r="R483" s="121" t="n"/>
      <c r="S483" s="120" t="n"/>
      <c r="T483" s="121" t="n"/>
      <c r="U483" s="120" t="n"/>
      <c r="V483" s="120" t="n"/>
      <c r="W483" s="121" t="n"/>
      <c r="X483" s="121" t="n"/>
    </row>
    <row r="484" ht="17" customHeight="1">
      <c r="A484" s="119" t="inlineStr">
        <is>
          <t>calculate</t>
        </is>
      </c>
      <c r="B484" s="119" t="inlineStr">
        <is>
          <t>w4_done</t>
        </is>
      </c>
      <c r="C484" s="123" t="inlineStr">
        <is>
          <t>Returns "1" if student was tutored in week 4</t>
        </is>
      </c>
      <c r="D484" s="120" t="n"/>
      <c r="E484" s="121" t="n"/>
      <c r="F484" s="121" t="n"/>
      <c r="G484" s="120" t="n"/>
      <c r="H484" s="120" t="n"/>
      <c r="I484" s="120" t="n"/>
      <c r="J484" s="121" t="n"/>
      <c r="K484" s="121" t="n"/>
      <c r="L484" s="120" t="n"/>
      <c r="M484" s="121" t="n"/>
      <c r="N484" s="133" t="inlineStr">
        <is>
          <t>if(${week} = 4 and selected(${call_status_i}, 1), '1', ${tutored_w4_prev})</t>
        </is>
      </c>
      <c r="O484" s="121" t="n"/>
      <c r="P484" s="121" t="n"/>
      <c r="Q484" s="121" t="n"/>
      <c r="R484" s="121" t="n"/>
      <c r="S484" s="120" t="n"/>
      <c r="T484" s="121" t="n"/>
      <c r="U484" s="120" t="n"/>
      <c r="V484" s="120" t="n"/>
      <c r="W484" s="121" t="n"/>
      <c r="X484" s="121" t="n"/>
    </row>
    <row r="485" ht="17" customHeight="1">
      <c r="A485" s="119" t="inlineStr">
        <is>
          <t>calculate</t>
        </is>
      </c>
      <c r="B485" s="119" t="inlineStr">
        <is>
          <t>w5_done</t>
        </is>
      </c>
      <c r="C485" s="123" t="inlineStr">
        <is>
          <t>Returns "1" if student was tutored in week 5</t>
        </is>
      </c>
      <c r="D485" s="120" t="n"/>
      <c r="E485" s="121" t="n"/>
      <c r="F485" s="121" t="n"/>
      <c r="G485" s="120" t="n"/>
      <c r="H485" s="120" t="n"/>
      <c r="I485" s="120" t="n"/>
      <c r="J485" s="121" t="n"/>
      <c r="K485" s="121" t="n"/>
      <c r="L485" s="120" t="n"/>
      <c r="M485" s="121" t="n"/>
      <c r="N485" s="133" t="inlineStr">
        <is>
          <t>if(${week} = 5 and selected(${call_status_i}, 1), '1', ${tutored_w5_prev})</t>
        </is>
      </c>
      <c r="O485" s="121" t="n"/>
      <c r="P485" s="121" t="n"/>
      <c r="Q485" s="121" t="n"/>
      <c r="R485" s="121" t="n"/>
      <c r="S485" s="120" t="n"/>
      <c r="T485" s="121" t="n"/>
      <c r="U485" s="120" t="n"/>
      <c r="V485" s="120" t="n"/>
      <c r="W485" s="121" t="n"/>
      <c r="X485" s="121" t="n"/>
    </row>
    <row r="486" ht="17" customHeight="1">
      <c r="A486" s="119" t="inlineStr">
        <is>
          <t>calculate</t>
        </is>
      </c>
      <c r="B486" s="119" t="inlineStr">
        <is>
          <t>w6_done</t>
        </is>
      </c>
      <c r="C486" s="123" t="inlineStr">
        <is>
          <t>Returns "1" if student was tutored in week 6</t>
        </is>
      </c>
      <c r="D486" s="120" t="n"/>
      <c r="E486" s="121" t="n"/>
      <c r="F486" s="121" t="n"/>
      <c r="G486" s="120" t="n"/>
      <c r="H486" s="120" t="n"/>
      <c r="I486" s="120" t="n"/>
      <c r="J486" s="121" t="n"/>
      <c r="K486" s="121" t="n"/>
      <c r="L486" s="120" t="n"/>
      <c r="M486" s="121" t="n"/>
      <c r="N486" s="133" t="inlineStr">
        <is>
          <t>if(${week} = 6 and selected(${call_status_i}, 1), '1', ${tutored_w6_prev})</t>
        </is>
      </c>
      <c r="O486" s="121" t="n"/>
      <c r="P486" s="121" t="n"/>
      <c r="Q486" s="121" t="n"/>
      <c r="R486" s="121" t="n"/>
      <c r="S486" s="120" t="n"/>
      <c r="T486" s="121" t="n"/>
      <c r="U486" s="120" t="n"/>
      <c r="V486" s="120" t="n"/>
      <c r="W486" s="121" t="n"/>
      <c r="X486" s="121" t="n"/>
    </row>
    <row r="487" ht="17" customHeight="1">
      <c r="A487" s="119" t="inlineStr">
        <is>
          <t>calculate</t>
        </is>
      </c>
      <c r="B487" s="119" t="inlineStr">
        <is>
          <t>w7_done</t>
        </is>
      </c>
      <c r="C487" s="123" t="inlineStr">
        <is>
          <t>Returns "1" if student was tutored in week 7</t>
        </is>
      </c>
      <c r="D487" s="120" t="n"/>
      <c r="E487" s="121" t="n"/>
      <c r="F487" s="121" t="n"/>
      <c r="G487" s="120" t="n"/>
      <c r="H487" s="120" t="n"/>
      <c r="I487" s="120" t="n"/>
      <c r="J487" s="121" t="n"/>
      <c r="K487" s="121" t="n"/>
      <c r="L487" s="120" t="n"/>
      <c r="M487" s="121" t="n"/>
      <c r="N487" s="133" t="inlineStr">
        <is>
          <t>if(${week} = 7 and selected(${call_status_i}, 1), '1', ${tutored_w7_prev})</t>
        </is>
      </c>
      <c r="O487" s="121" t="n"/>
      <c r="P487" s="121" t="n"/>
      <c r="Q487" s="121" t="n"/>
      <c r="R487" s="121" t="n"/>
      <c r="S487" s="120" t="n"/>
      <c r="T487" s="121" t="n"/>
      <c r="U487" s="120" t="n"/>
      <c r="V487" s="120" t="n"/>
      <c r="W487" s="121" t="n"/>
      <c r="X487" s="121" t="n"/>
    </row>
    <row r="488" ht="17" customHeight="1">
      <c r="A488" s="119" t="inlineStr">
        <is>
          <t>calculate</t>
        </is>
      </c>
      <c r="B488" s="119" t="inlineStr">
        <is>
          <t>w8_done</t>
        </is>
      </c>
      <c r="C488" s="123" t="inlineStr">
        <is>
          <t>Returns "1" if student was tutored in week 8</t>
        </is>
      </c>
      <c r="D488" s="120" t="n"/>
      <c r="E488" s="121" t="n"/>
      <c r="F488" s="121" t="n"/>
      <c r="G488" s="120" t="n"/>
      <c r="H488" s="120" t="n"/>
      <c r="I488" s="120" t="n"/>
      <c r="J488" s="121" t="n"/>
      <c r="K488" s="121" t="n"/>
      <c r="L488" s="120" t="n"/>
      <c r="M488" s="121" t="n"/>
      <c r="N488" s="133" t="inlineStr">
        <is>
          <t>if(${week} = 8 and selected(${call_status_i}, 1), '1', ${tutored_w8_prev})</t>
        </is>
      </c>
      <c r="O488" s="121" t="n"/>
      <c r="P488" s="121" t="n"/>
      <c r="Q488" s="121" t="n"/>
      <c r="R488" s="121" t="n"/>
      <c r="S488" s="120" t="n"/>
      <c r="T488" s="121" t="n"/>
      <c r="U488" s="120" t="n"/>
      <c r="V488" s="120" t="n"/>
      <c r="W488" s="121" t="n"/>
      <c r="X488" s="121" t="n"/>
    </row>
  </sheetData>
  <conditionalFormatting sqref="A168 A169:X169 A170:B171 C168:X168 D170:X171">
    <cfRule type="expression" priority="1350" dxfId="5" stopIfTrue="1">
      <formula>$A168="integer"</formula>
    </cfRule>
    <cfRule type="expression" priority="1346" dxfId="0" stopIfTrue="1">
      <formula>OR($A168="username", $A168="phonenumber", $A168="start", $A168="end", $A168="deviceid", $A168="subscriberid", $A168="simserial", $A168="caseid")</formula>
    </cfRule>
    <cfRule type="expression" priority="1349" dxfId="6" stopIfTrue="1">
      <formula>$A168="decimal"</formula>
    </cfRule>
    <cfRule type="expression" priority="1353" dxfId="2" stopIfTrue="1">
      <formula>$A168="end repeat"</formula>
    </cfRule>
    <cfRule type="expression" priority="1354" dxfId="2" stopIfTrue="1">
      <formula>$A168="begin repeat"</formula>
    </cfRule>
    <cfRule type="expression" priority="1355" dxfId="1" stopIfTrue="1">
      <formula>$A168="end group"</formula>
    </cfRule>
    <cfRule type="expression" priority="1356" dxfId="1" stopIfTrue="1">
      <formula>$A168="begin group"</formula>
    </cfRule>
    <cfRule type="expression" priority="1335" dxfId="21" stopIfTrue="1">
      <formula>OR($A168="date", $A168="datetime", $A168="time")</formula>
    </cfRule>
    <cfRule type="expression" priority="1329" dxfId="24" stopIfTrue="1">
      <formula>$A168="comments"</formula>
    </cfRule>
    <cfRule type="expression" priority="1345" dxfId="8" stopIfTrue="1">
      <formula>OR($A168="audio audit", $A168="text audit", $A168="speed violations count", $A168="speed violations list", $A168="speed violations audit")</formula>
    </cfRule>
    <cfRule type="expression" priority="1337" dxfId="11" stopIfTrue="1">
      <formula>OR($A168="calculate", $A168="calculate_here")</formula>
    </cfRule>
    <cfRule type="expression" priority="1348" dxfId="7" stopIfTrue="1">
      <formula>OR(AND(LEFT($A168, 16)="select_multiple ", LEN($A168)&gt;16, NOT(ISNUMBER(SEARCH(" ", $A168, 17)))), AND(LEFT($A168, 11)="select_one ", LEN($A168)&gt;11, NOT(ISNUMBER(SEARCH(" ", $A168, 12)))))</formula>
    </cfRule>
    <cfRule type="expression" priority="1333" dxfId="22" stopIfTrue="1">
      <formula>$A168="image"</formula>
    </cfRule>
    <cfRule type="expression" priority="1327" dxfId="87" stopIfTrue="1">
      <formula>OR(AND(LEFT($A168, 14)="sensor_stream ", LEN($A168)&gt;14, NOT(ISNUMBER(SEARCH(" ", $A168, 15)))), AND(LEFT($A168, 17)="sensor_statistic ", LEN($A168)&gt;17, NOT(ISNUMBER(SEARCH(" ", $A168, 18)))))</formula>
    </cfRule>
    <cfRule type="expression" priority="1352" dxfId="4" stopIfTrue="1">
      <formula>$A168="text"</formula>
    </cfRule>
  </conditionalFormatting>
  <conditionalFormatting sqref="A1:X12 A15:X15 A16:B16 A19:X21 A24:X25 A27:X28 A30:B39 A40:E41 A42:X42 A44:X48 A51:X89 A90:B91 A93:B95 A97:B97 A98:X101 A108:X136 A137 A138:X144 A148:X164 A165:S165 A167:X167 A176:M182 A183:X191 A198:X200 A201:B201 A203:X210 A212:X219 A221:X228 A230:X237 A239:X246 A248:X255 A257:X309 A437:X437 A438:B438 A439:X451 A452:C454 A455:X458 A459:B463 A464:X469 B202:X202 B211:X211 B220:X220 B229:X229 B238:X238 B247:X247 B256:X256 C211:C217 C220:C226 C229:C235 C238:C244 C247:C253 C256:C262 D16:X16 D30:X39 D90:X91 D93:X95 D97:X97 D137:X137 D438:X438 D459:X463 E452:F454 G40:X41 I452:X454 O176:X182 U165:X165">
    <cfRule type="expression" priority="4084" dxfId="86" stopIfTrue="1">
      <formula>$A1="enumerator"</formula>
    </cfRule>
    <cfRule type="expression" priority="7697" dxfId="84" stopIfTrue="1">
      <formula>$A1="file"</formula>
    </cfRule>
    <cfRule type="expression" priority="7712" dxfId="23" stopIfTrue="1">
      <formula>OR($A1="audio", $A1="video")</formula>
    </cfRule>
  </conditionalFormatting>
  <conditionalFormatting sqref="A30:B39 A90:B97 D30:X39 D90:X97">
    <cfRule type="expression" priority="652" dxfId="87" stopIfTrue="1">
      <formula>OR(AND(LEFT($A30, 14)="sensor_stream ", LEN($A30)&gt;14, NOT(ISNUMBER(SEARCH(" ", $A30, 15)))), AND(LEFT($A30, 17)="sensor_statistic ", LEN($A30)&gt;17, NOT(ISNUMBER(SEARCH(" ", $A30, 18)))))</formula>
    </cfRule>
  </conditionalFormatting>
  <conditionalFormatting sqref="A19:X21 A24:X25 A27:X28 A30:B39 A40:E41 A42:X42 A44:X48 A137 D30:X39 D137:X137 G40:X41">
    <cfRule type="expression" priority="2423" dxfId="11" stopIfTrue="1">
      <formula>OR($A19="calculate", $A19="calculate_here")</formula>
    </cfRule>
  </conditionalFormatting>
  <conditionalFormatting sqref="A24:X28 A30:B39 A90:B97 A489:X1048576 D30:X39 D90:X97">
    <cfRule type="expression" priority="654" dxfId="8" stopIfTrue="1">
      <formula>OR($A24="audio audit", $A24="text audit", $A24="speed violations count", $A24="speed violations list", $A24="speed violations audit")</formula>
    </cfRule>
  </conditionalFormatting>
  <conditionalFormatting sqref="A92:B92 D92:X92">
    <cfRule type="expression" priority="668" dxfId="4" stopIfTrue="1">
      <formula>$A92="text"</formula>
    </cfRule>
    <cfRule type="expression" priority="672" dxfId="1" stopIfTrue="1">
      <formula>$A92="begin group"</formula>
    </cfRule>
    <cfRule type="expression" priority="667" dxfId="5" stopIfTrue="1">
      <formula>$A92="integer"</formula>
    </cfRule>
    <cfRule type="expression" priority="666" dxfId="6" stopIfTrue="1">
      <formula>$A92="decimal"</formula>
    </cfRule>
    <cfRule type="expression" priority="665" dxfId="7" stopIfTrue="1">
      <formula>OR(AND(LEFT($A92, 16)="select_multiple ", LEN($A92)&gt;16, NOT(ISNUMBER(SEARCH(" ", $A92, 17)))), AND(LEFT($A92, 11)="select_one ", LEN($A92)&gt;11, NOT(ISNUMBER(SEARCH(" ", $A92, 12)))))</formula>
    </cfRule>
    <cfRule type="expression" priority="669" dxfId="2" stopIfTrue="1">
      <formula>$A92="end repeat"</formula>
    </cfRule>
    <cfRule type="expression" priority="670" dxfId="2" stopIfTrue="1">
      <formula>$A92="begin repeat"</formula>
    </cfRule>
    <cfRule type="expression" priority="664" dxfId="0" stopIfTrue="1">
      <formula>OR($A92="username", $A92="phonenumber", $A92="start", $A92="end", $A92="deviceid", $A92="subscriberid", $A92="simserial", $A92="caseid")</formula>
    </cfRule>
    <cfRule type="expression" priority="663" dxfId="9" stopIfTrue="1">
      <formula>OR($A92="geopoint", $A92="geoshape", $A92="geotrace")</formula>
    </cfRule>
    <cfRule type="expression" priority="662" dxfId="10" stopIfTrue="1">
      <formula>$A92="barcode"</formula>
    </cfRule>
    <cfRule type="expression" priority="661" dxfId="12" stopIfTrue="1">
      <formula>$A92="note"</formula>
    </cfRule>
    <cfRule type="expression" priority="660" dxfId="21" stopIfTrue="1">
      <formula>OR($A92="date", $A92="datetime", $A92="time")</formula>
    </cfRule>
    <cfRule type="expression" priority="659" dxfId="22" stopIfTrue="1">
      <formula>$A92="image"</formula>
    </cfRule>
    <cfRule type="expression" priority="658" dxfId="23" stopIfTrue="1">
      <formula>OR($A92="audio", $A92="video")</formula>
    </cfRule>
    <cfRule type="expression" priority="656" dxfId="84" stopIfTrue="1">
      <formula>$A92="file"</formula>
    </cfRule>
    <cfRule type="expression" priority="657" dxfId="24" stopIfTrue="1">
      <formula>$A92="comments"</formula>
    </cfRule>
    <cfRule type="expression" priority="671" dxfId="1" stopIfTrue="1">
      <formula>$A92="end group"</formula>
    </cfRule>
    <cfRule type="expression" priority="655" dxfId="86" stopIfTrue="1">
      <formula>$A92="enumerator"</formula>
    </cfRule>
  </conditionalFormatting>
  <conditionalFormatting sqref="A96:B96 D96:X96">
    <cfRule type="expression" priority="680" dxfId="22" stopIfTrue="1">
      <formula>$A96="image"</formula>
    </cfRule>
    <cfRule type="expression" priority="692" dxfId="1" stopIfTrue="1">
      <formula>$A96="end group"</formula>
    </cfRule>
    <cfRule type="expression" priority="693" dxfId="1" stopIfTrue="1">
      <formula>$A96="begin group"</formula>
    </cfRule>
    <cfRule type="expression" priority="691" dxfId="2" stopIfTrue="1">
      <formula>$A96="begin repeat"</formula>
    </cfRule>
    <cfRule type="expression" priority="690" dxfId="2" stopIfTrue="1">
      <formula>$A96="end repeat"</formula>
    </cfRule>
    <cfRule type="expression" priority="689" dxfId="4" stopIfTrue="1">
      <formula>$A96="text"</formula>
    </cfRule>
    <cfRule type="expression" priority="688" dxfId="5" stopIfTrue="1">
      <formula>$A96="integer"</formula>
    </cfRule>
    <cfRule type="expression" priority="687" dxfId="6" stopIfTrue="1">
      <formula>$A96="decimal"</formula>
    </cfRule>
    <cfRule type="expression" priority="686" dxfId="7" stopIfTrue="1">
      <formula>OR(AND(LEFT($A96, 16)="select_multiple ", LEN($A96)&gt;16, NOT(ISNUMBER(SEARCH(" ", $A96, 17)))), AND(LEFT($A96, 11)="select_one ", LEN($A96)&gt;11, NOT(ISNUMBER(SEARCH(" ", $A96, 12)))))</formula>
    </cfRule>
    <cfRule type="expression" priority="676" dxfId="86" stopIfTrue="1">
      <formula>$A96="enumerator"</formula>
    </cfRule>
    <cfRule type="expression" priority="685" dxfId="0" stopIfTrue="1">
      <formula>OR($A96="username", $A96="phonenumber", $A96="start", $A96="end", $A96="deviceid", $A96="subscriberid", $A96="simserial", $A96="caseid")</formula>
    </cfRule>
    <cfRule type="expression" priority="677" dxfId="84" stopIfTrue="1">
      <formula>$A96="file"</formula>
    </cfRule>
    <cfRule type="expression" priority="684" dxfId="9" stopIfTrue="1">
      <formula>OR($A96="geopoint", $A96="geoshape", $A96="geotrace")</formula>
    </cfRule>
    <cfRule type="expression" priority="683" dxfId="10" stopIfTrue="1">
      <formula>$A96="barcode"</formula>
    </cfRule>
    <cfRule type="expression" priority="682" dxfId="12" stopIfTrue="1">
      <formula>$A96="note"</formula>
    </cfRule>
    <cfRule type="expression" priority="678" dxfId="24" stopIfTrue="1">
      <formula>$A96="comments"</formula>
    </cfRule>
    <cfRule type="expression" priority="679" dxfId="23" stopIfTrue="1">
      <formula>OR($A96="audio", $A96="video")</formula>
    </cfRule>
    <cfRule type="expression" priority="681" dxfId="21" stopIfTrue="1">
      <formula>OR($A96="date", $A96="datetime", $A96="time")</formula>
    </cfRule>
  </conditionalFormatting>
  <conditionalFormatting sqref="A17:C17">
    <cfRule type="expression" priority="610" dxfId="84" stopIfTrue="1">
      <formula>$A17="file"</formula>
    </cfRule>
    <cfRule type="expression" priority="613" dxfId="87" stopIfTrue="1">
      <formula>OR(AND(LEFT($A17, 14)="sensor_stream ", LEN($A17)&gt;14, NOT(ISNUMBER(SEARCH(" ", $A17, 15)))), AND(LEFT($A17, 17)="sensor_statistic ", LEN($A17)&gt;17, NOT(ISNUMBER(SEARCH(" ", $A17, 18)))))</formula>
    </cfRule>
    <cfRule type="expression" priority="612" dxfId="86" stopIfTrue="1">
      <formula>$A17="enumerator"</formula>
    </cfRule>
  </conditionalFormatting>
  <conditionalFormatting sqref="A147:C147">
    <cfRule type="expression" priority="741" dxfId="11" stopIfTrue="1">
      <formula>OR($A147="calculate", $A147="calculate_here")</formula>
    </cfRule>
    <cfRule type="expression" priority="768" dxfId="8" stopIfTrue="1">
      <formula>OR($A147="audio audit", $A147="text audit", $A147="speed violations count", $A147="speed violations list", $A147="speed violations audit")</formula>
    </cfRule>
    <cfRule type="expression" priority="777" dxfId="1" stopIfTrue="1">
      <formula>$A147="end group"</formula>
    </cfRule>
    <cfRule type="expression" priority="751" dxfId="84" stopIfTrue="1">
      <formula>$A147="file"</formula>
    </cfRule>
    <cfRule type="expression" priority="775" dxfId="2" stopIfTrue="1">
      <formula>$A147="end repeat"</formula>
    </cfRule>
    <cfRule type="expression" priority="776" dxfId="2" stopIfTrue="1">
      <formula>$A147="begin repeat"</formula>
    </cfRule>
    <cfRule type="expression" priority="756" dxfId="24" stopIfTrue="1">
      <formula>$A147="comments"</formula>
    </cfRule>
    <cfRule type="expression" priority="774" dxfId="4" stopIfTrue="1">
      <formula>$A147="text"</formula>
    </cfRule>
    <cfRule type="expression" priority="773" dxfId="5" stopIfTrue="1">
      <formula>$A147="integer"</formula>
    </cfRule>
    <cfRule type="expression" priority="758" dxfId="23" stopIfTrue="1">
      <formula>OR($A147="audio", $A147="video")</formula>
    </cfRule>
    <cfRule type="expression" priority="760" dxfId="22" stopIfTrue="1">
      <formula>$A147="image"</formula>
    </cfRule>
    <cfRule type="expression" priority="772" dxfId="6" stopIfTrue="1">
      <formula>$A147="decimal"</formula>
    </cfRule>
    <cfRule type="expression" priority="762" dxfId="21" stopIfTrue="1">
      <formula>OR($A147="date", $A147="datetime", $A147="time")</formula>
    </cfRule>
    <cfRule type="expression" priority="747" dxfId="86" stopIfTrue="1">
      <formula>$A147="enumerator"</formula>
    </cfRule>
    <cfRule type="expression" priority="764" dxfId="12" stopIfTrue="1">
      <formula>$A147="note"</formula>
    </cfRule>
    <cfRule type="expression" priority="778" dxfId="1" stopIfTrue="1">
      <formula>$A147="begin group"</formula>
    </cfRule>
    <cfRule type="expression" priority="765" dxfId="10" stopIfTrue="1">
      <formula>$A147="barcode"</formula>
    </cfRule>
    <cfRule type="expression" priority="771" dxfId="7" stopIfTrue="1">
      <formula>OR(AND(LEFT($A147, 16)="select_multiple ", LEN($A147)&gt;16, NOT(ISNUMBER(SEARCH(" ", $A147, 17)))), AND(LEFT($A147, 11)="select_one ", LEN($A147)&gt;11, NOT(ISNUMBER(SEARCH(" ", $A147, 12)))))</formula>
    </cfRule>
    <cfRule type="expression" priority="766" dxfId="9" stopIfTrue="1">
      <formula>OR($A147="geopoint", $A147="geoshape", $A147="geotrace")</formula>
    </cfRule>
    <cfRule type="expression" priority="769" dxfId="0" stopIfTrue="1">
      <formula>OR($A147="username", $A147="phonenumber", $A147="start", $A147="end", $A147="deviceid", $A147="subscriberid", $A147="simserial", $A147="caseid")</formula>
    </cfRule>
  </conditionalFormatting>
  <conditionalFormatting sqref="A145:F146 I145:X146">
    <cfRule type="expression" priority="115" dxfId="11" stopIfTrue="1">
      <formula>OR($A145="calculate", $A145="calculate_here")</formula>
    </cfRule>
    <cfRule type="expression" priority="128" dxfId="87" stopIfTrue="1">
      <formula>OR(AND(LEFT($A145, 14)="sensor_stream ", LEN($A145)&gt;14, NOT(ISNUMBER(SEARCH(" ", $A145, 15)))), AND(LEFT($A145, 17)="sensor_statistic ", LEN($A145)&gt;17, NOT(ISNUMBER(SEARCH(" ", $A145, 18)))))</formula>
    </cfRule>
    <cfRule type="expression" priority="139" dxfId="10" stopIfTrue="1">
      <formula>$A145="barcode"</formula>
    </cfRule>
    <cfRule type="expression" priority="140" dxfId="9" stopIfTrue="1">
      <formula>OR($A145="geopoint", $A145="geoshape", $A145="geotrace")</formula>
    </cfRule>
    <cfRule type="expression" priority="121" dxfId="86" stopIfTrue="1">
      <formula>$A145="enumerator"</formula>
    </cfRule>
    <cfRule type="expression" priority="142" dxfId="8" stopIfTrue="1">
      <formula>OR($A145="audio audit", $A145="text audit", $A145="speed violations count", $A145="speed violations list", $A145="speed violations audit")</formula>
    </cfRule>
    <cfRule type="expression" priority="143" dxfId="0" stopIfTrue="1">
      <formula>OR($A145="username", $A145="phonenumber", $A145="start", $A145="end", $A145="deviceid", $A145="subscriberid", $A145="simserial", $A145="caseid")</formula>
    </cfRule>
    <cfRule type="expression" priority="136" dxfId="21" stopIfTrue="1">
      <formula>OR($A145="date", $A145="datetime", $A145="time")</formula>
    </cfRule>
    <cfRule type="expression" priority="145" dxfId="7" stopIfTrue="1">
      <formula>OR(AND(LEFT($A145, 16)="select_multiple ", LEN($A145)&gt;16, NOT(ISNUMBER(SEARCH(" ", $A145, 17)))), AND(LEFT($A145, 11)="select_one ", LEN($A145)&gt;11, NOT(ISNUMBER(SEARCH(" ", $A145, 12)))))</formula>
    </cfRule>
    <cfRule type="expression" priority="146" dxfId="6" stopIfTrue="1">
      <formula>$A145="decimal"</formula>
    </cfRule>
    <cfRule type="expression" priority="147" dxfId="5" stopIfTrue="1">
      <formula>$A145="integer"</formula>
    </cfRule>
    <cfRule type="expression" priority="148" dxfId="4" stopIfTrue="1">
      <formula>$A145="text"</formula>
    </cfRule>
    <cfRule type="expression" priority="149" dxfId="2" stopIfTrue="1">
      <formula>$A145="end repeat"</formula>
    </cfRule>
    <cfRule type="expression" priority="150" dxfId="2" stopIfTrue="1">
      <formula>$A145="begin repeat"</formula>
    </cfRule>
    <cfRule type="expression" priority="151" dxfId="1" stopIfTrue="1">
      <formula>$A145="end group"</formula>
    </cfRule>
    <cfRule type="expression" priority="152" dxfId="1" stopIfTrue="1">
      <formula>$A145="begin group"</formula>
    </cfRule>
    <cfRule type="expression" priority="134" dxfId="22" stopIfTrue="1">
      <formula>$A145="image"</formula>
    </cfRule>
    <cfRule type="expression" priority="132" dxfId="23" stopIfTrue="1">
      <formula>OR($A145="audio", $A145="video")</formula>
    </cfRule>
    <cfRule type="expression" priority="130" dxfId="24" stopIfTrue="1">
      <formula>$A145="comments"</formula>
    </cfRule>
    <cfRule type="expression" priority="125" dxfId="84" stopIfTrue="1">
      <formula>$A145="file"</formula>
    </cfRule>
    <cfRule type="expression" priority="138" dxfId="12" stopIfTrue="1">
      <formula>$A145="note"</formula>
    </cfRule>
  </conditionalFormatting>
  <conditionalFormatting sqref="A98:X101 A172:M172 A173:X173 A174:M175 A201:B201 A203:X210 A212:X219 A221:X228 A230:X237 A239:X246 A248:X255 A257:X309 A438:B438 A459:B463 A489:X1048576 B202:X202 B211:X211 B220:X220 B229:X229 B238:X238 B247:X247 B256:X256 C211:C217 C220:C226 C229:C235 C238:C244 C247:C253 C256:C262 D438:X438 D459:X463 O172:X172">
    <cfRule type="expression" priority="1817" dxfId="87" stopIfTrue="1">
      <formula>OR(AND(LEFT($A98, 14)="sensor_stream ", LEN($A98)&gt;14, NOT(ISNUMBER(SEARCH(" ", $A98, 15)))), AND(LEFT($A98, 17)="sensor_statistic ", LEN($A98)&gt;17, NOT(ISNUMBER(SEARCH(" ", $A98, 18)))))</formula>
    </cfRule>
  </conditionalFormatting>
  <conditionalFormatting sqref="A172:M172 A173:X173 A174:M175 O172:X172 O174:X175">
    <cfRule type="expression" priority="1324" dxfId="84" stopIfTrue="1">
      <formula>$A172="file"</formula>
    </cfRule>
  </conditionalFormatting>
  <conditionalFormatting sqref="A172:M172 A173:X173 A174:M175">
    <cfRule type="expression" priority="1308" dxfId="24" stopIfTrue="1">
      <formula>$A172="comments"</formula>
    </cfRule>
    <cfRule type="expression" priority="1307" dxfId="86" stopIfTrue="1">
      <formula>$A172="enumerator"</formula>
    </cfRule>
  </conditionalFormatting>
  <conditionalFormatting sqref="A172:M172 A173:X173 A174:M178 A183:M183 O174:X178 O183:X183">
    <cfRule type="expression" priority="1310" dxfId="21" stopIfTrue="1">
      <formula>OR($A172="date", $A172="datetime", $A172="time")</formula>
    </cfRule>
    <cfRule type="expression" priority="1322" dxfId="1" stopIfTrue="1">
      <formula>$A172="begin group"</formula>
    </cfRule>
    <cfRule type="expression" priority="1309" dxfId="22" stopIfTrue="1">
      <formula>$A172="image"</formula>
    </cfRule>
    <cfRule type="expression" priority="1318" dxfId="4" stopIfTrue="1">
      <formula>$A172="text"</formula>
    </cfRule>
    <cfRule type="expression" priority="1314" dxfId="0" stopIfTrue="1">
      <formula>OR($A172="username", $A172="phonenumber", $A172="start", $A172="end", $A172="deviceid", $A172="subscriberid", $A172="simserial", $A172="caseid")</formula>
    </cfRule>
    <cfRule type="expression" priority="1317" dxfId="5" stopIfTrue="1">
      <formula>$A172="integer"</formula>
    </cfRule>
    <cfRule type="expression" priority="1316" dxfId="6" stopIfTrue="1">
      <formula>$A172="decimal"</formula>
    </cfRule>
    <cfRule type="expression" priority="1315" dxfId="7" stopIfTrue="1">
      <formula>OR(AND(LEFT($A172, 16)="select_multiple ", LEN($A172)&gt;16, NOT(ISNUMBER(SEARCH(" ", $A172, 17)))), AND(LEFT($A172, 11)="select_one ", LEN($A172)&gt;11, NOT(ISNUMBER(SEARCH(" ", $A172, 12)))))</formula>
    </cfRule>
    <cfRule type="expression" priority="1319" dxfId="2" stopIfTrue="1">
      <formula>$A172="end repeat"</formula>
    </cfRule>
    <cfRule type="expression" priority="1320" dxfId="2" stopIfTrue="1">
      <formula>$A172="begin repeat"</formula>
    </cfRule>
    <cfRule type="expression" priority="1321" dxfId="1" stopIfTrue="1">
      <formula>$A172="end group"</formula>
    </cfRule>
  </conditionalFormatting>
  <conditionalFormatting sqref="A13:W14 A17:B17 A18:W18 A27:X28 A40:E41 A43:W43 D17:W17 G40:X41">
    <cfRule type="expression" priority="2151" dxfId="24" stopIfTrue="1">
      <formula>$A13="comments"</formula>
    </cfRule>
  </conditionalFormatting>
  <conditionalFormatting sqref="A13:W14 A17:B17 A18:W18 A43:W43 D17:W17">
    <cfRule type="expression" priority="2163" dxfId="10" stopIfTrue="1">
      <formula>$A13="barcode"</formula>
    </cfRule>
    <cfRule type="expression" priority="2165" dxfId="9" stopIfTrue="1">
      <formula>OR($A13="geopoint", $A13="geoshape", $A13="geotrace")</formula>
    </cfRule>
    <cfRule type="expression" priority="2159" dxfId="11" stopIfTrue="1">
      <formula>OR($A13="calculate", $A13="calculate_here")</formula>
    </cfRule>
    <cfRule type="expression" priority="2157" dxfId="21" stopIfTrue="1">
      <formula>OR($A13="date", $A13="datetime", $A13="time")</formula>
    </cfRule>
    <cfRule type="expression" priority="2180" dxfId="1" stopIfTrue="1">
      <formula>$A13="end group"</formula>
    </cfRule>
    <cfRule type="expression" priority="2155" dxfId="22" stopIfTrue="1">
      <formula>$A13="image"</formula>
    </cfRule>
    <cfRule type="expression" priority="2153" dxfId="23" stopIfTrue="1">
      <formula>OR($A13="audio", $A13="video")</formula>
    </cfRule>
    <cfRule type="expression" priority="2182" dxfId="1" stopIfTrue="1">
      <formula>$A13="begin group"</formula>
    </cfRule>
    <cfRule type="expression" priority="2161" dxfId="12" stopIfTrue="1">
      <formula>$A13="note"</formula>
    </cfRule>
    <cfRule type="expression" priority="2179" dxfId="2" stopIfTrue="1">
      <formula>$A13="begin repeat"</formula>
    </cfRule>
    <cfRule type="expression" priority="2177" dxfId="2" stopIfTrue="1">
      <formula>$A13="end repeat"</formula>
    </cfRule>
    <cfRule type="expression" priority="2176" dxfId="4" stopIfTrue="1">
      <formula>$A13="text"</formula>
    </cfRule>
    <cfRule type="expression" priority="2174" dxfId="5" stopIfTrue="1">
      <formula>$A13="integer"</formula>
    </cfRule>
    <cfRule type="expression" priority="2172" dxfId="6" stopIfTrue="1">
      <formula>$A13="decimal"</formula>
    </cfRule>
    <cfRule type="expression" priority="2170" dxfId="7" stopIfTrue="1">
      <formula>OR(AND(LEFT($A13, 16)="select_multiple ", LEN($A13)&gt;16, NOT(ISNUMBER(SEARCH(" ", $A13, 17)))), AND(LEFT($A13, 11)="select_one ", LEN($A13)&gt;11, NOT(ISNUMBER(SEARCH(" ", $A13, 12)))))</formula>
    </cfRule>
    <cfRule type="expression" priority="2168" dxfId="0" stopIfTrue="1">
      <formula>OR($A13="username", $A13="phonenumber", $A13="start", $A13="end", $A13="deviceid", $A13="subscriberid", $A13="simserial", $A13="caseid")</formula>
    </cfRule>
    <cfRule type="expression" priority="2167" dxfId="8" stopIfTrue="1">
      <formula>OR($A13="audio audit", $A13="text audit", $A13="speed violations count", $A13="speed violations list", $A13="speed violations audit")</formula>
    </cfRule>
  </conditionalFormatting>
  <conditionalFormatting sqref="A13:W14 A18:W18 A43:W43 D17:W17">
    <cfRule type="expression" priority="2147" dxfId="86" stopIfTrue="1">
      <formula>$A13="enumerator"</formula>
    </cfRule>
    <cfRule type="expression" priority="2149" dxfId="87" stopIfTrue="1">
      <formula>OR(AND(LEFT($A13, 14)="sensor_stream ", LEN($A13)&gt;14, NOT(ISNUMBER(SEARCH(" ", $A13, 15)))), AND(LEFT($A13, 17)="sensor_statistic ", LEN($A13)&gt;17, NOT(ISNUMBER(SEARCH(" ", $A13, 18)))))</formula>
    </cfRule>
    <cfRule type="expression" priority="2145" dxfId="84" stopIfTrue="1">
      <formula>$A13="file"</formula>
    </cfRule>
  </conditionalFormatting>
  <conditionalFormatting sqref="A1:X12 A40:E41 G40:X41">
    <cfRule type="expression" priority="1561" dxfId="8" stopIfTrue="1">
      <formula>OR($A1="audio audit", $A1="text audit", $A1="speed violations count", $A1="speed violations list", $A1="speed violations audit")</formula>
    </cfRule>
  </conditionalFormatting>
  <conditionalFormatting sqref="A1:X12 A15:X15 A16:B16 A19:X21 A24:X25 A27:X28 A30:B39 A40:E41 A42:X42 A44:X48 A51:X89 A90:B91 A93:B95 A97:B97 A98:X101 A108:X136 A137 A138:X144 A148:X164 A165:S165 A167:X167 A179:M182 A184:X191 A198:X200 A201:B201 A203:X210 A212:X219 A221:X228 A230:X237 A239:X246 A248:X255 A257:X309 A437:X437 A438:B438 A439:X451 A452:C454 A455:X458 A459:B463 A464:X469 B202:X202 B211:X211 B220:X220 B229:X229 B238:X238 B247:X247 B256:X256 C211:C217 C220:C226 C229:C235 C238:C244 C247:C253 C256:C262 D16:X16 D30:X39 D90:X91 D93:X95 D97:X97 D137:X137 D438:X438 D459:X463 E452:F454 G40:X41 I452:X454 N177 N183 O179:X182 U165:X165">
    <cfRule type="expression" priority="7747" dxfId="4" stopIfTrue="1">
      <formula>$A1="text"</formula>
    </cfRule>
  </conditionalFormatting>
  <conditionalFormatting sqref="A1:X12 A15:X15 A16:B16 A19:X21 A24:X25 A27:X28 A30:B39 A40:E41 A42:X42 A44:X48 A51:X89 A90:B91 A93:B95 A97:B97 A98:X101 A108:X136 A137 A138:X144 A148:X164 A165:S165 A179:M182 A184:X191 A198:X200 A201:B201 A203:X210 A212:X219 A221:X228 A230:X237 A239:X246 A248:X255 A257:X309 A437:X437 A438:B438 A439:X451 A452:C454 A455:X458 A459:B463 A464:X469 B202:X202 B211:X211 B220:X220 B229:X229 B238:X238 B247:X247 B256:X256 C211:C217 C220:C226 C229:C235 C238:C244 C247:C253 C256:C262 D16:X16 D30:X39 D90:X91 D93:X95 D97:X97 D137:X137 D438:X438 D459:X463 E452:F454 G40:X41 I452:X454 N177 N183 O179:X182 U165:X165">
    <cfRule type="expression" priority="7743" dxfId="6" stopIfTrue="1">
      <formula>$A1="decimal"</formula>
    </cfRule>
    <cfRule type="expression" priority="7745" dxfId="5" stopIfTrue="1">
      <formula>$A1="integer"</formula>
    </cfRule>
    <cfRule type="expression" priority="7748" dxfId="2" stopIfTrue="1">
      <formula>$A1="end repeat"</formula>
    </cfRule>
    <cfRule type="expression" priority="7750" dxfId="2" stopIfTrue="1">
      <formula>$A1="begin repeat"</formula>
    </cfRule>
    <cfRule type="expression" priority="7751" dxfId="1" stopIfTrue="1">
      <formula>$A1="end group"</formula>
    </cfRule>
    <cfRule type="expression" priority="7753" dxfId="1" stopIfTrue="1">
      <formula>$A1="begin group"</formula>
    </cfRule>
    <cfRule type="expression" priority="7738" dxfId="7" stopIfTrue="1">
      <formula>OR(AND(LEFT($A1, 16)="select_multiple ", LEN($A1)&gt;16, NOT(ISNUMBER(SEARCH(" ", $A1, 17)))), AND(LEFT($A1, 11)="select_one ", LEN($A1)&gt;11, NOT(ISNUMBER(SEARCH(" ", $A1, 12)))))</formula>
    </cfRule>
    <cfRule type="expression" priority="7731" dxfId="0" stopIfTrue="1">
      <formula>OR($A1="username", $A1="phonenumber", $A1="start", $A1="end", $A1="deviceid", $A1="subscriberid", $A1="simserial", $A1="caseid")</formula>
    </cfRule>
    <cfRule type="expression" priority="7724" dxfId="10" stopIfTrue="1">
      <formula>$A1="barcode"</formula>
    </cfRule>
    <cfRule type="expression" priority="7726" dxfId="9" stopIfTrue="1">
      <formula>OR($A1="geopoint", $A1="geoshape", $A1="geotrace")</formula>
    </cfRule>
    <cfRule type="expression" priority="7722" dxfId="12" stopIfTrue="1">
      <formula>$A1="note"</formula>
    </cfRule>
  </conditionalFormatting>
  <conditionalFormatting sqref="A1:X12 A15:X15 A16:B16 D16:X16">
    <cfRule type="expression" priority="7720" dxfId="11" stopIfTrue="1">
      <formula>OR($A1="calculate", $A1="calculate_here")</formula>
    </cfRule>
    <cfRule type="expression" priority="4088" dxfId="24" stopIfTrue="1">
      <formula>$A1="comments"</formula>
    </cfRule>
  </conditionalFormatting>
  <conditionalFormatting sqref="A1:X12 A15:X15 A16:B16 A19:X21 A24:X25 A27:X28 A30:B39 A40:E41 A42:X42 A44:X48 A51:X89 A90:B91 A93:B95 A97:B97 A98:X101 A108:X136 A137 A138:X144 A148:X164 A165:S165 A179:M182 A184:X191 A198:X200 A201:B201 A203:X210 A212:X219 A221:X228 A230:X237 A239:X246 A248:X255 A257:X309 A437:X437 A438:B438 A439:X451 A452:C454 A455:X458 A459:B463 A464:X469 B202:X202 B211:X211 B220:X220 B229:X229 B238:X238 B247:X247 B256:X256 C211:C217 C220:C226 C229:C235 C238:C244 C247:C253 C256:C262 D16:X16 D30:X39 D90:X91 D93:X95 D97:X97 D137:X137 D438:X438 D459:X463 E452:F454 G40:X41 I452:X454 N183 O179:X182 U165:X165">
    <cfRule type="expression" priority="7718" dxfId="21" stopIfTrue="1">
      <formula>OR($A1="date", $A1="datetime", $A1="time")</formula>
    </cfRule>
    <cfRule type="expression" priority="7714" dxfId="22" stopIfTrue="1">
      <formula>$A1="image"</formula>
    </cfRule>
  </conditionalFormatting>
  <conditionalFormatting sqref="A15:X15 A16:B16 A42:X42 A44:X48 A108:X136 A137 A464:X469 D16:X16 D137:X137">
    <cfRule type="expression" priority="7705" dxfId="87" stopIfTrue="1">
      <formula>OR(AND(LEFT($A15, 14)="sensor_stream ", LEN($A15)&gt;14, NOT(ISNUMBER(SEARCH(" ", $A15, 15)))), AND(LEFT($A15, 17)="sensor_statistic ", LEN($A15)&gt;17, NOT(ISNUMBER(SEARCH(" ", $A15, 18)))))</formula>
    </cfRule>
    <cfRule type="expression" priority="7728" dxfId="8" stopIfTrue="1">
      <formula>OR($A15="audio audit", $A15="text audit", $A15="speed violations count", $A15="speed violations list", $A15="speed violations audit")</formula>
    </cfRule>
  </conditionalFormatting>
  <conditionalFormatting sqref="A19:X23">
    <cfRule type="expression" priority="213" dxfId="8" stopIfTrue="1">
      <formula>OR($A19="audio audit", $A19="text audit", $A19="speed violations count", $A19="speed violations list", $A19="speed violations audit")</formula>
    </cfRule>
  </conditionalFormatting>
  <conditionalFormatting sqref="A1:X12 A19:X28 A40:E41 A51:X89 G40:X41">
    <cfRule type="expression" priority="1560" dxfId="87" stopIfTrue="1">
      <formula>OR(AND(LEFT($A1, 14)="sensor_stream ", LEN($A1)&gt;14, NOT(ISNUMBER(SEARCH(" ", $A1, 15)))), AND(LEFT($A1, 17)="sensor_statistic ", LEN($A1)&gt;17, NOT(ISNUMBER(SEARCH(" ", $A1, 18)))))</formula>
    </cfRule>
  </conditionalFormatting>
  <conditionalFormatting sqref="A22:X23 A489:X1048576">
    <cfRule type="expression" priority="221" dxfId="86" stopIfTrue="1">
      <formula>$A22="enumerator"</formula>
    </cfRule>
    <cfRule type="expression" priority="231" dxfId="23" stopIfTrue="1">
      <formula>OR($A22="audio", $A22="video")</formula>
    </cfRule>
    <cfRule type="expression" priority="250" dxfId="1" stopIfTrue="1">
      <formula>$A22="begin group"</formula>
    </cfRule>
    <cfRule type="expression" priority="249" dxfId="1" stopIfTrue="1">
      <formula>$A22="end group"</formula>
    </cfRule>
    <cfRule type="expression" priority="248" dxfId="2" stopIfTrue="1">
      <formula>$A22="begin repeat"</formula>
    </cfRule>
    <cfRule type="expression" priority="247" dxfId="2" stopIfTrue="1">
      <formula>$A22="end repeat"</formula>
    </cfRule>
    <cfRule type="expression" priority="246" dxfId="4" stopIfTrue="1">
      <formula>$A22="text"</formula>
    </cfRule>
    <cfRule type="expression" priority="245" dxfId="5" stopIfTrue="1">
      <formula>$A22="integer"</formula>
    </cfRule>
    <cfRule type="expression" priority="244" dxfId="6" stopIfTrue="1">
      <formula>$A22="decimal"</formula>
    </cfRule>
    <cfRule type="expression" priority="243" dxfId="7" stopIfTrue="1">
      <formula>OR(AND(LEFT($A22, 16)="select_multiple ", LEN($A22)&gt;16, NOT(ISNUMBER(SEARCH(" ", $A22, 17)))), AND(LEFT($A22, 11)="select_one ", LEN($A22)&gt;11, NOT(ISNUMBER(SEARCH(" ", $A22, 12)))))</formula>
    </cfRule>
    <cfRule type="expression" priority="241" dxfId="0" stopIfTrue="1">
      <formula>OR($A22="username", $A22="phonenumber", $A22="start", $A22="end", $A22="deviceid", $A22="subscriberid", $A22="simserial", $A22="caseid")</formula>
    </cfRule>
    <cfRule type="expression" priority="239" dxfId="9" stopIfTrue="1">
      <formula>OR($A22="geopoint", $A22="geoshape", $A22="geotrace")</formula>
    </cfRule>
    <cfRule type="expression" priority="238" dxfId="10" stopIfTrue="1">
      <formula>$A22="barcode"</formula>
    </cfRule>
    <cfRule type="expression" priority="237" dxfId="12" stopIfTrue="1">
      <formula>$A22="note"</formula>
    </cfRule>
    <cfRule type="expression" priority="235" dxfId="21" stopIfTrue="1">
      <formula>OR($A22="date", $A22="datetime", $A22="time")</formula>
    </cfRule>
    <cfRule type="expression" priority="226" dxfId="84" stopIfTrue="1">
      <formula>$A22="file"</formula>
    </cfRule>
    <cfRule type="expression" priority="233" dxfId="22" stopIfTrue="1">
      <formula>$A22="image"</formula>
    </cfRule>
    <cfRule type="expression" priority="229" dxfId="24" stopIfTrue="1">
      <formula>$A22="comments"</formula>
    </cfRule>
    <cfRule type="expression" priority="212" dxfId="11" stopIfTrue="1">
      <formula>OR($A22="calculate", $A22="calculate_here")</formula>
    </cfRule>
  </conditionalFormatting>
  <conditionalFormatting sqref="A26:X26">
    <cfRule type="expression" priority="367" dxfId="84" stopIfTrue="1">
      <formula>$A26="file"</formula>
    </cfRule>
    <cfRule type="expression" priority="370" dxfId="24" stopIfTrue="1">
      <formula>$A26="comments"</formula>
    </cfRule>
    <cfRule type="expression" priority="372" dxfId="23" stopIfTrue="1">
      <formula>OR($A26="audio", $A26="video")</formula>
    </cfRule>
    <cfRule type="expression" priority="363" dxfId="86" stopIfTrue="1">
      <formula>$A26="enumerator"</formula>
    </cfRule>
    <cfRule type="expression" priority="374" dxfId="22" stopIfTrue="1">
      <formula>$A26="image"</formula>
    </cfRule>
    <cfRule type="expression" priority="354" dxfId="11" stopIfTrue="1">
      <formula>OR($A26="calculate", $A26="calculate_here")</formula>
    </cfRule>
    <cfRule type="expression" priority="376" dxfId="21" stopIfTrue="1">
      <formula>OR($A26="date", $A26="datetime", $A26="time")</formula>
    </cfRule>
    <cfRule type="expression" priority="378" dxfId="12" stopIfTrue="1">
      <formula>$A26="note"</formula>
    </cfRule>
    <cfRule type="expression" priority="379" dxfId="10" stopIfTrue="1">
      <formula>$A26="barcode"</formula>
    </cfRule>
    <cfRule type="expression" priority="380" dxfId="9" stopIfTrue="1">
      <formula>OR($A26="geopoint", $A26="geoshape", $A26="geotrace")</formula>
    </cfRule>
    <cfRule type="expression" priority="382" dxfId="0" stopIfTrue="1">
      <formula>OR($A26="username", $A26="phonenumber", $A26="start", $A26="end", $A26="deviceid", $A26="subscriberid", $A26="simserial", $A26="caseid")</formula>
    </cfRule>
    <cfRule type="expression" priority="391" dxfId="1" stopIfTrue="1">
      <formula>$A26="begin group"</formula>
    </cfRule>
    <cfRule type="expression" priority="384" dxfId="7" stopIfTrue="1">
      <formula>OR(AND(LEFT($A26, 16)="select_multiple ", LEN($A26)&gt;16, NOT(ISNUMBER(SEARCH(" ", $A26, 17)))), AND(LEFT($A26, 11)="select_one ", LEN($A26)&gt;11, NOT(ISNUMBER(SEARCH(" ", $A26, 12)))))</formula>
    </cfRule>
    <cfRule type="expression" priority="385" dxfId="6" stopIfTrue="1">
      <formula>$A26="decimal"</formula>
    </cfRule>
    <cfRule type="expression" priority="386" dxfId="5" stopIfTrue="1">
      <formula>$A26="integer"</formula>
    </cfRule>
    <cfRule type="expression" priority="387" dxfId="4" stopIfTrue="1">
      <formula>$A26="text"</formula>
    </cfRule>
    <cfRule type="expression" priority="388" dxfId="2" stopIfTrue="1">
      <formula>$A26="end repeat"</formula>
    </cfRule>
    <cfRule type="expression" priority="389" dxfId="2" stopIfTrue="1">
      <formula>$A26="begin repeat"</formula>
    </cfRule>
    <cfRule type="expression" priority="390" dxfId="1" stopIfTrue="1">
      <formula>$A26="end group"</formula>
    </cfRule>
  </conditionalFormatting>
  <conditionalFormatting sqref="A49:X49">
    <cfRule type="expression" priority="277" dxfId="10" stopIfTrue="1">
      <formula>$A49="barcode"</formula>
    </cfRule>
    <cfRule type="expression" priority="272" dxfId="22" stopIfTrue="1">
      <formula>$A49="image"</formula>
    </cfRule>
    <cfRule type="expression" priority="254" dxfId="11" stopIfTrue="1">
      <formula>OR($A49="calculate", $A49="calculate_here")</formula>
    </cfRule>
    <cfRule type="expression" priority="260" dxfId="86" stopIfTrue="1">
      <formula>$A49="enumerator"</formula>
    </cfRule>
    <cfRule type="expression" priority="290" dxfId="1" stopIfTrue="1">
      <formula>$A49="begin group"</formula>
    </cfRule>
    <cfRule type="expression" priority="264" dxfId="84" stopIfTrue="1">
      <formula>$A49="file"</formula>
    </cfRule>
    <cfRule type="expression" priority="267" dxfId="87" stopIfTrue="1">
      <formula>OR(AND(LEFT($A49, 14)="sensor_stream ", LEN($A49)&gt;14, NOT(ISNUMBER(SEARCH(" ", $A49, 15)))), AND(LEFT($A49, 17)="sensor_statistic ", LEN($A49)&gt;17, NOT(ISNUMBER(SEARCH(" ", $A49, 18)))))</formula>
    </cfRule>
    <cfRule type="expression" priority="289" dxfId="1" stopIfTrue="1">
      <formula>$A49="end group"</formula>
    </cfRule>
    <cfRule type="expression" priority="268" dxfId="24" stopIfTrue="1">
      <formula>$A49="comments"</formula>
    </cfRule>
    <cfRule type="expression" priority="288" dxfId="2" stopIfTrue="1">
      <formula>$A49="begin repeat"</formula>
    </cfRule>
    <cfRule type="expression" priority="287" dxfId="2" stopIfTrue="1">
      <formula>$A49="end repeat"</formula>
    </cfRule>
    <cfRule type="expression" priority="286" dxfId="4" stopIfTrue="1">
      <formula>$A49="text"</formula>
    </cfRule>
    <cfRule type="expression" priority="285" dxfId="5" stopIfTrue="1">
      <formula>$A49="integer"</formula>
    </cfRule>
    <cfRule type="expression" priority="284" dxfId="6" stopIfTrue="1">
      <formula>$A49="decimal"</formula>
    </cfRule>
    <cfRule type="expression" priority="283" dxfId="7" stopIfTrue="1">
      <formula>OR(AND(LEFT($A49, 16)="select_multiple ", LEN($A49)&gt;16, NOT(ISNUMBER(SEARCH(" ", $A49, 17)))), AND(LEFT($A49, 11)="select_one ", LEN($A49)&gt;11, NOT(ISNUMBER(SEARCH(" ", $A49, 12)))))</formula>
    </cfRule>
    <cfRule type="expression" priority="281" dxfId="0" stopIfTrue="1">
      <formula>OR($A49="username", $A49="phonenumber", $A49="start", $A49="end", $A49="deviceid", $A49="subscriberid", $A49="simserial", $A49="caseid")</formula>
    </cfRule>
    <cfRule type="expression" priority="280" dxfId="8" stopIfTrue="1">
      <formula>OR($A49="audio audit", $A49="text audit", $A49="speed violations count", $A49="speed violations list", $A49="speed violations audit")</formula>
    </cfRule>
    <cfRule type="expression" priority="278" dxfId="9" stopIfTrue="1">
      <formula>OR($A49="geopoint", $A49="geoshape", $A49="geotrace")</formula>
    </cfRule>
    <cfRule type="expression" priority="270" dxfId="23" stopIfTrue="1">
      <formula>OR($A49="audio", $A49="video")</formula>
    </cfRule>
    <cfRule type="expression" priority="276" dxfId="12" stopIfTrue="1">
      <formula>$A49="note"</formula>
    </cfRule>
    <cfRule type="expression" priority="274" dxfId="21" stopIfTrue="1">
      <formula>OR($A49="date", $A49="datetime", $A49="time")</formula>
    </cfRule>
  </conditionalFormatting>
  <conditionalFormatting sqref="A51:X97">
    <cfRule type="expression" priority="653" dxfId="11" stopIfTrue="1">
      <formula>OR($A51="calculate", $A51="calculate_here")</formula>
    </cfRule>
  </conditionalFormatting>
  <conditionalFormatting sqref="A98:X101 A138:X144 A148:X149 A151:X162 A172:M172 A173:X173 A174:M182 A183:X200 A201:B201 A203:X210 A212:X219 A221:X228 A230:X237 A239:X246 A248:X255 A257:X309 A438:B438 A459:B463 A464:X469 B202:X202 B211:X211 B220:X220 B229:X229 B238:X238 B247:X247 B256:X256 C211:C217 C220:C226 C229:C235 C238:C244 C247:C253 C256:C262 D438:X438 D459:X463 O172:X172 O174:X182">
    <cfRule type="expression" priority="1820" dxfId="11" stopIfTrue="1">
      <formula>OR($A98="calculate", $A98="calculate_here")</formula>
    </cfRule>
  </conditionalFormatting>
  <conditionalFormatting sqref="A51:X89 A98:X101 A138:X144 A148:X149 A151:X162 A172:M172 A173:X173 A174:M183 A184:X191 A198:X200 A201:B201 A203:X210 A212:X219 A221:X228 A230:X237 A239:X246 A248:X255 A257:X309 A438:B438 A459:B463 B202:X202 B211:X211 B220:X220 B229:X229 B238:X238 B247:X247 B256:X256 C211:C217 C220:C226 C229:C235 C238:C244 C247:C253 C256:C262 D438:X438 D459:X463 O172:X172 O174:X183">
    <cfRule type="expression" priority="1824" dxfId="8" stopIfTrue="1">
      <formula>OR($A51="audio audit", $A51="text audit", $A51="speed violations count", $A51="speed violations list", $A51="speed violations audit")</formula>
    </cfRule>
  </conditionalFormatting>
  <conditionalFormatting sqref="A102:X103">
    <cfRule type="expression" priority="2096" dxfId="7" stopIfTrue="1">
      <formula>OR(AND(LEFT($A102, 16)="select_multiple ", LEN($A102)&gt;16, NOT(ISNUMBER(SEARCH(" ", $A102, 17)))), AND(LEFT($A102, 11)="select_one ", LEN($A102)&gt;11, NOT(ISNUMBER(SEARCH(" ", $A102, 12)))))</formula>
    </cfRule>
    <cfRule type="expression" priority="2104" dxfId="1" stopIfTrue="1">
      <formula>$A102="begin group"</formula>
    </cfRule>
    <cfRule type="expression" priority="2103" dxfId="1" stopIfTrue="1">
      <formula>$A102="end group"</formula>
    </cfRule>
    <cfRule type="expression" priority="2070" dxfId="86" stopIfTrue="1">
      <formula>$A102="enumerator"</formula>
    </cfRule>
    <cfRule type="expression" priority="2102" dxfId="2" stopIfTrue="1">
      <formula>$A102="begin repeat"</formula>
    </cfRule>
    <cfRule type="expression" priority="2071" dxfId="24" stopIfTrue="1">
      <formula>$A102="comments"</formula>
    </cfRule>
    <cfRule type="expression" priority="2076" dxfId="84" stopIfTrue="1">
      <formula>$A102="file"</formula>
    </cfRule>
    <cfRule type="expression" priority="2079" dxfId="87" stopIfTrue="1">
      <formula>OR(AND(LEFT($A102, 14)="sensor_stream ", LEN($A102)&gt;14, NOT(ISNUMBER(SEARCH(" ", $A102, 15)))), AND(LEFT($A102, 17)="sensor_statistic ", LEN($A102)&gt;17, NOT(ISNUMBER(SEARCH(" ", $A102, 18)))))</formula>
    </cfRule>
    <cfRule type="expression" priority="2101" dxfId="2" stopIfTrue="1">
      <formula>$A102="end repeat"</formula>
    </cfRule>
    <cfRule type="expression" priority="2090" dxfId="10" stopIfTrue="1">
      <formula>$A102="barcode"</formula>
    </cfRule>
    <cfRule type="expression" priority="2100" dxfId="4" stopIfTrue="1">
      <formula>$A102="text"</formula>
    </cfRule>
    <cfRule type="expression" priority="2091" dxfId="9" stopIfTrue="1">
      <formula>OR($A102="geopoint", $A102="geoshape", $A102="geotrace")</formula>
    </cfRule>
    <cfRule type="expression" priority="2089" dxfId="12" stopIfTrue="1">
      <formula>$A102="note"</formula>
    </cfRule>
    <cfRule type="expression" priority="2084" dxfId="22" stopIfTrue="1">
      <formula>$A102="image"</formula>
    </cfRule>
    <cfRule type="expression" priority="2086" dxfId="21" stopIfTrue="1">
      <formula>OR($A102="date", $A102="datetime", $A102="time")</formula>
    </cfRule>
    <cfRule type="expression" priority="2082" dxfId="23" stopIfTrue="1">
      <formula>OR($A102="audio", $A102="video")</formula>
    </cfRule>
    <cfRule type="expression" priority="2093" dxfId="8" stopIfTrue="1">
      <formula>OR($A102="audio audit", $A102="text audit", $A102="speed violations count", $A102="speed violations list", $A102="speed violations audit")</formula>
    </cfRule>
    <cfRule type="expression" priority="2094" dxfId="0" stopIfTrue="1">
      <formula>OR($A102="username", $A102="phonenumber", $A102="start", $A102="end", $A102="deviceid", $A102="subscriberid", $A102="simserial", $A102="caseid")</formula>
    </cfRule>
    <cfRule type="expression" priority="2098" dxfId="5" stopIfTrue="1">
      <formula>$A102="integer"</formula>
    </cfRule>
    <cfRule type="expression" priority="2097" dxfId="6" stopIfTrue="1">
      <formula>$A102="decimal"</formula>
    </cfRule>
  </conditionalFormatting>
  <conditionalFormatting sqref="A102:X117 A119:X136">
    <cfRule type="expression" priority="2088" dxfId="11" stopIfTrue="1">
      <formula>OR($A102="calculate", $A102="calculate_here")</formula>
    </cfRule>
  </conditionalFormatting>
  <conditionalFormatting sqref="A104:X107">
    <cfRule type="expression" priority="1477" dxfId="1" stopIfTrue="1">
      <formula>$A104="begin group"</formula>
    </cfRule>
    <cfRule type="expression" priority="1476" dxfId="1" stopIfTrue="1">
      <formula>$A104="end group"</formula>
    </cfRule>
    <cfRule type="expression" priority="1469" dxfId="0" stopIfTrue="1">
      <formula>OR($A104="username", $A104="phonenumber", $A104="start", $A104="end", $A104="deviceid", $A104="subscriberid", $A104="simserial", $A104="caseid")</formula>
    </cfRule>
    <cfRule type="expression" priority="1468" dxfId="8" stopIfTrue="1">
      <formula>OR($A104="audio audit", $A104="text audit", $A104="speed violations count", $A104="speed violations list", $A104="speed violations audit")</formula>
    </cfRule>
    <cfRule type="expression" priority="1467" dxfId="9" stopIfTrue="1">
      <formula>OR($A104="geopoint", $A104="geoshape", $A104="geotrace")</formula>
    </cfRule>
    <cfRule type="expression" priority="1466" dxfId="10" stopIfTrue="1">
      <formula>$A104="barcode"</formula>
    </cfRule>
    <cfRule type="expression" priority="1465" dxfId="12" stopIfTrue="1">
      <formula>$A104="note"</formula>
    </cfRule>
    <cfRule type="expression" priority="1464" dxfId="21" stopIfTrue="1">
      <formula>OR($A104="date", $A104="datetime", $A104="time")</formula>
    </cfRule>
    <cfRule type="expression" priority="1463" dxfId="22" stopIfTrue="1">
      <formula>$A104="image"</formula>
    </cfRule>
    <cfRule type="expression" priority="1462" dxfId="23" stopIfTrue="1">
      <formula>OR($A104="audio", $A104="video")</formula>
    </cfRule>
    <cfRule type="expression" priority="1472" dxfId="5" stopIfTrue="1">
      <formula>$A104="integer"</formula>
    </cfRule>
    <cfRule type="expression" priority="1473" dxfId="4" stopIfTrue="1">
      <formula>$A104="text"</formula>
    </cfRule>
    <cfRule type="expression" priority="1461" dxfId="24" stopIfTrue="1">
      <formula>$A104="comments"</formula>
    </cfRule>
    <cfRule type="expression" priority="1460" dxfId="87" stopIfTrue="1">
      <formula>OR(AND(LEFT($A104, 14)="sensor_stream ", LEN($A104)&gt;14, NOT(ISNUMBER(SEARCH(" ", $A104, 15)))), AND(LEFT($A104, 17)="sensor_statistic ", LEN($A104)&gt;17, NOT(ISNUMBER(SEARCH(" ", $A104, 18)))))</formula>
    </cfRule>
    <cfRule type="expression" priority="1459" dxfId="84" stopIfTrue="1">
      <formula>$A104="file"</formula>
    </cfRule>
    <cfRule type="expression" priority="1458" dxfId="86" stopIfTrue="1">
      <formula>$A104="enumerator"</formula>
    </cfRule>
    <cfRule type="expression" priority="1474" dxfId="2" stopIfTrue="1">
      <formula>$A104="end repeat"</formula>
    </cfRule>
    <cfRule type="expression" priority="1475" dxfId="2" stopIfTrue="1">
      <formula>$A104="begin repeat"</formula>
    </cfRule>
    <cfRule type="expression" priority="1471" dxfId="6" stopIfTrue="1">
      <formula>$A104="decimal"</formula>
    </cfRule>
    <cfRule type="expression" priority="1470" dxfId="7" stopIfTrue="1">
      <formula>OR(AND(LEFT($A104, 16)="select_multiple ", LEN($A104)&gt;16, NOT(ISNUMBER(SEARCH(" ", $A104, 17)))), AND(LEFT($A104, 11)="select_one ", LEN($A104)&gt;11, NOT(ISNUMBER(SEARCH(" ", $A104, 12)))))</formula>
    </cfRule>
  </conditionalFormatting>
  <conditionalFormatting sqref="A19:X21 A24:X25 A30:B39 A42:X42 A44:X48 A51:X89 A90:B91 A93:B95 A97:B97 A98:X101 A108:X136 A137 A138:X144 A148:X164 A165:S165 A179:M182 A184:X191 A198:X200 A201:B201 A203:X210 A212:X219 A221:X228 A230:X237 A239:X246 A248:X255 A257:X309 A437:X437 A438:B438 A439:X451 A452:C454 A455:X458 A459:B463 A464:X469 B202:X202 B211:X211 B220:X220 B229:X229 B238:X238 B247:X247 B256:X256 C211:C217 C220:C226 C229:C235 C238:C244 C247:C253 C256:C262 D30:X39 D90:X91 D93:X95 D97:X97 D137:X137 D438:X438 D459:X463 E452:F454 I452:X454 N183 O179:X182 U165:X165">
    <cfRule type="expression" priority="7708" dxfId="24" stopIfTrue="1">
      <formula>$A19="comments"</formula>
    </cfRule>
  </conditionalFormatting>
  <conditionalFormatting sqref="A118:X118">
    <cfRule type="expression" priority="1633" dxfId="11" stopIfTrue="1">
      <formula>OR($A118="calculate", $A118="calculate_here")</formula>
    </cfRule>
  </conditionalFormatting>
  <conditionalFormatting sqref="A138:X144 A147:X147">
    <cfRule type="expression" priority="754" dxfId="87" stopIfTrue="1">
      <formula>OR(AND(LEFT($A138, 14)="sensor_stream ", LEN($A138)&gt;14, NOT(ISNUMBER(SEARCH(" ", $A138, 15)))), AND(LEFT($A138, 17)="sensor_statistic ", LEN($A138)&gt;17, NOT(ISNUMBER(SEARCH(" ", $A138, 18)))))</formula>
    </cfRule>
  </conditionalFormatting>
  <conditionalFormatting sqref="A148:X162">
    <cfRule type="expression" priority="1429" dxfId="87" stopIfTrue="1">
      <formula>OR(AND(LEFT($A148, 14)="sensor_stream ", LEN($A148)&gt;14, NOT(ISNUMBER(SEARCH(" ", $A148, 15)))), AND(LEFT($A148, 17)="sensor_statistic ", LEN($A148)&gt;17, NOT(ISNUMBER(SEARCH(" ", $A148, 18)))))</formula>
    </cfRule>
  </conditionalFormatting>
  <conditionalFormatting sqref="A150:X150">
    <cfRule type="expression" priority="1430" dxfId="8" stopIfTrue="1">
      <formula>OR($A150="audio audit", $A150="text audit", $A150="speed violations count", $A150="speed violations list", $A150="speed violations audit")</formula>
    </cfRule>
    <cfRule type="expression" priority="1428" dxfId="11" stopIfTrue="1">
      <formula>OR($A150="calculate", $A150="calculate_here")</formula>
    </cfRule>
  </conditionalFormatting>
  <conditionalFormatting sqref="A163:X164 A165:S165 N183 U165:X165">
    <cfRule type="expression" priority="1424" dxfId="8" stopIfTrue="1">
      <formula>OR($A163="audio audit", $A163="text audit", $A163="speed violations count", $A163="speed violations list", $A163="speed violations audit")</formula>
    </cfRule>
  </conditionalFormatting>
  <conditionalFormatting sqref="A163:X164 A165:S165 U165:X165">
    <cfRule type="expression" priority="1422" dxfId="87" stopIfTrue="1">
      <formula>OR(AND(LEFT($A163, 14)="sensor_stream ", LEN($A163)&gt;14, NOT(ISNUMBER(SEARCH(" ", $A163, 15)))), AND(LEFT($A163, 17)="sensor_statistic ", LEN($A163)&gt;17, NOT(ISNUMBER(SEARCH(" ", $A163, 18)))))</formula>
    </cfRule>
    <cfRule type="expression" priority="1420" dxfId="11" stopIfTrue="1">
      <formula>OR($A163="calculate", $A163="calculate_here")</formula>
    </cfRule>
  </conditionalFormatting>
  <conditionalFormatting sqref="A166:X166">
    <cfRule type="expression" priority="1398" dxfId="1" stopIfTrue="1">
      <formula>$A166="begin group"</formula>
    </cfRule>
    <cfRule type="expression" priority="1394" dxfId="4" stopIfTrue="1">
      <formula>$A166="text"</formula>
    </cfRule>
    <cfRule type="expression" priority="1391" dxfId="6" stopIfTrue="1">
      <formula>$A166="decimal"</formula>
    </cfRule>
    <cfRule type="expression" priority="1397" dxfId="1" stopIfTrue="1">
      <formula>$A166="end group"</formula>
    </cfRule>
    <cfRule type="expression" priority="1364" dxfId="86" stopIfTrue="1">
      <formula>$A166="enumerator"</formula>
    </cfRule>
    <cfRule type="expression" priority="1396" dxfId="2" stopIfTrue="1">
      <formula>$A166="begin repeat"</formula>
    </cfRule>
    <cfRule type="expression" priority="1395" dxfId="2" stopIfTrue="1">
      <formula>$A166="end repeat"</formula>
    </cfRule>
    <cfRule type="expression" priority="1392" dxfId="5" stopIfTrue="1">
      <formula>$A166="integer"</formula>
    </cfRule>
    <cfRule type="expression" priority="1376" dxfId="23" stopIfTrue="1">
      <formula>OR($A166="audio", $A166="video")</formula>
    </cfRule>
    <cfRule type="expression" priority="1373" dxfId="87" stopIfTrue="1">
      <formula>OR(AND(LEFT($A166, 14)="sensor_stream ", LEN($A166)&gt;14, NOT(ISNUMBER(SEARCH(" ", $A166, 15)))), AND(LEFT($A166, 17)="sensor_statistic ", LEN($A166)&gt;17, NOT(ISNUMBER(SEARCH(" ", $A166, 18)))))</formula>
    </cfRule>
    <cfRule type="expression" priority="1370" dxfId="84" stopIfTrue="1">
      <formula>$A166="file"</formula>
    </cfRule>
    <cfRule type="expression" priority="1388" dxfId="0" stopIfTrue="1">
      <formula>OR($A166="username", $A166="phonenumber", $A166="start", $A166="end", $A166="deviceid", $A166="subscriberid", $A166="simserial", $A166="caseid")</formula>
    </cfRule>
    <cfRule type="expression" priority="1382" dxfId="11" stopIfTrue="1">
      <formula>OR($A166="calculate", $A166="calculate_here")</formula>
    </cfRule>
    <cfRule type="expression" priority="1383" dxfId="12" stopIfTrue="1">
      <formula>$A166="note"</formula>
    </cfRule>
    <cfRule type="expression" priority="1384" dxfId="10" stopIfTrue="1">
      <formula>$A166="barcode"</formula>
    </cfRule>
    <cfRule type="expression" priority="1385" dxfId="9" stopIfTrue="1">
      <formula>OR($A166="geopoint", $A166="geoshape", $A166="geotrace")</formula>
    </cfRule>
    <cfRule type="expression" priority="1365" dxfId="24" stopIfTrue="1">
      <formula>$A166="comments"</formula>
    </cfRule>
  </conditionalFormatting>
  <conditionalFormatting sqref="A166:X167">
    <cfRule type="expression" priority="1387" dxfId="8" stopIfTrue="1">
      <formula>OR($A166="audio audit", $A166="text audit", $A166="speed violations count", $A166="speed violations list", $A166="speed violations audit")</formula>
    </cfRule>
    <cfRule type="expression" priority="1380" dxfId="21" stopIfTrue="1">
      <formula>OR($A166="date", $A166="datetime", $A166="time")</formula>
    </cfRule>
    <cfRule type="expression" priority="1378" dxfId="22" stopIfTrue="1">
      <formula>$A166="image"</formula>
    </cfRule>
    <cfRule type="expression" priority="1390" dxfId="7" stopIfTrue="1">
      <formula>OR(AND(LEFT($A166, 16)="select_multiple ", LEN($A166)&gt;16, NOT(ISNUMBER(SEARCH(" ", $A166, 17)))), AND(LEFT($A166, 11)="select_one ", LEN($A166)&gt;11, NOT(ISNUMBER(SEARCH(" ", $A166, 12)))))</formula>
    </cfRule>
  </conditionalFormatting>
  <conditionalFormatting sqref="A167:X167 A176:M178 A183:M183 O176:X178 O183:X183">
    <cfRule type="expression" priority="1408" dxfId="12" stopIfTrue="1">
      <formula>$A167="note"</formula>
    </cfRule>
    <cfRule type="expression" priority="1400" dxfId="24" stopIfTrue="1">
      <formula>$A167="comments"</formula>
    </cfRule>
    <cfRule type="expression" priority="1410" dxfId="9" stopIfTrue="1">
      <formula>OR($A167="geopoint", $A167="geoshape", $A167="geotrace")</formula>
    </cfRule>
    <cfRule type="expression" priority="1409" dxfId="10" stopIfTrue="1">
      <formula>$A167="barcode"</formula>
    </cfRule>
  </conditionalFormatting>
  <conditionalFormatting sqref="A167:X167 A176:M182 A183:X191 O174:X182">
    <cfRule type="expression" priority="1404" dxfId="87" stopIfTrue="1">
      <formula>OR(AND(LEFT($A167, 14)="sensor_stream ", LEN($A167)&gt;14, NOT(ISNUMBER(SEARCH(" ", $A167, 15)))), AND(LEFT($A167, 17)="sensor_statistic ", LEN($A167)&gt;17, NOT(ISNUMBER(SEARCH(" ", $A167, 18)))))</formula>
    </cfRule>
  </conditionalFormatting>
  <conditionalFormatting sqref="A167:X167">
    <cfRule type="expression" priority="1417" dxfId="1" stopIfTrue="1">
      <formula>$A167="end group"</formula>
    </cfRule>
    <cfRule type="expression" priority="1407" dxfId="11" stopIfTrue="1">
      <formula>OR($A167="calculate", $A167="calculate_here")</formula>
    </cfRule>
    <cfRule type="expression" priority="1411" dxfId="0" stopIfTrue="1">
      <formula>OR($A167="username", $A167="phonenumber", $A167="start", $A167="end", $A167="deviceid", $A167="subscriberid", $A167="simserial", $A167="caseid")</formula>
    </cfRule>
    <cfRule type="expression" priority="1413" dxfId="6" stopIfTrue="1">
      <formula>$A167="decimal"</formula>
    </cfRule>
    <cfRule type="expression" priority="1414" dxfId="5" stopIfTrue="1">
      <formula>$A167="integer"</formula>
    </cfRule>
    <cfRule type="expression" priority="1415" dxfId="2" stopIfTrue="1">
      <formula>$A167="end repeat"</formula>
    </cfRule>
    <cfRule type="expression" priority="1418" dxfId="1" stopIfTrue="1">
      <formula>$A167="begin group"</formula>
    </cfRule>
    <cfRule type="expression" priority="1416" dxfId="2" stopIfTrue="1">
      <formula>$A167="begin repeat"</formula>
    </cfRule>
  </conditionalFormatting>
  <conditionalFormatting sqref="A168 A169:X169 C168:X168">
    <cfRule type="expression" priority="1302" dxfId="84" stopIfTrue="1">
      <formula>$A168="file"</formula>
    </cfRule>
    <cfRule type="expression" priority="1323" dxfId="86" stopIfTrue="1">
      <formula>$A168="enumerator"</formula>
    </cfRule>
  </conditionalFormatting>
  <conditionalFormatting sqref="A168 A169:X169 A170:B171 A172:M172 A173:X173 A174:M175 C168:X168 D170:X171 O172:X172 O174:X175">
    <cfRule type="expression" priority="1339" dxfId="12" stopIfTrue="1">
      <formula>$A168="note"</formula>
    </cfRule>
    <cfRule type="expression" priority="1341" dxfId="10" stopIfTrue="1">
      <formula>$A168="barcode"</formula>
    </cfRule>
    <cfRule type="expression" priority="1343" dxfId="9" stopIfTrue="1">
      <formula>OR($A168="geopoint", $A168="geoshape", $A168="geotrace")</formula>
    </cfRule>
    <cfRule type="expression" priority="1331" dxfId="23" stopIfTrue="1">
      <formula>OR($A168="audio", $A168="video")</formula>
    </cfRule>
  </conditionalFormatting>
  <conditionalFormatting sqref="A170:X171">
    <cfRule type="expression" priority="1298" dxfId="84" stopIfTrue="1">
      <formula>$A170="file"</formula>
    </cfRule>
    <cfRule type="expression" priority="1297" dxfId="86" stopIfTrue="1">
      <formula>$A170="enumerator"</formula>
    </cfRule>
  </conditionalFormatting>
  <conditionalFormatting sqref="A192:X197">
    <cfRule type="expression" priority="1178" dxfId="5" stopIfTrue="1">
      <formula>$A192="integer"</formula>
    </cfRule>
    <cfRule type="expression" priority="1182" dxfId="1" stopIfTrue="1">
      <formula>$A192="end group"</formula>
    </cfRule>
    <cfRule type="expression" priority="1177" dxfId="6" stopIfTrue="1">
      <formula>$A192="decimal"</formula>
    </cfRule>
    <cfRule type="expression" priority="1179" dxfId="4" stopIfTrue="1">
      <formula>$A192="text"</formula>
    </cfRule>
    <cfRule type="expression" priority="1176" dxfId="7" stopIfTrue="1">
      <formula>OR(AND(LEFT($A192, 16)="select_multiple ", LEN($A192)&gt;16, NOT(ISNUMBER(SEARCH(" ", $A192, 17)))), AND(LEFT($A192, 11)="select_one ", LEN($A192)&gt;11, NOT(ISNUMBER(SEARCH(" ", $A192, 12)))))</formula>
    </cfRule>
    <cfRule type="expression" priority="1174" dxfId="0" stopIfTrue="1">
      <formula>OR($A192="username", $A192="phonenumber", $A192="start", $A192="end", $A192="deviceid", $A192="subscriberid", $A192="simserial", $A192="caseid")</formula>
    </cfRule>
    <cfRule type="expression" priority="1173" dxfId="8" stopIfTrue="1">
      <formula>OR($A192="audio audit", $A192="text audit", $A192="speed violations count", $A192="speed violations list", $A192="speed violations audit")</formula>
    </cfRule>
    <cfRule type="expression" priority="1181" dxfId="2" stopIfTrue="1">
      <formula>$A192="begin repeat"</formula>
    </cfRule>
    <cfRule type="expression" priority="1171" dxfId="9" stopIfTrue="1">
      <formula>OR($A192="geopoint", $A192="geoshape", $A192="geotrace")</formula>
    </cfRule>
    <cfRule type="expression" priority="1170" dxfId="10" stopIfTrue="1">
      <formula>$A192="barcode"</formula>
    </cfRule>
    <cfRule type="expression" priority="1169" dxfId="12" stopIfTrue="1">
      <formula>$A192="note"</formula>
    </cfRule>
    <cfRule type="expression" priority="1167" dxfId="21" stopIfTrue="1">
      <formula>OR($A192="date", $A192="datetime", $A192="time")</formula>
    </cfRule>
    <cfRule type="expression" priority="1165" dxfId="22" stopIfTrue="1">
      <formula>$A192="image"</formula>
    </cfRule>
    <cfRule type="expression" priority="1163" dxfId="23" stopIfTrue="1">
      <formula>OR($A192="audio", $A192="video")</formula>
    </cfRule>
    <cfRule type="expression" priority="1183" dxfId="1" stopIfTrue="1">
      <formula>$A192="begin group"</formula>
    </cfRule>
    <cfRule type="expression" priority="1161" dxfId="24" stopIfTrue="1">
      <formula>$A192="comments"</formula>
    </cfRule>
    <cfRule type="expression" priority="1156" dxfId="84" stopIfTrue="1">
      <formula>$A192="file"</formula>
    </cfRule>
    <cfRule type="expression" priority="1151" dxfId="86" stopIfTrue="1">
      <formula>$A192="enumerator"</formula>
    </cfRule>
    <cfRule type="expression" priority="1180" dxfId="2" stopIfTrue="1">
      <formula>$A192="end repeat"</formula>
    </cfRule>
  </conditionalFormatting>
  <conditionalFormatting sqref="A192:X200">
    <cfRule type="expression" priority="1159" dxfId="87" stopIfTrue="1">
      <formula>OR(AND(LEFT($A192, 14)="sensor_stream ", LEN($A192)&gt;14, NOT(ISNUMBER(SEARCH(" ", $A192, 15)))), AND(LEFT($A192, 17)="sensor_statistic ", LEN($A192)&gt;17, NOT(ISNUMBER(SEARCH(" ", $A192, 18)))))</formula>
    </cfRule>
  </conditionalFormatting>
  <conditionalFormatting sqref="A310:X313 A314:A326 A327:X331 A332:A345 A346:X351 A352:A364 A365:X370 A371:A383 A384:X386 B314:X320 B332:X339 B352:X358 B371:X377">
    <cfRule type="expression" priority="470" dxfId="2" stopIfTrue="1">
      <formula>$A310="begin repeat"</formula>
    </cfRule>
    <cfRule type="expression" priority="471" dxfId="1" stopIfTrue="1">
      <formula>$A310="end group"</formula>
    </cfRule>
    <cfRule type="expression" priority="469" dxfId="2" stopIfTrue="1">
      <formula>$A310="end repeat"</formula>
    </cfRule>
    <cfRule type="expression" priority="468" dxfId="4" stopIfTrue="1">
      <formula>$A310="text"</formula>
    </cfRule>
    <cfRule type="expression" priority="467" dxfId="5" stopIfTrue="1">
      <formula>$A310="integer"</formula>
    </cfRule>
    <cfRule type="expression" priority="466" dxfId="6" stopIfTrue="1">
      <formula>$A310="decimal"</formula>
    </cfRule>
    <cfRule type="expression" priority="461" dxfId="9" stopIfTrue="1">
      <formula>OR($A310="geopoint", $A310="geoshape", $A310="geotrace")</formula>
    </cfRule>
    <cfRule type="expression" priority="460" dxfId="10" stopIfTrue="1">
      <formula>$A310="barcode"</formula>
    </cfRule>
    <cfRule type="expression" priority="432" dxfId="11" stopIfTrue="1">
      <formula>OR($A310="calculate", $A310="calculate_here")</formula>
    </cfRule>
    <cfRule type="expression" priority="433" dxfId="8" stopIfTrue="1">
      <formula>OR($A310="audio audit", $A310="text audit", $A310="speed violations count", $A310="speed violations list", $A310="speed violations audit")</formula>
    </cfRule>
    <cfRule type="expression" priority="472" dxfId="1" stopIfTrue="1">
      <formula>$A310="begin group"</formula>
    </cfRule>
    <cfRule type="expression" priority="431" dxfId="87" stopIfTrue="1">
      <formula>OR(AND(LEFT($A310, 14)="sensor_stream ", LEN($A310)&gt;14, NOT(ISNUMBER(SEARCH(" ", $A310, 15)))), AND(LEFT($A310, 17)="sensor_statistic ", LEN($A310)&gt;17, NOT(ISNUMBER(SEARCH(" ", $A310, 18)))))</formula>
    </cfRule>
    <cfRule type="expression" priority="457" dxfId="21" stopIfTrue="1">
      <formula>OR($A310="date", $A310="datetime", $A310="time")</formula>
    </cfRule>
    <cfRule type="expression" priority="455" dxfId="22" stopIfTrue="1">
      <formula>$A310="image"</formula>
    </cfRule>
    <cfRule type="expression" priority="465" dxfId="7" stopIfTrue="1">
      <formula>OR(AND(LEFT($A310, 16)="select_multiple ", LEN($A310)&gt;16, NOT(ISNUMBER(SEARCH(" ", $A310, 17)))), AND(LEFT($A310, 11)="select_one ", LEN($A310)&gt;11, NOT(ISNUMBER(SEARCH(" ", $A310, 12)))))</formula>
    </cfRule>
    <cfRule type="expression" priority="463" dxfId="0" stopIfTrue="1">
      <formula>OR($A310="username", $A310="phonenumber", $A310="start", $A310="end", $A310="deviceid", $A310="subscriberid", $A310="simserial", $A310="caseid")</formula>
    </cfRule>
    <cfRule type="expression" priority="459" dxfId="12" stopIfTrue="1">
      <formula>$A310="note"</formula>
    </cfRule>
    <cfRule type="expression" priority="453" dxfId="23" stopIfTrue="1">
      <formula>OR($A310="audio", $A310="video")</formula>
    </cfRule>
    <cfRule type="expression" priority="451" dxfId="24" stopIfTrue="1">
      <formula>$A310="comments"</formula>
    </cfRule>
    <cfRule type="expression" priority="448" dxfId="84" stopIfTrue="1">
      <formula>$A310="file"</formula>
    </cfRule>
    <cfRule type="expression" priority="443" dxfId="86" stopIfTrue="1">
      <formula>$A310="enumerator"</formula>
    </cfRule>
  </conditionalFormatting>
  <conditionalFormatting sqref="A387:X436">
    <cfRule type="expression" priority="518" dxfId="5" stopIfTrue="1">
      <formula>$A387="integer"</formula>
    </cfRule>
    <cfRule type="expression" priority="517" dxfId="6" stopIfTrue="1">
      <formula>$A387="decimal"</formula>
    </cfRule>
    <cfRule type="expression" priority="516" dxfId="7" stopIfTrue="1">
      <formula>OR(AND(LEFT($A387, 16)="select_multiple ", LEN($A387)&gt;16, NOT(ISNUMBER(SEARCH(" ", $A387, 17)))), AND(LEFT($A387, 11)="select_one ", LEN($A387)&gt;11, NOT(ISNUMBER(SEARCH(" ", $A387, 12)))))</formula>
    </cfRule>
    <cfRule type="expression" priority="519" dxfId="4" stopIfTrue="1">
      <formula>$A387="text"</formula>
    </cfRule>
    <cfRule type="expression" priority="515" dxfId="0" stopIfTrue="1">
      <formula>OR($A387="username", $A387="phonenumber", $A387="start", $A387="end", $A387="deviceid", $A387="subscriberid", $A387="simserial", $A387="caseid")</formula>
    </cfRule>
    <cfRule type="expression" priority="513" dxfId="9" stopIfTrue="1">
      <formula>OR($A387="geopoint", $A387="geoshape", $A387="geotrace")</formula>
    </cfRule>
    <cfRule type="expression" priority="512" dxfId="10" stopIfTrue="1">
      <formula>$A387="barcode"</formula>
    </cfRule>
    <cfRule type="expression" priority="511" dxfId="12" stopIfTrue="1">
      <formula>$A387="note"</formula>
    </cfRule>
    <cfRule type="expression" priority="509" dxfId="21" stopIfTrue="1">
      <formula>OR($A387="date", $A387="datetime", $A387="time")</formula>
    </cfRule>
    <cfRule type="expression" priority="508" dxfId="22" stopIfTrue="1">
      <formula>$A387="image"</formula>
    </cfRule>
    <cfRule type="expression" priority="507" dxfId="23" stopIfTrue="1">
      <formula>OR($A387="audio", $A387="video")</formula>
    </cfRule>
    <cfRule type="expression" priority="505" dxfId="24" stopIfTrue="1">
      <formula>$A387="comments"</formula>
    </cfRule>
    <cfRule type="expression" priority="502" dxfId="84" stopIfTrue="1">
      <formula>$A387="file"</formula>
    </cfRule>
    <cfRule type="expression" priority="520" dxfId="2" stopIfTrue="1">
      <formula>$A387="end repeat"</formula>
    </cfRule>
    <cfRule type="expression" priority="497" dxfId="86" stopIfTrue="1">
      <formula>$A387="enumerator"</formula>
    </cfRule>
    <cfRule type="expression" priority="523" dxfId="1" stopIfTrue="1">
      <formula>$A387="begin group"</formula>
    </cfRule>
    <cfRule type="expression" priority="521" dxfId="2" stopIfTrue="1">
      <formula>$A387="begin repeat"</formula>
    </cfRule>
    <cfRule type="expression" priority="522" dxfId="1" stopIfTrue="1">
      <formula>$A387="end group"</formula>
    </cfRule>
  </conditionalFormatting>
  <conditionalFormatting sqref="A387:X437">
    <cfRule type="expression" priority="485" dxfId="87" stopIfTrue="1">
      <formula>OR(AND(LEFT($A387, 14)="sensor_stream ", LEN($A387)&gt;14, NOT(ISNUMBER(SEARCH(" ", $A387, 15)))), AND(LEFT($A387, 17)="sensor_statistic ", LEN($A387)&gt;17, NOT(ISNUMBER(SEARCH(" ", $A387, 18)))))</formula>
    </cfRule>
    <cfRule type="expression" priority="487" dxfId="8" stopIfTrue="1">
      <formula>OR($A387="audio audit", $A387="text audit", $A387="speed violations count", $A387="speed violations list", $A387="speed violations audit")</formula>
    </cfRule>
    <cfRule type="expression" priority="486" dxfId="11" stopIfTrue="1">
      <formula>OR($A387="calculate", $A387="calculate_here")</formula>
    </cfRule>
  </conditionalFormatting>
  <conditionalFormatting sqref="A439:X458">
    <cfRule type="expression" priority="4" dxfId="87" stopIfTrue="1">
      <formula>OR(AND(LEFT($A439, 14)="sensor_stream ", LEN($A439)&gt;14, NOT(ISNUMBER(SEARCH(" ", $A439, 15)))), AND(LEFT($A439, 17)="sensor_statistic ", LEN($A439)&gt;17, NOT(ISNUMBER(SEARCH(" ", $A439, 18)))))</formula>
    </cfRule>
    <cfRule type="expression" priority="5" dxfId="11" stopIfTrue="1">
      <formula>OR($A439="calculate", $A439="calculate_here")</formula>
    </cfRule>
    <cfRule type="expression" priority="6" dxfId="8" stopIfTrue="1">
      <formula>OR($A439="audio audit", $A439="text audit", $A439="speed violations count", $A439="speed violations list", $A439="speed violations audit")</formula>
    </cfRule>
  </conditionalFormatting>
  <conditionalFormatting sqref="A471:X483 A484:M488 O484:X488">
    <cfRule type="expression" priority="1544" dxfId="22" stopIfTrue="1">
      <formula>$A471="image"</formula>
    </cfRule>
    <cfRule type="expression" priority="1558" dxfId="1" stopIfTrue="1">
      <formula>$A471="end group"</formula>
    </cfRule>
    <cfRule type="expression" priority="1557" dxfId="2" stopIfTrue="1">
      <formula>$A471="begin repeat"</formula>
    </cfRule>
    <cfRule type="expression" priority="1556" dxfId="2" stopIfTrue="1">
      <formula>$A471="end repeat"</formula>
    </cfRule>
    <cfRule type="expression" priority="1559" dxfId="1" stopIfTrue="1">
      <formula>$A471="begin group"</formula>
    </cfRule>
    <cfRule type="expression" priority="1521" dxfId="87" stopIfTrue="1">
      <formula>OR(AND(LEFT($A471, 14)="sensor_stream ", LEN($A471)&gt;14, NOT(ISNUMBER(SEARCH(" ", $A471, 15)))), AND(LEFT($A471, 17)="sensor_statistic ", LEN($A471)&gt;17, NOT(ISNUMBER(SEARCH(" ", $A471, 18)))))</formula>
    </cfRule>
    <cfRule type="expression" priority="1522" dxfId="11" stopIfTrue="1">
      <formula>OR($A471="calculate", $A471="calculate_here")</formula>
    </cfRule>
    <cfRule type="expression" priority="1555" dxfId="4" stopIfTrue="1">
      <formula>$A471="text"</formula>
    </cfRule>
    <cfRule type="expression" priority="1554" dxfId="5" stopIfTrue="1">
      <formula>$A471="integer"</formula>
    </cfRule>
    <cfRule type="expression" priority="1553" dxfId="6" stopIfTrue="1">
      <formula>$A471="decimal"</formula>
    </cfRule>
    <cfRule type="expression" priority="1552" dxfId="7" stopIfTrue="1">
      <formula>OR(AND(LEFT($A471, 16)="select_multiple ", LEN($A471)&gt;16, NOT(ISNUMBER(SEARCH(" ", $A471, 17)))), AND(LEFT($A471, 11)="select_one ", LEN($A471)&gt;11, NOT(ISNUMBER(SEARCH(" ", $A471, 12)))))</formula>
    </cfRule>
    <cfRule type="expression" priority="1551" dxfId="0" stopIfTrue="1">
      <formula>OR($A471="username", $A471="phonenumber", $A471="start", $A471="end", $A471="deviceid", $A471="subscriberid", $A471="simserial", $A471="caseid")</formula>
    </cfRule>
    <cfRule type="expression" priority="1549" dxfId="9" stopIfTrue="1">
      <formula>OR($A471="geopoint", $A471="geoshape", $A471="geotrace")</formula>
    </cfRule>
    <cfRule type="expression" priority="1523" dxfId="8" stopIfTrue="1">
      <formula>OR($A471="audio audit", $A471="text audit", $A471="speed violations count", $A471="speed violations list", $A471="speed violations audit")</formula>
    </cfRule>
    <cfRule type="expression" priority="1548" dxfId="10" stopIfTrue="1">
      <formula>$A471="barcode"</formula>
    </cfRule>
    <cfRule type="expression" priority="1533" dxfId="86" stopIfTrue="1">
      <formula>$A471="enumerator"</formula>
    </cfRule>
    <cfRule type="expression" priority="1547" dxfId="12" stopIfTrue="1">
      <formula>$A471="note"</formula>
    </cfRule>
    <cfRule type="expression" priority="1541" dxfId="24" stopIfTrue="1">
      <formula>$A471="comments"</formula>
    </cfRule>
    <cfRule type="expression" priority="1545" dxfId="21" stopIfTrue="1">
      <formula>OR($A471="date", $A471="datetime", $A471="time")</formula>
    </cfRule>
    <cfRule type="expression" priority="1543" dxfId="23" stopIfTrue="1">
      <formula>OR($A471="audio", $A471="video")</formula>
    </cfRule>
    <cfRule type="expression" priority="1538" dxfId="84" stopIfTrue="1">
      <formula>$A471="file"</formula>
    </cfRule>
  </conditionalFormatting>
  <conditionalFormatting sqref="B1:B12 B15:B21 B24:B25 B27:B28 B30:B48 B51:B101 B104:B136 B138:B144 B148:B165 B167 B176:B191 B198:B309 B437:B469 B471:B1048576 F1:F12 F15:F21 F24:F25 F27:F28 F30:F39 F42:F48 F51:F101 F104:F144 F148:F165 F167:F191 F198:F200 F202:F309 F437:F469 F471:F1048576 I40:I41">
    <cfRule type="expression" priority="7727" dxfId="64" stopIfTrue="1">
      <formula>OR($A1="audio audit", $A1="text audit", $A1="speed violations count", $A1="speed violations list", $A1="speed violations audit")</formula>
    </cfRule>
    <cfRule type="expression" priority="7704" dxfId="306" stopIfTrue="1">
      <formula>OR(AND(LEFT($A1, 14)="sensor_stream ", LEN($A1)&gt;14, NOT(ISNUMBER(SEARCH(" ", $A1, 15)))), AND(LEFT($A1, 17)="sensor_statistic ", LEN($A1)&gt;17, NOT(ISNUMBER(SEARCH(" ", $A1, 18)))))</formula>
    </cfRule>
  </conditionalFormatting>
  <conditionalFormatting sqref="B1:B12 B15:B21 B24:B28 B30:B48 B51:B101 B104:B136 B138:B144 B148:B165 B167 B176:B191 B198:B309 B437:B469 B471:B1048576 N1:N12 N15:N21 N24:N28 N30:N48 N51:N101 N104:N144 N148:N165 N167:N171 N174:N177 N183:N191 N198:N200 N202:N309 N437:N469 N471:N483 N489:N1048576">
    <cfRule type="expression" priority="7719" dxfId="63" stopIfTrue="1">
      <formula>OR($A1="calculate", $A1="calculate_here")</formula>
    </cfRule>
  </conditionalFormatting>
  <conditionalFormatting sqref="B13:B14 B26 F13:F14 F26">
    <cfRule type="expression" priority="2148" dxfId="306" stopIfTrue="1">
      <formula>OR(AND(LEFT($A13, 14)="sensor_stream ", LEN($A13)&gt;14, NOT(ISNUMBER(SEARCH(" ", $A13, 15)))), AND(LEFT($A13, 17)="sensor_statistic ", LEN($A13)&gt;17, NOT(ISNUMBER(SEARCH(" ", $A13, 18)))))</formula>
    </cfRule>
    <cfRule type="expression" priority="2166" dxfId="64" stopIfTrue="1">
      <formula>OR($A13="audio audit", $A13="text audit", $A13="speed violations count", $A13="speed violations list", $A13="speed violations audit")</formula>
    </cfRule>
  </conditionalFormatting>
  <conditionalFormatting sqref="B13:B14 N13:N14">
    <cfRule type="expression" priority="2158" dxfId="63" stopIfTrue="1">
      <formula>OR($A13="calculate", $A13="calculate_here")</formula>
    </cfRule>
  </conditionalFormatting>
  <conditionalFormatting sqref="B13:B21 B24:B25 B27:B28 B30:B48 B51:B101 B138:B144 B148:B162 B176:B191 B198:B309 B437:B469 B471:B1048576">
    <cfRule type="expression" priority="2150" dxfId="62" stopIfTrue="1">
      <formula>$A13="comments"</formula>
    </cfRule>
  </conditionalFormatting>
  <conditionalFormatting sqref="B16 B19:B21 B24:B25 B27:B28 B30:B42 B44:B48 B51:B101 B104:B136 B138:B144 B148:B165 B179:B182 B184:B191 B198:B276 B277:C277 B278:B309 B437:B450 B451:C458 B459:B463 B464:C469">
    <cfRule type="expression" priority="4357" dxfId="44" stopIfTrue="1">
      <formula>OR($A16="geopoint", $A16="geoshape", $A16="geotrace")</formula>
    </cfRule>
    <cfRule type="expression" priority="4355" dxfId="43" stopIfTrue="1">
      <formula>$A16="barcode"</formula>
    </cfRule>
    <cfRule type="expression" priority="4353" dxfId="42" stopIfTrue="1">
      <formula>$A16="note"</formula>
    </cfRule>
  </conditionalFormatting>
  <conditionalFormatting sqref="B16 B19:D21 B24:D25 B27:D28 B30:B39 B40:D42 B44:D48 B51:D89 B90:B97 B98:D101 B108:D136 B138:D144 B148:D165 B167:D167 B176:D191 B198:D200 B201 B202:D309 B437:D437 B438 B439:D451 B452:C454 B455:D458 B459:B463 B464:D469 B471:D1048576 D30:D39 D137 D438 D459:D463 G19:H21 G24:H25 G27:H28 G30:H42 G44:H48 G51:H101 G108:H144 G148:H165 G167:H191 G198:H200 G202:H309 G437:H451 G455:H469 G471:H1048576">
    <cfRule type="expression" priority="4069" dxfId="40" stopIfTrue="1">
      <formula>$A16="decimal"</formula>
    </cfRule>
    <cfRule type="expression" priority="4071" dxfId="36" stopIfTrue="1">
      <formula>$A16="integer"</formula>
    </cfRule>
  </conditionalFormatting>
  <conditionalFormatting sqref="B16">
    <cfRule type="expression" priority="4079" dxfId="47" stopIfTrue="1">
      <formula>$A16="begin group"</formula>
    </cfRule>
    <cfRule type="expression" priority="4154" dxfId="41" stopIfTrue="1">
      <formula>$A16="begin repeat"</formula>
    </cfRule>
  </conditionalFormatting>
  <conditionalFormatting sqref="B1:C12 B15:C15 B16 B19:B21 B24:B25 B27:B28 B30:B42 B44:B48 B51:B101 B104:B136 B138:B144 B148:B165 B167 B176:B191 B198:B276 B277:C277 B278:B309 B437:B450 B451:C458 B459:B463 B464:C469">
    <cfRule type="expression" priority="7711" dxfId="45" stopIfTrue="1">
      <formula>OR($A1="audio", $A1="video")</formula>
    </cfRule>
  </conditionalFormatting>
  <conditionalFormatting sqref="B1:C12 B17 B18:C18 B19:B21 B24:B28 B30:B42 B43:C43 B44:B48 B51:B101 B104:B136 B138:B144 B148:B165 B167 B176:B191 B198:B276 B277:C277 B278:B309 B437:B450 B451:C458 B459:B463 B464:C469 B471:C1048576 I1:I21 I24:I28 I30:I48 I51:I101 I104:I144 I148:I165 I167:I191 I198:I200 I202:I309 I437:I469 I471:I1048576 O1:O21 O24:O28 O30:O48 O51:O144 O148:O165 O167:O191 O198:O200 O202:O309 O437:O469 O471:O1048576">
    <cfRule type="expression" priority="4076" dxfId="41" stopIfTrue="1">
      <formula>$A1="begin repeat"</formula>
    </cfRule>
  </conditionalFormatting>
  <conditionalFormatting sqref="B22:B23 B26">
    <cfRule type="expression" priority="215" dxfId="62" stopIfTrue="1">
      <formula>$A22="comments"</formula>
    </cfRule>
    <cfRule type="expression" priority="217" dxfId="116" stopIfTrue="1">
      <formula>$A22="file"</formula>
    </cfRule>
    <cfRule type="expression" priority="223" dxfId="42" stopIfTrue="1">
      <formula>$A22="note"</formula>
    </cfRule>
    <cfRule type="expression" priority="224" dxfId="43" stopIfTrue="1">
      <formula>$A22="barcode"</formula>
    </cfRule>
    <cfRule type="expression" priority="225" dxfId="44" stopIfTrue="1">
      <formula>OR($A22="geopoint", $A22="geoshape", $A22="geotrace")</formula>
    </cfRule>
    <cfRule type="expression" priority="230" dxfId="45" stopIfTrue="1">
      <formula>OR($A22="audio", $A22="video")</formula>
    </cfRule>
  </conditionalFormatting>
  <conditionalFormatting sqref="B22:B23 F22:F23">
    <cfRule type="expression" priority="228" dxfId="306" stopIfTrue="1">
      <formula>OR(AND(LEFT($A22, 14)="sensor_stream ", LEN($A22)&gt;14, NOT(ISNUMBER(SEARCH(" ", $A22, 15)))), AND(LEFT($A22, 17)="sensor_statistic ", LEN($A22)&gt;17, NOT(ISNUMBER(SEARCH(" ", $A22, 18)))))</formula>
    </cfRule>
    <cfRule type="expression" priority="232" dxfId="48" stopIfTrue="1">
      <formula>$A22="image"</formula>
    </cfRule>
    <cfRule type="expression" priority="234" dxfId="49" stopIfTrue="1">
      <formula>OR($A22="date", $A22="datetime", $A22="time")</formula>
    </cfRule>
    <cfRule type="expression" priority="240" dxfId="64" stopIfTrue="1">
      <formula>OR($A22="audio audit", $A22="text audit", $A22="speed violations count", $A22="speed violations list", $A22="speed violations audit")</formula>
    </cfRule>
    <cfRule type="expression" priority="242" dxfId="46" stopIfTrue="1">
      <formula>OR(AND(LEFT($A22, 16)="select_multiple ", LEN($A22)&gt;16, NOT(ISNUMBER(SEARCH(" ", $A22, 17)))), AND(LEFT($A22, 11)="select_one ", LEN($A22)&gt;11, NOT(ISNUMBER(SEARCH(" ", $A22, 12)))))</formula>
    </cfRule>
  </conditionalFormatting>
  <conditionalFormatting sqref="B22:B23 I22:I23 O22:O23">
    <cfRule type="expression" priority="220" dxfId="41" stopIfTrue="1">
      <formula>$A22="begin repeat"</formula>
    </cfRule>
  </conditionalFormatting>
  <conditionalFormatting sqref="B22:B23 N22:N23">
    <cfRule type="expression" priority="236" dxfId="63" stopIfTrue="1">
      <formula>OR($A22="calculate", $A22="calculate_here")</formula>
    </cfRule>
  </conditionalFormatting>
  <conditionalFormatting sqref="B22:B28 B471:C1048576 F22:F28 F471:F1048576 I22:I28 I471:I1048576">
    <cfRule type="expression" priority="214" dxfId="47" stopIfTrue="1">
      <formula>$A22="begin group"</formula>
    </cfRule>
  </conditionalFormatting>
  <conditionalFormatting sqref="B16:B17 B24:B28 F24:F28">
    <cfRule type="expression" priority="383" dxfId="46" stopIfTrue="1">
      <formula>OR(AND(LEFT($A16, 16)="select_multiple ", LEN($A16)&gt;16, NOT(ISNUMBER(SEARCH(" ", $A16, 17)))), AND(LEFT($A16, 11)="select_one ", LEN($A16)&gt;11, NOT(ISNUMBER(SEARCH(" ", $A16, 12)))))</formula>
    </cfRule>
    <cfRule type="expression" priority="373" dxfId="48" stopIfTrue="1">
      <formula>$A16="image"</formula>
    </cfRule>
    <cfRule type="expression" priority="375" dxfId="49" stopIfTrue="1">
      <formula>OR($A16="date", $A16="datetime", $A16="time")</formula>
    </cfRule>
  </conditionalFormatting>
  <conditionalFormatting sqref="B1:C10 B16 B19:B21 B24:B25 B27:B28 B30:B42 B44:B48 B51:B101 B104:B136 B138:B144 B148:B165 B167 B176:B191 B266:B274 B277:C277 B278:B309 B437:B450 B451:C458 B459:B463 B464:C469">
    <cfRule type="expression" priority="3808" dxfId="116" stopIfTrue="1">
      <formula>$A1="file"</formula>
    </cfRule>
  </conditionalFormatting>
  <conditionalFormatting sqref="B49 F49">
    <cfRule type="expression" priority="266" dxfId="306" stopIfTrue="1">
      <formula>OR(AND(LEFT($A49, 14)="sensor_stream ", LEN($A49)&gt;14, NOT(ISNUMBER(SEARCH(" ", $A49, 15)))), AND(LEFT($A49, 17)="sensor_statistic ", LEN($A49)&gt;17, NOT(ISNUMBER(SEARCH(" ", $A49, 18)))))</formula>
    </cfRule>
    <cfRule type="expression" priority="279" dxfId="64" stopIfTrue="1">
      <formula>OR($A49="audio audit", $A49="text audit", $A49="speed violations count", $A49="speed violations list", $A49="speed violations audit")</formula>
    </cfRule>
  </conditionalFormatting>
  <conditionalFormatting sqref="B49 I49 O49">
    <cfRule type="expression" priority="259" dxfId="41" stopIfTrue="1">
      <formula>$A49="begin repeat"</formula>
    </cfRule>
  </conditionalFormatting>
  <conditionalFormatting sqref="B49 N49">
    <cfRule type="expression" priority="275" dxfId="63" stopIfTrue="1">
      <formula>OR($A49="calculate", $A49="calculate_here")</formula>
    </cfRule>
  </conditionalFormatting>
  <conditionalFormatting sqref="B49">
    <cfRule type="expression" priority="261" dxfId="42" stopIfTrue="1">
      <formula>$A49="note"</formula>
    </cfRule>
    <cfRule type="expression" priority="262" dxfId="43" stopIfTrue="1">
      <formula>$A49="barcode"</formula>
    </cfRule>
    <cfRule type="expression" priority="263" dxfId="44" stopIfTrue="1">
      <formula>OR($A49="geopoint", $A49="geoshape", $A49="geotrace")</formula>
    </cfRule>
    <cfRule type="expression" priority="269" dxfId="45" stopIfTrue="1">
      <formula>OR($A49="audio", $A49="video")</formula>
    </cfRule>
    <cfRule type="expression" priority="253" dxfId="47" stopIfTrue="1">
      <formula>$A49="begin group"</formula>
    </cfRule>
    <cfRule type="expression" priority="252" dxfId="62" stopIfTrue="1">
      <formula>$A49="comments"</formula>
    </cfRule>
    <cfRule type="expression" priority="256" dxfId="116" stopIfTrue="1">
      <formula>$A49="file"</formula>
    </cfRule>
  </conditionalFormatting>
  <conditionalFormatting sqref="B19:B21 B30:B42 B51:B103 B203:B210 B212:B219 B221:B228 B230:B237 B239:B246 B248:B255 B257:B264 B266:B274 B277:C277 B437:B450 B451:C458 B459:B463 B464:C469 B471:C1048576 F15:F21 F30:F39 F51:F103 F198:F200 F202:F277 F437:F469 F471:F1048576 I40:I41">
    <cfRule type="expression" priority="2085" dxfId="49" stopIfTrue="1">
      <formula>OR($A15="date", $A15="datetime", $A15="time")</formula>
    </cfRule>
    <cfRule type="expression" priority="2095" dxfId="46" stopIfTrue="1">
      <formula>OR(AND(LEFT($A15, 16)="select_multiple ", LEN($A15)&gt;16, NOT(ISNUMBER(SEARCH(" ", $A15, 17)))), AND(LEFT($A15, 11)="select_one ", LEN($A15)&gt;11, NOT(ISNUMBER(SEARCH(" ", $A15, 12)))))</formula>
    </cfRule>
    <cfRule type="expression" priority="2083" dxfId="48" stopIfTrue="1">
      <formula>$A15="image"</formula>
    </cfRule>
  </conditionalFormatting>
  <conditionalFormatting sqref="B1:C12 B19:B21 B51:B117 B138:B144 B148:B165 B176:B186 B191 B203:B210 B212:B219 B221:B228 B230:B237 B239:B246 B248:B255 B257:B264 B266:B274 B277:C277 B278:B309 B437:B450 B451:C458 B459:B463 B464:C469 F1:F12 F17:F21 F30:F39 F51:F144 F148:F191 F198:F200 F202:F309 F437:F469 I1:I12 I17:I21 I51:I144 I148:I162 I167:I191 I198:I200 I202:I309 I437:I469">
    <cfRule type="expression" priority="2069" dxfId="47" stopIfTrue="1">
      <formula>$A1="begin group"</formula>
    </cfRule>
  </conditionalFormatting>
  <conditionalFormatting sqref="B1:C10 B102:B103">
    <cfRule type="expression" priority="2073" dxfId="42" stopIfTrue="1">
      <formula>$A1="note"</formula>
    </cfRule>
    <cfRule type="expression" priority="2075" dxfId="44" stopIfTrue="1">
      <formula>OR($A1="geopoint", $A1="geoshape", $A1="geotrace")</formula>
    </cfRule>
    <cfRule type="expression" priority="2074" dxfId="43" stopIfTrue="1">
      <formula>$A1="barcode"</formula>
    </cfRule>
  </conditionalFormatting>
  <conditionalFormatting sqref="B102:B103 F102:F103">
    <cfRule type="expression" priority="2092" dxfId="64" stopIfTrue="1">
      <formula>OR($A102="audio audit", $A102="text audit", $A102="speed violations count", $A102="speed violations list", $A102="speed violations audit")</formula>
    </cfRule>
    <cfRule type="expression" priority="2078" dxfId="306" stopIfTrue="1">
      <formula>OR(AND(LEFT($A102, 14)="sensor_stream ", LEN($A102)&gt;14, NOT(ISNUMBER(SEARCH(" ", $A102, 15)))), AND(LEFT($A102, 17)="sensor_statistic ", LEN($A102)&gt;17, NOT(ISNUMBER(SEARCH(" ", $A102, 18)))))</formula>
    </cfRule>
  </conditionalFormatting>
  <conditionalFormatting sqref="B102:B103 I102:I103">
    <cfRule type="expression" priority="2068" dxfId="41" stopIfTrue="1">
      <formula>$A102="begin repeat"</formula>
    </cfRule>
  </conditionalFormatting>
  <conditionalFormatting sqref="B102:B103 N102:N103">
    <cfRule type="expression" priority="2087" dxfId="63" stopIfTrue="1">
      <formula>OR($A102="calculate", $A102="calculate_here")</formula>
    </cfRule>
  </conditionalFormatting>
  <conditionalFormatting sqref="B102:B103">
    <cfRule type="expression" priority="2081" dxfId="45" stopIfTrue="1">
      <formula>OR($A102="audio", $A102="video")</formula>
    </cfRule>
    <cfRule type="expression" priority="2080" dxfId="62" stopIfTrue="1">
      <formula>$A102="comments"</formula>
    </cfRule>
    <cfRule type="expression" priority="2066" dxfId="116" stopIfTrue="1">
      <formula>$A102="file"</formula>
    </cfRule>
  </conditionalFormatting>
  <conditionalFormatting sqref="B1:B12 B104:B136">
    <cfRule type="expression" priority="7706" dxfId="62" stopIfTrue="1">
      <formula>$A1="comments"</formula>
    </cfRule>
  </conditionalFormatting>
  <conditionalFormatting sqref="B118:B136">
    <cfRule type="expression" priority="1637" dxfId="47" stopIfTrue="1">
      <formula>$A118="begin group"</formula>
    </cfRule>
  </conditionalFormatting>
  <conditionalFormatting sqref="B137">
    <cfRule type="expression" priority="2054" dxfId="712" stopIfTrue="1">
      <formula>OR($A137="username", $A137="phonenumber", $A137="start", $A137="end", $A137="deviceid", $A137="subscriberid", $A137="simserial", $A137="caseid")</formula>
    </cfRule>
    <cfRule type="expression" priority="2061" dxfId="711" stopIfTrue="1">
      <formula>$A137="end group"</formula>
    </cfRule>
    <cfRule type="expression" priority="2052" dxfId="716" stopIfTrue="1">
      <formula>OR($A137="geopoint", $A137="geoshape", $A137="geotrace")</formula>
    </cfRule>
    <cfRule type="expression" priority="2051" dxfId="717" stopIfTrue="1">
      <formula>$A137="barcode"</formula>
    </cfRule>
    <cfRule type="expression" priority="2050" dxfId="718" stopIfTrue="1">
      <formula>$A137="note"</formula>
    </cfRule>
    <cfRule type="expression" priority="2049" dxfId="720" stopIfTrue="1">
      <formula>OR($A137="calculate", $A137="calculate_here")</formula>
    </cfRule>
    <cfRule type="expression" priority="2048" dxfId="713" stopIfTrue="1">
      <formula>OR($A137="date", $A137="datetime", $A137="time")</formula>
    </cfRule>
    <cfRule type="expression" priority="2047" dxfId="710" stopIfTrue="1">
      <formula>$A137="image"</formula>
    </cfRule>
    <cfRule type="expression" priority="2055" dxfId="707" stopIfTrue="1">
      <formula>OR(AND(LEFT($A137, 16)="select_multiple ", LEN($A137)&gt;16, NOT(ISNUMBER(SEARCH(" ", $A137, 17)))), AND(LEFT($A137, 11)="select_one ", LEN($A137)&gt;11, NOT(ISNUMBER(SEARCH(" ", $A137, 12)))))</formula>
    </cfRule>
    <cfRule type="expression" priority="2046" dxfId="719" stopIfTrue="1">
      <formula>OR($A137="audio", $A137="video")</formula>
    </cfRule>
    <cfRule type="expression" priority="2045" dxfId="721" stopIfTrue="1">
      <formula>$A137="comments"</formula>
    </cfRule>
    <cfRule type="expression" priority="2044" dxfId="709" stopIfTrue="1">
      <formula>OR(AND(LEFT($A137, 14)="sensor_stream ", LEN($A137)&gt;14, NOT(ISNUMBER(SEARCH(" ", $A137, 15)))), AND(LEFT($A137, 17)="sensor_statistic ", LEN($A137)&gt;17, NOT(ISNUMBER(SEARCH(" ", $A137, 18)))))</formula>
    </cfRule>
    <cfRule type="expression" priority="2043" dxfId="708" stopIfTrue="1">
      <formula>$A137="enumerator"</formula>
    </cfRule>
    <cfRule type="expression" priority="2042" dxfId="736" stopIfTrue="1">
      <formula>$A137="file"</formula>
    </cfRule>
    <cfRule type="expression" priority="2041" dxfId="735" stopIfTrue="1">
      <formula>OR($A137="audio", $A137="video")</formula>
    </cfRule>
    <cfRule type="expression" priority="2064" dxfId="990" stopIfTrue="1">
      <formula>OR(AND(LEFT($A137, 14)="sensor_stream ", LEN($A137)&gt;14, NOT(ISNUMBER(SEARCH(" ", $A137, 15)))), AND(LEFT($A137, 17)="sensor_statistic ", LEN($A137)&gt;17, NOT(ISNUMBER(SEARCH(" ", $A137, 18)))))</formula>
    </cfRule>
    <cfRule type="expression" priority="2040" dxfId="715" stopIfTrue="1">
      <formula>$A137="image"</formula>
    </cfRule>
    <cfRule type="expression" priority="2039" dxfId="732" stopIfTrue="1">
      <formula>OR($A137="geopoint", $A137="geoshape", $A137="geotrace")</formula>
    </cfRule>
    <cfRule type="expression" priority="2063" dxfId="987" stopIfTrue="1">
      <formula>$A137="comments"</formula>
    </cfRule>
    <cfRule type="expression" priority="2038" dxfId="731" stopIfTrue="1">
      <formula>$A137="barcode"</formula>
    </cfRule>
    <cfRule type="expression" priority="2037" dxfId="730" stopIfTrue="1">
      <formula>$A137="note"</formula>
    </cfRule>
    <cfRule type="expression" priority="2036" dxfId="739" stopIfTrue="1">
      <formula>OR(AND(LEFT($A137, 16)="select_multiple ", LEN($A137)&gt;16, NOT(ISNUMBER(SEARCH(" ", $A137, 17)))), AND(LEFT($A137, 11)="select_one ", LEN($A137)&gt;11, NOT(ISNUMBER(SEARCH(" ", $A137, 12)))))</formula>
    </cfRule>
    <cfRule type="expression" priority="2035" dxfId="724" stopIfTrue="1">
      <formula>$A137="enumerator"</formula>
    </cfRule>
    <cfRule type="expression" priority="2034" dxfId="722" stopIfTrue="1">
      <formula>$A137="begin group"</formula>
    </cfRule>
    <cfRule type="expression" priority="2033" dxfId="733" stopIfTrue="1">
      <formula>OR($A137="date", $A137="datetime", $A137="time")</formula>
    </cfRule>
    <cfRule type="expression" priority="2062" dxfId="711" stopIfTrue="1">
      <formula>$A137="begin group"</formula>
    </cfRule>
    <cfRule type="expression" priority="2032" dxfId="979" stopIfTrue="1">
      <formula>OR($A137="calculate", $A137="calculate_here")</formula>
    </cfRule>
    <cfRule type="expression" priority="2031" dxfId="729" stopIfTrue="1">
      <formula>$A137="file"</formula>
    </cfRule>
    <cfRule type="expression" priority="2030" dxfId="977" stopIfTrue="1">
      <formula>OR($A137="audio audit", $A137="text audit", $A137="speed violations count", $A137="speed violations list", $A137="speed violations audit")</formula>
    </cfRule>
    <cfRule type="expression" priority="2056" dxfId="738" stopIfTrue="1">
      <formula>$A137="decimal"</formula>
    </cfRule>
    <cfRule type="expression" priority="2057" dxfId="706" stopIfTrue="1">
      <formula>$A137="integer"</formula>
    </cfRule>
    <cfRule type="expression" priority="2028" dxfId="726" stopIfTrue="1">
      <formula>$A137="integer"</formula>
    </cfRule>
    <cfRule type="expression" priority="2027" dxfId="725" stopIfTrue="1">
      <formula>$A137="text"</formula>
    </cfRule>
    <cfRule type="expression" priority="2026" dxfId="723" stopIfTrue="1">
      <formula>$A137="begin repeat"</formula>
    </cfRule>
    <cfRule type="expression" priority="2029" dxfId="727" stopIfTrue="1">
      <formula>$A137="decimal"</formula>
    </cfRule>
    <cfRule type="expression" priority="2058" dxfId="734" stopIfTrue="1">
      <formula>$A137="text"</formula>
    </cfRule>
    <cfRule type="expression" priority="2059" dxfId="705" stopIfTrue="1">
      <formula>$A137="end repeat"</formula>
    </cfRule>
    <cfRule type="expression" priority="2060" dxfId="705" stopIfTrue="1">
      <formula>$A137="begin repeat"</formula>
    </cfRule>
    <cfRule type="expression" priority="2053" dxfId="714" stopIfTrue="1">
      <formula>OR($A137="audio audit", $A137="text audit", $A137="speed violations count", $A137="speed violations list", $A137="speed violations audit")</formula>
    </cfRule>
  </conditionalFormatting>
  <conditionalFormatting sqref="B145:B146 F145:F146">
    <cfRule type="expression" priority="127" dxfId="306" stopIfTrue="1">
      <formula>OR(AND(LEFT($A145, 14)="sensor_stream ", LEN($A145)&gt;14, NOT(ISNUMBER(SEARCH(" ", $A145, 15)))), AND(LEFT($A145, 17)="sensor_statistic ", LEN($A145)&gt;17, NOT(ISNUMBER(SEARCH(" ", $A145, 18)))))</formula>
    </cfRule>
    <cfRule type="expression" priority="133" dxfId="48" stopIfTrue="1">
      <formula>$A145="image"</formula>
    </cfRule>
    <cfRule type="expression" priority="135" dxfId="49" stopIfTrue="1">
      <formula>OR($A145="date", $A145="datetime", $A145="time")</formula>
    </cfRule>
    <cfRule type="expression" priority="144" dxfId="46" stopIfTrue="1">
      <formula>OR(AND(LEFT($A145, 16)="select_multiple ", LEN($A145)&gt;16, NOT(ISNUMBER(SEARCH(" ", $A145, 17)))), AND(LEFT($A145, 11)="select_one ", LEN($A145)&gt;11, NOT(ISNUMBER(SEARCH(" ", $A145, 12)))))</formula>
    </cfRule>
    <cfRule type="expression" priority="141" dxfId="64" stopIfTrue="1">
      <formula>OR($A145="audio audit", $A145="text audit", $A145="speed violations count", $A145="speed violations list", $A145="speed violations audit")</formula>
    </cfRule>
  </conditionalFormatting>
  <conditionalFormatting sqref="B145:B146 I145:I146 O145:O146">
    <cfRule type="expression" priority="120" dxfId="41" stopIfTrue="1">
      <formula>$A145="begin repeat"</formula>
    </cfRule>
  </conditionalFormatting>
  <conditionalFormatting sqref="B145:B146 N145:N146">
    <cfRule type="expression" priority="137" dxfId="63" stopIfTrue="1">
      <formula>OR($A145="calculate", $A145="calculate_here")</formula>
    </cfRule>
  </conditionalFormatting>
  <conditionalFormatting sqref="B145:B146">
    <cfRule type="expression" priority="117" dxfId="116" stopIfTrue="1">
      <formula>$A145="file"</formula>
    </cfRule>
    <cfRule type="expression" priority="122" dxfId="42" stopIfTrue="1">
      <formula>$A145="note"</formula>
    </cfRule>
    <cfRule type="expression" priority="123" dxfId="43" stopIfTrue="1">
      <formula>$A145="barcode"</formula>
    </cfRule>
    <cfRule type="expression" priority="124" dxfId="44" stopIfTrue="1">
      <formula>OR($A145="geopoint", $A145="geoshape", $A145="geotrace")</formula>
    </cfRule>
    <cfRule type="expression" priority="129" dxfId="62" stopIfTrue="1">
      <formula>$A145="comments"</formula>
    </cfRule>
    <cfRule type="expression" priority="131" dxfId="45" stopIfTrue="1">
      <formula>OR($A145="audio", $A145="video")</formula>
    </cfRule>
  </conditionalFormatting>
  <conditionalFormatting sqref="B147">
    <cfRule type="expression" priority="770" dxfId="46" stopIfTrue="1">
      <formula>OR(AND(LEFT($A147, 16)="select_multiple ", LEN($A147)&gt;16, NOT(ISNUMBER(SEARCH(" ", $A147, 17)))), AND(LEFT($A147, 11)="select_one ", LEN($A147)&gt;11, NOT(ISNUMBER(SEARCH(" ", $A147, 12)))))</formula>
    </cfRule>
    <cfRule type="expression" priority="746" dxfId="41" stopIfTrue="1">
      <formula>$A147="begin repeat"</formula>
    </cfRule>
    <cfRule type="expression" priority="759" dxfId="48" stopIfTrue="1">
      <formula>$A147="image"</formula>
    </cfRule>
    <cfRule type="expression" priority="748" dxfId="42" stopIfTrue="1">
      <formula>$A147="note"</formula>
    </cfRule>
    <cfRule type="expression" priority="749" dxfId="43" stopIfTrue="1">
      <formula>$A147="barcode"</formula>
    </cfRule>
    <cfRule type="expression" priority="750" dxfId="44" stopIfTrue="1">
      <formula>OR($A147="geopoint", $A147="geoshape", $A147="geotrace")</formula>
    </cfRule>
    <cfRule type="expression" priority="753" dxfId="306" stopIfTrue="1">
      <formula>OR(AND(LEFT($A147, 14)="sensor_stream ", LEN($A147)&gt;14, NOT(ISNUMBER(SEARCH(" ", $A147, 15)))), AND(LEFT($A147, 17)="sensor_statistic ", LEN($A147)&gt;17, NOT(ISNUMBER(SEARCH(" ", $A147, 18)))))</formula>
    </cfRule>
    <cfRule type="expression" priority="757" dxfId="45" stopIfTrue="1">
      <formula>OR($A147="audio", $A147="video")</formula>
    </cfRule>
    <cfRule type="expression" priority="755" dxfId="62" stopIfTrue="1">
      <formula>$A147="comments"</formula>
    </cfRule>
    <cfRule type="expression" priority="761" dxfId="49" stopIfTrue="1">
      <formula>OR($A147="date", $A147="datetime", $A147="time")</formula>
    </cfRule>
    <cfRule type="expression" priority="763" dxfId="63" stopIfTrue="1">
      <formula>OR($A147="calculate", $A147="calculate_here")</formula>
    </cfRule>
    <cfRule type="expression" priority="743" dxfId="116" stopIfTrue="1">
      <formula>$A147="file"</formula>
    </cfRule>
    <cfRule type="expression" priority="767" dxfId="64" stopIfTrue="1">
      <formula>OR($A147="audio audit", $A147="text audit", $A147="speed violations count", $A147="speed violations list", $A147="speed violations audit")</formula>
    </cfRule>
  </conditionalFormatting>
  <conditionalFormatting sqref="B163:B165 B167">
    <cfRule type="expression" priority="1423" dxfId="62" stopIfTrue="1">
      <formula>$A163="comments"</formula>
    </cfRule>
  </conditionalFormatting>
  <conditionalFormatting sqref="B166 F166">
    <cfRule type="expression" priority="1386" dxfId="64" stopIfTrue="1">
      <formula>OR($A166="audio audit", $A166="text audit", $A166="speed violations count", $A166="speed violations list", $A166="speed violations audit")</formula>
    </cfRule>
    <cfRule type="expression" priority="1389" dxfId="46" stopIfTrue="1">
      <formula>OR(AND(LEFT($A166, 16)="select_multiple ", LEN($A166)&gt;16, NOT(ISNUMBER(SEARCH(" ", $A166, 17)))), AND(LEFT($A166, 11)="select_one ", LEN($A166)&gt;11, NOT(ISNUMBER(SEARCH(" ", $A166, 12)))))</formula>
    </cfRule>
    <cfRule type="expression" priority="1379" dxfId="49" stopIfTrue="1">
      <formula>OR($A166="date", $A166="datetime", $A166="time")</formula>
    </cfRule>
    <cfRule type="expression" priority="1377" dxfId="48" stopIfTrue="1">
      <formula>$A166="image"</formula>
    </cfRule>
    <cfRule type="expression" priority="1372" dxfId="306" stopIfTrue="1">
      <formula>OR(AND(LEFT($A166, 14)="sensor_stream ", LEN($A166)&gt;14, NOT(ISNUMBER(SEARCH(" ", $A166, 15)))), AND(LEFT($A166, 17)="sensor_statistic ", LEN($A166)&gt;17, NOT(ISNUMBER(SEARCH(" ", $A166, 18)))))</formula>
    </cfRule>
  </conditionalFormatting>
  <conditionalFormatting sqref="B166 I166">
    <cfRule type="expression" priority="1362" dxfId="41" stopIfTrue="1">
      <formula>$A166="begin repeat"</formula>
    </cfRule>
  </conditionalFormatting>
  <conditionalFormatting sqref="B166">
    <cfRule type="expression" priority="1375" dxfId="45" stopIfTrue="1">
      <formula>OR($A166="audio", $A166="video")</formula>
    </cfRule>
    <cfRule type="expression" priority="1367" dxfId="42" stopIfTrue="1">
      <formula>$A166="note"</formula>
    </cfRule>
    <cfRule type="expression" priority="1360" dxfId="116" stopIfTrue="1">
      <formula>$A166="file"</formula>
    </cfRule>
    <cfRule type="expression" priority="1368" dxfId="43" stopIfTrue="1">
      <formula>$A166="barcode"</formula>
    </cfRule>
    <cfRule type="expression" priority="1369" dxfId="44" stopIfTrue="1">
      <formula>OR($A166="geopoint", $A166="geoshape", $A166="geotrace")</formula>
    </cfRule>
    <cfRule type="expression" priority="1374" dxfId="62" stopIfTrue="1">
      <formula>$A166="comments"</formula>
    </cfRule>
    <cfRule type="expression" priority="1381" dxfId="63" stopIfTrue="1">
      <formula>OR($A166="calculate", $A166="calculate_here")</formula>
    </cfRule>
  </conditionalFormatting>
  <conditionalFormatting sqref="B167 B176:B178 B183">
    <cfRule type="expression" priority="1401" dxfId="42" stopIfTrue="1">
      <formula>$A167="note"</formula>
    </cfRule>
    <cfRule type="expression" priority="1402" dxfId="43" stopIfTrue="1">
      <formula>$A167="barcode"</formula>
    </cfRule>
    <cfRule type="expression" priority="1403" dxfId="44" stopIfTrue="1">
      <formula>OR($A167="geopoint", $A167="geoshape", $A167="geotrace")</formula>
    </cfRule>
  </conditionalFormatting>
  <conditionalFormatting sqref="B167 B176:B178 B183 F167:F178 F183">
    <cfRule type="expression" priority="1412" dxfId="46" stopIfTrue="1">
      <formula>OR(AND(LEFT($A167, 16)="select_multiple ", LEN($A167)&gt;16, NOT(ISNUMBER(SEARCH(" ", $A167, 17)))), AND(LEFT($A167, 11)="select_one ", LEN($A167)&gt;11, NOT(ISNUMBER(SEARCH(" ", $A167, 12)))))</formula>
    </cfRule>
    <cfRule type="expression" priority="1405" dxfId="48" stopIfTrue="1">
      <formula>$A167="image"</formula>
    </cfRule>
    <cfRule type="expression" priority="1406" dxfId="49" stopIfTrue="1">
      <formula>OR($A167="date", $A167="datetime", $A167="time")</formula>
    </cfRule>
  </conditionalFormatting>
  <conditionalFormatting sqref="B167">
    <cfRule type="expression" priority="1419" dxfId="47" stopIfTrue="1">
      <formula>$A167="begin group"</formula>
    </cfRule>
  </conditionalFormatting>
  <conditionalFormatting sqref="B169:B171">
    <cfRule type="expression" priority="1342" dxfId="44" stopIfTrue="1">
      <formula>OR($A169="geopoint", $A169="geoshape", $A169="geotrace")</formula>
    </cfRule>
    <cfRule type="expression" priority="1338" dxfId="42" stopIfTrue="1">
      <formula>$A169="note"</formula>
    </cfRule>
    <cfRule type="expression" priority="1340" dxfId="43" stopIfTrue="1">
      <formula>$A169="barcode"</formula>
    </cfRule>
  </conditionalFormatting>
  <conditionalFormatting sqref="B169:B175">
    <cfRule type="expression" priority="1334" dxfId="49" stopIfTrue="1">
      <formula>OR($A169="date", $A169="datetime", $A169="time")</formula>
    </cfRule>
    <cfRule type="expression" priority="1336" dxfId="63" stopIfTrue="1">
      <formula>OR($A169="calculate", $A169="calculate_here")</formula>
    </cfRule>
    <cfRule type="expression" priority="1332" dxfId="48" stopIfTrue="1">
      <formula>$A169="image"</formula>
    </cfRule>
    <cfRule type="expression" priority="1301" dxfId="116" stopIfTrue="1">
      <formula>$A169="file"</formula>
    </cfRule>
    <cfRule type="expression" priority="1330" dxfId="45" stopIfTrue="1">
      <formula>OR($A169="audio", $A169="video")</formula>
    </cfRule>
    <cfRule type="expression" priority="1328" dxfId="62" stopIfTrue="1">
      <formula>$A169="comments"</formula>
    </cfRule>
    <cfRule type="expression" priority="1326" dxfId="306" stopIfTrue="1">
      <formula>OR(AND(LEFT($A169, 14)="sensor_stream ", LEN($A169)&gt;14, NOT(ISNUMBER(SEARCH(" ", $A169, 15)))), AND(LEFT($A169, 17)="sensor_statistic ", LEN($A169)&gt;17, NOT(ISNUMBER(SEARCH(" ", $A169, 18)))))</formula>
    </cfRule>
    <cfRule type="expression" priority="1305" dxfId="41" stopIfTrue="1">
      <formula>$A169="begin repeat"</formula>
    </cfRule>
    <cfRule type="expression" priority="1306" dxfId="47" stopIfTrue="1">
      <formula>$A169="begin group"</formula>
    </cfRule>
    <cfRule type="expression" priority="1347" dxfId="46" stopIfTrue="1">
      <formula>OR(AND(LEFT($A169, 16)="select_multiple ", LEN($A169)&gt;16, NOT(ISNUMBER(SEARCH(" ", $A169, 17)))), AND(LEFT($A169, 11)="select_one ", LEN($A169)&gt;11, NOT(ISNUMBER(SEARCH(" ", $A169, 12)))))</formula>
    </cfRule>
    <cfRule type="expression" priority="1344" dxfId="64" stopIfTrue="1">
      <formula>OR($A169="audio audit", $A169="text audit", $A169="speed violations count", $A169="speed violations list", $A169="speed violations audit")</formula>
    </cfRule>
  </conditionalFormatting>
  <conditionalFormatting sqref="B170:B171 B172:D175 D170:D171">
    <cfRule type="expression" priority="1299" dxfId="40" stopIfTrue="1">
      <formula>$A170="decimal"</formula>
    </cfRule>
  </conditionalFormatting>
  <conditionalFormatting sqref="B170:B171 D170:D171">
    <cfRule type="expression" priority="1300" dxfId="36" stopIfTrue="1">
      <formula>$A170="integer"</formula>
    </cfRule>
  </conditionalFormatting>
  <conditionalFormatting sqref="B172:B175">
    <cfRule type="expression" priority="1311" dxfId="42" stopIfTrue="1">
      <formula>$A172="note"</formula>
    </cfRule>
    <cfRule type="expression" priority="1313" dxfId="44" stopIfTrue="1">
      <formula>OR($A172="geopoint", $A172="geoshape", $A172="geotrace")</formula>
    </cfRule>
    <cfRule type="expression" priority="1312" dxfId="43" stopIfTrue="1">
      <formula>$A172="barcode"</formula>
    </cfRule>
  </conditionalFormatting>
  <conditionalFormatting sqref="B187:B190">
    <cfRule type="expression" priority="1193" dxfId="47" stopIfTrue="1">
      <formula>$A187="begin group"</formula>
    </cfRule>
  </conditionalFormatting>
  <conditionalFormatting sqref="B192:B197 F192:F197">
    <cfRule type="expression" priority="1172" dxfId="64" stopIfTrue="1">
      <formula>OR($A192="audio audit", $A192="text audit", $A192="speed violations count", $A192="speed violations list", $A192="speed violations audit")</formula>
    </cfRule>
    <cfRule type="expression" priority="1158" dxfId="306" stopIfTrue="1">
      <formula>OR(AND(LEFT($A192, 14)="sensor_stream ", LEN($A192)&gt;14, NOT(ISNUMBER(SEARCH(" ", $A192, 15)))), AND(LEFT($A192, 17)="sensor_statistic ", LEN($A192)&gt;17, NOT(ISNUMBER(SEARCH(" ", $A192, 18)))))</formula>
    </cfRule>
  </conditionalFormatting>
  <conditionalFormatting sqref="B192:B197 I192:I197 O192:O197">
    <cfRule type="expression" priority="1150" dxfId="41" stopIfTrue="1">
      <formula>$A192="begin repeat"</formula>
    </cfRule>
  </conditionalFormatting>
  <conditionalFormatting sqref="B192:B197 N192:N197">
    <cfRule type="expression" priority="1168" dxfId="63" stopIfTrue="1">
      <formula>OR($A192="calculate", $A192="calculate_here")</formula>
    </cfRule>
  </conditionalFormatting>
  <conditionalFormatting sqref="B192:B197">
    <cfRule type="expression" priority="1175" dxfId="46" stopIfTrue="1">
      <formula>OR(AND(LEFT($A192, 16)="select_multiple ", LEN($A192)&gt;16, NOT(ISNUMBER(SEARCH(" ", $A192, 17)))), AND(LEFT($A192, 11)="select_one ", LEN($A192)&gt;11, NOT(ISNUMBER(SEARCH(" ", $A192, 12)))))</formula>
    </cfRule>
    <cfRule type="expression" priority="1153" dxfId="42" stopIfTrue="1">
      <formula>$A192="note"</formula>
    </cfRule>
    <cfRule type="expression" priority="1154" dxfId="43" stopIfTrue="1">
      <formula>$A192="barcode"</formula>
    </cfRule>
    <cfRule type="expression" priority="1155" dxfId="44" stopIfTrue="1">
      <formula>OR($A192="geopoint", $A192="geoshape", $A192="geotrace")</formula>
    </cfRule>
    <cfRule type="expression" priority="1160" dxfId="62" stopIfTrue="1">
      <formula>$A192="comments"</formula>
    </cfRule>
    <cfRule type="expression" priority="1162" dxfId="45" stopIfTrue="1">
      <formula>OR($A192="audio", $A192="video")</formula>
    </cfRule>
    <cfRule type="expression" priority="1164" dxfId="48" stopIfTrue="1">
      <formula>$A192="image"</formula>
    </cfRule>
    <cfRule type="expression" priority="1166" dxfId="49" stopIfTrue="1">
      <formula>OR($A192="date", $A192="datetime", $A192="time")</formula>
    </cfRule>
  </conditionalFormatting>
  <conditionalFormatting sqref="B192:B202 B211 B265:B276">
    <cfRule type="expression" priority="1147" dxfId="116" stopIfTrue="1">
      <formula>$A192="file"</formula>
    </cfRule>
    <cfRule type="expression" priority="1146" dxfId="47" stopIfTrue="1">
      <formula>$A192="begin group"</formula>
    </cfRule>
  </conditionalFormatting>
  <conditionalFormatting sqref="B203:B210">
    <cfRule type="expression" priority="1116" dxfId="116" stopIfTrue="1">
      <formula>$A203="file"</formula>
    </cfRule>
  </conditionalFormatting>
  <conditionalFormatting sqref="B212:B228">
    <cfRule type="expression" priority="1040" dxfId="116" stopIfTrue="1">
      <formula>$A212="file"</formula>
    </cfRule>
  </conditionalFormatting>
  <conditionalFormatting sqref="B220">
    <cfRule type="expression" priority="1043" dxfId="46" stopIfTrue="1">
      <formula>OR(AND(LEFT($A220, 16)="select_multiple ", LEN($A220)&gt;16, NOT(ISNUMBER(SEARCH(" ", $A220, 17)))), AND(LEFT($A220, 11)="select_one ", LEN($A220)&gt;11, NOT(ISNUMBER(SEARCH(" ", $A220, 12)))))</formula>
    </cfRule>
    <cfRule type="expression" priority="1042" dxfId="49" stopIfTrue="1">
      <formula>OR($A220="date", $A220="datetime", $A220="time")</formula>
    </cfRule>
    <cfRule type="expression" priority="1041" dxfId="48" stopIfTrue="1">
      <formula>$A220="image"</formula>
    </cfRule>
    <cfRule type="expression" priority="1039" dxfId="47" stopIfTrue="1">
      <formula>$A220="begin group"</formula>
    </cfRule>
  </conditionalFormatting>
  <conditionalFormatting sqref="B229">
    <cfRule type="expression" priority="1009" dxfId="47" stopIfTrue="1">
      <formula>$A229="begin group"</formula>
    </cfRule>
    <cfRule type="expression" priority="1011" dxfId="48" stopIfTrue="1">
      <formula>$A229="image"</formula>
    </cfRule>
    <cfRule type="expression" priority="1013" dxfId="46" stopIfTrue="1">
      <formula>OR(AND(LEFT($A229, 16)="select_multiple ", LEN($A229)&gt;16, NOT(ISNUMBER(SEARCH(" ", $A229, 17)))), AND(LEFT($A229, 11)="select_one ", LEN($A229)&gt;11, NOT(ISNUMBER(SEARCH(" ", $A229, 12)))))</formula>
    </cfRule>
    <cfRule type="expression" priority="1012" dxfId="49" stopIfTrue="1">
      <formula>OR($A229="date", $A229="datetime", $A229="time")</formula>
    </cfRule>
  </conditionalFormatting>
  <conditionalFormatting sqref="B229:B237">
    <cfRule type="expression" priority="1010" dxfId="116" stopIfTrue="1">
      <formula>$A229="file"</formula>
    </cfRule>
  </conditionalFormatting>
  <conditionalFormatting sqref="B238">
    <cfRule type="expression" priority="981" dxfId="48" stopIfTrue="1">
      <formula>$A238="image"</formula>
    </cfRule>
    <cfRule type="expression" priority="982" dxfId="49" stopIfTrue="1">
      <formula>OR($A238="date", $A238="datetime", $A238="time")</formula>
    </cfRule>
    <cfRule type="expression" priority="979" dxfId="47" stopIfTrue="1">
      <formula>$A238="begin group"</formula>
    </cfRule>
    <cfRule type="expression" priority="983" dxfId="46" stopIfTrue="1">
      <formula>OR(AND(LEFT($A238, 16)="select_multiple ", LEN($A238)&gt;16, NOT(ISNUMBER(SEARCH(" ", $A238, 17)))), AND(LEFT($A238, 11)="select_one ", LEN($A238)&gt;11, NOT(ISNUMBER(SEARCH(" ", $A238, 12)))))</formula>
    </cfRule>
  </conditionalFormatting>
  <conditionalFormatting sqref="B238:B246">
    <cfRule type="expression" priority="980" dxfId="116" stopIfTrue="1">
      <formula>$A238="file"</formula>
    </cfRule>
  </conditionalFormatting>
  <conditionalFormatting sqref="B247">
    <cfRule type="expression" priority="951" dxfId="49" stopIfTrue="1">
      <formula>OR($A247="date", $A247="datetime", $A247="time")</formula>
    </cfRule>
    <cfRule type="expression" priority="952" dxfId="46" stopIfTrue="1">
      <formula>OR(AND(LEFT($A247, 16)="select_multiple ", LEN($A247)&gt;16, NOT(ISNUMBER(SEARCH(" ", $A247, 17)))), AND(LEFT($A247, 11)="select_one ", LEN($A247)&gt;11, NOT(ISNUMBER(SEARCH(" ", $A247, 12)))))</formula>
    </cfRule>
    <cfRule type="expression" priority="948" dxfId="47" stopIfTrue="1">
      <formula>$A247="begin group"</formula>
    </cfRule>
    <cfRule type="expression" priority="950" dxfId="48" stopIfTrue="1">
      <formula>$A247="image"</formula>
    </cfRule>
  </conditionalFormatting>
  <conditionalFormatting sqref="B247:B255">
    <cfRule type="expression" priority="949" dxfId="116" stopIfTrue="1">
      <formula>$A247="file"</formula>
    </cfRule>
  </conditionalFormatting>
  <conditionalFormatting sqref="B256">
    <cfRule type="expression" priority="921" dxfId="46" stopIfTrue="1">
      <formula>OR(AND(LEFT($A256, 16)="select_multiple ", LEN($A256)&gt;16, NOT(ISNUMBER(SEARCH(" ", $A256, 17)))), AND(LEFT($A256, 11)="select_one ", LEN($A256)&gt;11, NOT(ISNUMBER(SEARCH(" ", $A256, 12)))))</formula>
    </cfRule>
    <cfRule type="expression" priority="920" dxfId="49" stopIfTrue="1">
      <formula>OR($A256="date", $A256="datetime", $A256="time")</formula>
    </cfRule>
    <cfRule type="expression" priority="919" dxfId="48" stopIfTrue="1">
      <formula>$A256="image"</formula>
    </cfRule>
    <cfRule type="expression" priority="917" dxfId="47" stopIfTrue="1">
      <formula>$A256="begin group"</formula>
    </cfRule>
  </conditionalFormatting>
  <conditionalFormatting sqref="B256:B264">
    <cfRule type="expression" priority="918" dxfId="116" stopIfTrue="1">
      <formula>$A256="file"</formula>
    </cfRule>
  </conditionalFormatting>
  <conditionalFormatting sqref="B265">
    <cfRule type="expression" priority="889" dxfId="49" stopIfTrue="1">
      <formula>OR($A265="date", $A265="datetime", $A265="time")</formula>
    </cfRule>
    <cfRule type="expression" priority="888" dxfId="48" stopIfTrue="1">
      <formula>$A265="image"</formula>
    </cfRule>
    <cfRule type="expression" priority="887" dxfId="116" stopIfTrue="1">
      <formula>$A265="file"</formula>
    </cfRule>
    <cfRule type="expression" priority="890" dxfId="46" stopIfTrue="1">
      <formula>OR(AND(LEFT($A265, 16)="select_multiple ", LEN($A265)&gt;16, NOT(ISNUMBER(SEARCH(" ", $A265, 17)))), AND(LEFT($A265, 11)="select_one ", LEN($A265)&gt;11, NOT(ISNUMBER(SEARCH(" ", $A265, 12)))))</formula>
    </cfRule>
    <cfRule type="expression" priority="886" dxfId="47" stopIfTrue="1">
      <formula>$A265="begin group"</formula>
    </cfRule>
  </conditionalFormatting>
  <conditionalFormatting sqref="B308 F308">
    <cfRule type="expression" priority="860" dxfId="46" stopIfTrue="1">
      <formula>OR(AND(LEFT($A308, 16)="select_multiple ", LEN($A308)&gt;16, NOT(ISNUMBER(SEARCH(" ", $A308, 17)))), AND(LEFT($A308, 11)="select_one ", LEN($A308)&gt;11, NOT(ISNUMBER(SEARCH(" ", $A308, 12)))))</formula>
    </cfRule>
    <cfRule type="expression" priority="858" dxfId="48" stopIfTrue="1">
      <formula>$A308="image"</formula>
    </cfRule>
    <cfRule type="expression" priority="859" dxfId="49" stopIfTrue="1">
      <formula>OR($A308="date", $A308="datetime", $A308="time")</formula>
    </cfRule>
  </conditionalFormatting>
  <conditionalFormatting sqref="B308">
    <cfRule type="expression" priority="857" dxfId="116" stopIfTrue="1">
      <formula>$A308="file"</formula>
    </cfRule>
    <cfRule type="expression" priority="856" dxfId="47" stopIfTrue="1">
      <formula>$A308="begin group"</formula>
    </cfRule>
  </conditionalFormatting>
  <conditionalFormatting sqref="B310:B320 B327:B339 B346:B358 B365:B377 B384:B386 B471:C1048576">
    <cfRule type="expression" priority="445" dxfId="42" stopIfTrue="1">
      <formula>$A310="note"</formula>
    </cfRule>
    <cfRule type="expression" priority="439" dxfId="116" stopIfTrue="1">
      <formula>$A310="file"</formula>
    </cfRule>
    <cfRule type="expression" priority="446" dxfId="43" stopIfTrue="1">
      <formula>$A310="barcode"</formula>
    </cfRule>
    <cfRule type="expression" priority="447" dxfId="44" stopIfTrue="1">
      <formula>OR($A310="geopoint", $A310="geoshape", $A310="geotrace")</formula>
    </cfRule>
    <cfRule type="expression" priority="452" dxfId="45" stopIfTrue="1">
      <formula>OR($A310="audio", $A310="video")</formula>
    </cfRule>
  </conditionalFormatting>
  <conditionalFormatting sqref="B310:B320 B327:B339 B346:B358 B365:B377 B384:B386 I310:I320 I327:I339 I346:I358 I365:I377 I384:I386 O310:O320 O327:O339 O346:O358 O365:O377 O384:O386">
    <cfRule type="expression" priority="442" dxfId="41" stopIfTrue="1">
      <formula>$A310="begin repeat"</formula>
    </cfRule>
  </conditionalFormatting>
  <conditionalFormatting sqref="B310:B320 B327:B339 B346:B358 B365:B377 B384:B386 F310:F320 F327:F339 F346:F358 F365:F377 F384:F386">
    <cfRule type="expression" priority="450" dxfId="306" stopIfTrue="1">
      <formula>OR(AND(LEFT($A310, 14)="sensor_stream ", LEN($A310)&gt;14, NOT(ISNUMBER(SEARCH(" ", $A310, 15)))), AND(LEFT($A310, 17)="sensor_statistic ", LEN($A310)&gt;17, NOT(ISNUMBER(SEARCH(" ", $A310, 18)))))</formula>
    </cfRule>
    <cfRule type="expression" priority="462" dxfId="64" stopIfTrue="1">
      <formula>OR($A310="audio audit", $A310="text audit", $A310="speed violations count", $A310="speed violations list", $A310="speed violations audit")</formula>
    </cfRule>
  </conditionalFormatting>
  <conditionalFormatting sqref="B310:B320 B327:B339 B346:B358 B365:B377 F310:F320 F327:F339 F346:F358 F365:F377">
    <cfRule type="expression" priority="454" dxfId="48" stopIfTrue="1">
      <formula>$A310="image"</formula>
    </cfRule>
    <cfRule type="expression" priority="456" dxfId="49" stopIfTrue="1">
      <formula>OR($A310="date", $A310="datetime", $A310="time")</formula>
    </cfRule>
    <cfRule type="expression" priority="464" dxfId="46" stopIfTrue="1">
      <formula>OR(AND(LEFT($A310, 16)="select_multiple ", LEN($A310)&gt;16, NOT(ISNUMBER(SEARCH(" ", $A310, 17)))), AND(LEFT($A310, 11)="select_one ", LEN($A310)&gt;11, NOT(ISNUMBER(SEARCH(" ", $A310, 12)))))</formula>
    </cfRule>
  </conditionalFormatting>
  <conditionalFormatting sqref="B310:B320 B327:B339 B346:B358 B365:B377 B384:B386 F310:F320 F327:F339 F346:F358 F365:F377 F384:F386 I310:I320 I327:I339 I346:I358 I365:I377 I384:I386">
    <cfRule type="expression" priority="434" dxfId="47" stopIfTrue="1">
      <formula>$A310="begin group"</formula>
    </cfRule>
  </conditionalFormatting>
  <conditionalFormatting sqref="B310:B320 B327:B339 B346:B358 B365:B377 B384:B386 N310:N320 N327:N339 N346:N358 N365:N377 N384:N386">
    <cfRule type="expression" priority="458" dxfId="63" stopIfTrue="1">
      <formula>OR($A310="calculate", $A310="calculate_here")</formula>
    </cfRule>
  </conditionalFormatting>
  <conditionalFormatting sqref="B310:B320 B327:B339 B346:B358 B365:B377 B384:B386">
    <cfRule type="expression" priority="438" dxfId="62" stopIfTrue="1">
      <formula>$A310="comments"</formula>
    </cfRule>
  </conditionalFormatting>
  <conditionalFormatting sqref="B384:B386 F384:F386">
    <cfRule type="expression" priority="437" dxfId="46" stopIfTrue="1">
      <formula>OR(AND(LEFT($A384, 16)="select_multiple ", LEN($A384)&gt;16, NOT(ISNUMBER(SEARCH(" ", $A384, 17)))), AND(LEFT($A384, 11)="select_one ", LEN($A384)&gt;11, NOT(ISNUMBER(SEARCH(" ", $A384, 12)))))</formula>
    </cfRule>
    <cfRule type="expression" priority="435" dxfId="48" stopIfTrue="1">
      <formula>$A384="image"</formula>
    </cfRule>
    <cfRule type="expression" priority="436" dxfId="49" stopIfTrue="1">
      <formula>OR($A384="date", $A384="datetime", $A384="time")</formula>
    </cfRule>
  </conditionalFormatting>
  <conditionalFormatting sqref="B387:B436 F387:F436 I387:I436">
    <cfRule type="expression" priority="488" dxfId="47" stopIfTrue="1">
      <formula>$A387="begin group"</formula>
    </cfRule>
  </conditionalFormatting>
  <conditionalFormatting sqref="B387:B436 F387:F436">
    <cfRule type="expression" priority="490" dxfId="49" stopIfTrue="1">
      <formula>OR($A387="date", $A387="datetime", $A387="time")</formula>
    </cfRule>
    <cfRule type="expression" priority="491" dxfId="46" stopIfTrue="1">
      <formula>OR(AND(LEFT($A387, 16)="select_multiple ", LEN($A387)&gt;16, NOT(ISNUMBER(SEARCH(" ", $A387, 17)))), AND(LEFT($A387, 11)="select_one ", LEN($A387)&gt;11, NOT(ISNUMBER(SEARCH(" ", $A387, 12)))))</formula>
    </cfRule>
    <cfRule type="expression" priority="514" dxfId="64" stopIfTrue="1">
      <formula>OR($A387="audio audit", $A387="text audit", $A387="speed violations count", $A387="speed violations list", $A387="speed violations audit")</formula>
    </cfRule>
    <cfRule type="expression" priority="504" dxfId="306" stopIfTrue="1">
      <formula>OR(AND(LEFT($A387, 14)="sensor_stream ", LEN($A387)&gt;14, NOT(ISNUMBER(SEARCH(" ", $A387, 15)))), AND(LEFT($A387, 17)="sensor_statistic ", LEN($A387)&gt;17, NOT(ISNUMBER(SEARCH(" ", $A387, 18)))))</formula>
    </cfRule>
    <cfRule type="expression" priority="489" dxfId="48" stopIfTrue="1">
      <formula>$A387="image"</formula>
    </cfRule>
  </conditionalFormatting>
  <conditionalFormatting sqref="B387:B436 I387:I436 O387:O436">
    <cfRule type="expression" priority="496" dxfId="41" stopIfTrue="1">
      <formula>$A387="begin repeat"</formula>
    </cfRule>
  </conditionalFormatting>
  <conditionalFormatting sqref="B387:B436 N387:N436">
    <cfRule type="expression" priority="510" dxfId="63" stopIfTrue="1">
      <formula>OR($A387="calculate", $A387="calculate_here")</formula>
    </cfRule>
  </conditionalFormatting>
  <conditionalFormatting sqref="B387:B436">
    <cfRule type="expression" priority="493" dxfId="116" stopIfTrue="1">
      <formula>$A387="file"</formula>
    </cfRule>
    <cfRule type="expression" priority="499" dxfId="42" stopIfTrue="1">
      <formula>$A387="note"</formula>
    </cfRule>
    <cfRule type="expression" priority="500" dxfId="43" stopIfTrue="1">
      <formula>$A387="barcode"</formula>
    </cfRule>
    <cfRule type="expression" priority="492" dxfId="62" stopIfTrue="1">
      <formula>$A387="comments"</formula>
    </cfRule>
    <cfRule type="expression" priority="501" dxfId="44" stopIfTrue="1">
      <formula>OR($A387="geopoint", $A387="geoshape", $A387="geotrace")</formula>
    </cfRule>
    <cfRule type="expression" priority="506" dxfId="45" stopIfTrue="1">
      <formula>OR($A387="audio", $A387="video")</formula>
    </cfRule>
  </conditionalFormatting>
  <conditionalFormatting sqref="B1:C12 B15:C15 B18:C18 B43:C43 B44:B48 B104:B136 B138:B144 B148:B165 B179:B182 B184:B191 B198:B202 B211 B265:B276 B278:B309 F1:F12 F104:F117 F119:F144 F148:F165 F179:F182 F184:F186 F191 F278:F307 F309">
    <cfRule type="expression" priority="7717" dxfId="49" stopIfTrue="1">
      <formula>OR($A1="date", $A1="datetime", $A1="time")</formula>
    </cfRule>
    <cfRule type="expression" priority="7737" dxfId="46" stopIfTrue="1">
      <formula>OR(AND(LEFT($A1, 16)="select_multiple ", LEN($A1)&gt;16, NOT(ISNUMBER(SEARCH(" ", $A1, 17)))), AND(LEFT($A1, 11)="select_one ", LEN($A1)&gt;11, NOT(ISNUMBER(SEARCH(" ", $A1, 12)))))</formula>
    </cfRule>
    <cfRule type="expression" priority="7713" dxfId="48" stopIfTrue="1">
      <formula>$A1="image"</formula>
    </cfRule>
  </conditionalFormatting>
  <conditionalFormatting sqref="B11:C12">
    <cfRule type="expression" priority="1562" dxfId="42" stopIfTrue="1">
      <formula>$A11="note"</formula>
    </cfRule>
    <cfRule type="expression" priority="1563" dxfId="43" stopIfTrue="1">
      <formula>$A11="barcode"</formula>
    </cfRule>
    <cfRule type="expression" priority="1564" dxfId="44" stopIfTrue="1">
      <formula>OR($A11="geopoint", $A11="geoshape", $A11="geotrace")</formula>
    </cfRule>
  </conditionalFormatting>
  <conditionalFormatting sqref="B11:C15">
    <cfRule type="expression" priority="1565" dxfId="116" stopIfTrue="1">
      <formula>$A11="file"</formula>
    </cfRule>
  </conditionalFormatting>
  <conditionalFormatting sqref="B13:C14 F13:F14">
    <cfRule type="expression" priority="2169" dxfId="46" stopIfTrue="1">
      <formula>OR(AND(LEFT($A13, 16)="select_multiple ", LEN($A13)&gt;16, NOT(ISNUMBER(SEARCH(" ", $A13, 17)))), AND(LEFT($A13, 11)="select_one ", LEN($A13)&gt;11, NOT(ISNUMBER(SEARCH(" ", $A13, 12)))))</formula>
    </cfRule>
    <cfRule type="expression" priority="2154" dxfId="48" stopIfTrue="1">
      <formula>$A13="image"</formula>
    </cfRule>
    <cfRule type="expression" priority="2156" dxfId="49" stopIfTrue="1">
      <formula>OR($A13="date", $A13="datetime", $A13="time")</formula>
    </cfRule>
  </conditionalFormatting>
  <conditionalFormatting sqref="B13:C14">
    <cfRule type="expression" priority="2160" dxfId="42" stopIfTrue="1">
      <formula>$A13="note"</formula>
    </cfRule>
    <cfRule type="expression" priority="2162" dxfId="43" stopIfTrue="1">
      <formula>$A13="barcode"</formula>
    </cfRule>
    <cfRule type="expression" priority="2164" dxfId="44" stopIfTrue="1">
      <formula>OR($A13="geopoint", $A13="geoshape", $A13="geotrace")</formula>
    </cfRule>
    <cfRule type="expression" priority="2152" dxfId="45" stopIfTrue="1">
      <formula>OR($A13="audio", $A13="video")</formula>
    </cfRule>
  </conditionalFormatting>
  <conditionalFormatting sqref="B13:C15">
    <cfRule type="expression" priority="2178" dxfId="41" stopIfTrue="1">
      <formula>$A13="begin repeat"</formula>
    </cfRule>
    <cfRule type="expression" priority="2181" dxfId="47" stopIfTrue="1">
      <formula>$A13="begin group"</formula>
    </cfRule>
  </conditionalFormatting>
  <conditionalFormatting sqref="B15:C15">
    <cfRule type="expression" priority="7723" dxfId="43" stopIfTrue="1">
      <formula>$A15="barcode"</formula>
    </cfRule>
    <cfRule type="expression" priority="7721" dxfId="42" stopIfTrue="1">
      <formula>$A15="note"</formula>
    </cfRule>
    <cfRule type="expression" priority="7725" dxfId="44" stopIfTrue="1">
      <formula>OR($A15="geopoint", $A15="geoshape", $A15="geotrace")</formula>
    </cfRule>
  </conditionalFormatting>
  <conditionalFormatting sqref="B16 B17:C17 B22:D23 B27:D28 B40:D42 D16 F15:F16 F22:F23 F27:F28 I40:I41">
    <cfRule type="expression" priority="611" dxfId="85" stopIfTrue="1">
      <formula>$A15="enumerator"</formula>
    </cfRule>
  </conditionalFormatting>
  <conditionalFormatting sqref="B17:C18">
    <cfRule type="expression" priority="606" dxfId="45" stopIfTrue="1">
      <formula>OR($A17="audio", $A17="video")</formula>
    </cfRule>
    <cfRule type="expression" priority="605" dxfId="116" stopIfTrue="1">
      <formula>$A17="file"</formula>
    </cfRule>
    <cfRule type="expression" priority="607" dxfId="42" stopIfTrue="1">
      <formula>$A17="note"</formula>
    </cfRule>
    <cfRule type="expression" priority="608" dxfId="43" stopIfTrue="1">
      <formula>$A17="barcode"</formula>
    </cfRule>
    <cfRule type="expression" priority="609" dxfId="44" stopIfTrue="1">
      <formula>OR($A17="geopoint", $A17="geoshape", $A17="geotrace")</formula>
    </cfRule>
  </conditionalFormatting>
  <conditionalFormatting sqref="B43:C43">
    <cfRule type="expression" priority="2125" dxfId="44" stopIfTrue="1">
      <formula>OR($A43="geopoint", $A43="geoshape", $A43="geotrace")</formula>
    </cfRule>
    <cfRule type="expression" priority="2113" dxfId="45" stopIfTrue="1">
      <formula>OR($A43="audio", $A43="video")</formula>
    </cfRule>
    <cfRule type="expression" priority="2123" dxfId="43" stopIfTrue="1">
      <formula>$A43="barcode"</formula>
    </cfRule>
    <cfRule type="expression" priority="2121" dxfId="42" stopIfTrue="1">
      <formula>$A43="note"</formula>
    </cfRule>
    <cfRule type="expression" priority="2105" dxfId="116" stopIfTrue="1">
      <formula>$A43="file"</formula>
    </cfRule>
  </conditionalFormatting>
  <conditionalFormatting sqref="B147:C147">
    <cfRule type="expression" priority="745" dxfId="36" stopIfTrue="1">
      <formula>$A147="integer"</formula>
    </cfRule>
    <cfRule type="expression" priority="744" dxfId="40" stopIfTrue="1">
      <formula>$A147="decimal"</formula>
    </cfRule>
    <cfRule type="expression" priority="742" dxfId="52" stopIfTrue="1">
      <formula>$A147="text"</formula>
    </cfRule>
    <cfRule type="expression" priority="752" dxfId="85" stopIfTrue="1">
      <formula>$A147="enumerator"</formula>
    </cfRule>
  </conditionalFormatting>
  <conditionalFormatting sqref="B1:D12 B15:D15 B19:D21 B24:D25 B30:B39 B44:D48 B51:D89 B90:B97 B98:D101 B104:D136 B138:D144 B148:D165 B167:D167 B176:D191 B198:D200 B201 B202:D309 B437:D437 B438 B439:D451 B452:C454 B455:D458 B459:B463 B464:D469 D30:D39 D90:D97 D137 D438 D459:D463 F1:F12 F19:F21 F24:F25 F30:F39 F42 F44:F48 F51:F101 F104:F144 F148:F165 F167:F191 F198:F200 F202:F309 F437:F469">
    <cfRule type="expression" priority="7700" dxfId="85" stopIfTrue="1">
      <formula>$A1="enumerator"</formula>
    </cfRule>
  </conditionalFormatting>
  <conditionalFormatting sqref="B1:D12 B15:D15 B16 B19:D21 B24:D25 B27:D28 B30:B39 B40:D41 B51:D89 B90:B97 B98:D101 B138:D144 B148:D162 B176:D191 B198:D200 B201 B202:D309 B437:D437 B438 B439:D451 B452:C454 B455:D458 B459:B463 B464:D469 D16 D30:D39 D90:D97 D438 D459:D463 F1:F12 F15:F16 F19:F21 F24:F25 F27:F28 F30:F39 F42 F51:F101 F119:F144 F148:F162 F167:F191 F198:F200 F202:F309 F437:F469 I40:I41">
    <cfRule type="expression" priority="4112" dxfId="52" stopIfTrue="1">
      <formula>$A1="text"</formula>
    </cfRule>
  </conditionalFormatting>
  <conditionalFormatting sqref="B1:D15 B17 B18:D18 B26:D26 B43:D43 D16:D17 G1:H18 G26:H26 G43:H43">
    <cfRule type="expression" priority="2171" dxfId="40" stopIfTrue="1">
      <formula>$A1="decimal"</formula>
    </cfRule>
    <cfRule type="expression" priority="2173" dxfId="36" stopIfTrue="1">
      <formula>$A1="integer"</formula>
    </cfRule>
  </conditionalFormatting>
  <conditionalFormatting sqref="B13:D14 B17 B18:D18 B43:D43 D17 F13:F14 F17:F18 F43">
    <cfRule type="expression" priority="2175" dxfId="52" stopIfTrue="1">
      <formula>$A13="text"</formula>
    </cfRule>
  </conditionalFormatting>
  <conditionalFormatting sqref="B13:D14 B18:D18 B43:D43 D17 F13:F14 F17:F18 F43">
    <cfRule type="expression" priority="2146" dxfId="85" stopIfTrue="1">
      <formula>$A13="enumerator"</formula>
    </cfRule>
  </conditionalFormatting>
  <conditionalFormatting sqref="B22:D23 G22:H23">
    <cfRule type="expression" priority="219" dxfId="36" stopIfTrue="1">
      <formula>$A22="integer"</formula>
    </cfRule>
    <cfRule type="expression" priority="218" dxfId="40" stopIfTrue="1">
      <formula>$A22="decimal"</formula>
    </cfRule>
  </conditionalFormatting>
  <conditionalFormatting sqref="B22:D23">
    <cfRule type="expression" priority="222" dxfId="52" stopIfTrue="1">
      <formula>$A22="text"</formula>
    </cfRule>
  </conditionalFormatting>
  <conditionalFormatting sqref="B26:D26 B471:D1048576 F26 F471:F1048576">
    <cfRule type="expression" priority="368" dxfId="85" stopIfTrue="1">
      <formula>$A26="enumerator"</formula>
    </cfRule>
    <cfRule type="expression" priority="358" dxfId="52" stopIfTrue="1">
      <formula>$A26="text"</formula>
    </cfRule>
  </conditionalFormatting>
  <conditionalFormatting sqref="B42:D42 B44:D48 D137 F44:F48">
    <cfRule type="expression" priority="2434" dxfId="52" stopIfTrue="1">
      <formula>$A42="text"</formula>
    </cfRule>
  </conditionalFormatting>
  <conditionalFormatting sqref="B49:D49 F49">
    <cfRule type="expression" priority="265" dxfId="85" stopIfTrue="1">
      <formula>$A49="enumerator"</formula>
    </cfRule>
    <cfRule type="expression" priority="255" dxfId="52" stopIfTrue="1">
      <formula>$A49="text"</formula>
    </cfRule>
  </conditionalFormatting>
  <conditionalFormatting sqref="B49:D49 G49:H49">
    <cfRule type="expression" priority="258" dxfId="36" stopIfTrue="1">
      <formula>$A49="integer"</formula>
    </cfRule>
    <cfRule type="expression" priority="257" dxfId="40" stopIfTrue="1">
      <formula>$A49="decimal"</formula>
    </cfRule>
  </conditionalFormatting>
  <conditionalFormatting sqref="B102:D103 F102:F103">
    <cfRule type="expression" priority="2077" dxfId="85" stopIfTrue="1">
      <formula>$A102="enumerator"</formula>
    </cfRule>
  </conditionalFormatting>
  <conditionalFormatting sqref="B102:D103">
    <cfRule type="expression" priority="2067" dxfId="36" stopIfTrue="1">
      <formula>$A102="integer"</formula>
    </cfRule>
  </conditionalFormatting>
  <conditionalFormatting sqref="B102:D107 G102:H107">
    <cfRule type="expression" priority="1456" dxfId="40" stopIfTrue="1">
      <formula>$A102="decimal"</formula>
    </cfRule>
  </conditionalFormatting>
  <conditionalFormatting sqref="B102:D117 B119:D136 F102:F117">
    <cfRule type="expression" priority="2099" dxfId="52" stopIfTrue="1">
      <formula>$A102="text"</formula>
    </cfRule>
  </conditionalFormatting>
  <conditionalFormatting sqref="B118:D118 F118">
    <cfRule type="expression" priority="1638" dxfId="52" stopIfTrue="1">
      <formula>$A118="text"</formula>
    </cfRule>
  </conditionalFormatting>
  <conditionalFormatting sqref="B145:D146 F145:F146">
    <cfRule type="expression" priority="126" dxfId="85" stopIfTrue="1">
      <formula>$A145="enumerator"</formula>
    </cfRule>
    <cfRule type="expression" priority="116" dxfId="52" stopIfTrue="1">
      <formula>$A145="text"</formula>
    </cfRule>
  </conditionalFormatting>
  <conditionalFormatting sqref="B145:D146">
    <cfRule type="expression" priority="119" dxfId="36" stopIfTrue="1">
      <formula>$A145="integer"</formula>
    </cfRule>
    <cfRule type="expression" priority="118" dxfId="40" stopIfTrue="1">
      <formula>$A145="decimal"</formula>
    </cfRule>
  </conditionalFormatting>
  <conditionalFormatting sqref="B163:D165 B167:D167 F163:F165">
    <cfRule type="expression" priority="1421" dxfId="52" stopIfTrue="1">
      <formula>$A163="text"</formula>
    </cfRule>
  </conditionalFormatting>
  <conditionalFormatting sqref="B166:D166 F166">
    <cfRule type="expression" priority="1371" dxfId="85" stopIfTrue="1">
      <formula>$A166="enumerator"</formula>
    </cfRule>
  </conditionalFormatting>
  <conditionalFormatting sqref="B166:D166 G166:H166">
    <cfRule type="expression" priority="1359" dxfId="40" stopIfTrue="1">
      <formula>$A166="decimal"</formula>
    </cfRule>
    <cfRule type="expression" priority="1361" dxfId="36" stopIfTrue="1">
      <formula>$A166="integer"</formula>
    </cfRule>
  </conditionalFormatting>
  <conditionalFormatting sqref="B166:D166">
    <cfRule type="expression" priority="1393" dxfId="52" stopIfTrue="1">
      <formula>$A166="text"</formula>
    </cfRule>
  </conditionalFormatting>
  <conditionalFormatting sqref="B169:D175 C168:D168">
    <cfRule type="expression" priority="1325" dxfId="85" stopIfTrue="1">
      <formula>$A168="enumerator"</formula>
    </cfRule>
  </conditionalFormatting>
  <conditionalFormatting sqref="B192:D197 F192:F197">
    <cfRule type="expression" priority="1152" dxfId="52" stopIfTrue="1">
      <formula>$A192="text"</formula>
    </cfRule>
    <cfRule type="expression" priority="1157" dxfId="85" stopIfTrue="1">
      <formula>$A192="enumerator"</formula>
    </cfRule>
  </conditionalFormatting>
  <conditionalFormatting sqref="B192:D197 G192:H197">
    <cfRule type="expression" priority="1149" dxfId="36" stopIfTrue="1">
      <formula>$A192="integer"</formula>
    </cfRule>
    <cfRule type="expression" priority="1148" dxfId="40" stopIfTrue="1">
      <formula>$A192="decimal"</formula>
    </cfRule>
  </conditionalFormatting>
  <conditionalFormatting sqref="B310:D320 B327:D339 B346:D358 B365:D377 B384:D386 G310:H320 G327:H339 G346:H358 G365:H377 G384:H386">
    <cfRule type="expression" priority="440" dxfId="40" stopIfTrue="1">
      <formula>$A310="decimal"</formula>
    </cfRule>
    <cfRule type="expression" priority="441" dxfId="36" stopIfTrue="1">
      <formula>$A310="integer"</formula>
    </cfRule>
  </conditionalFormatting>
  <conditionalFormatting sqref="B310:D320 B327:D339 B346:D358 B365:D377 B384:D386 F310:F320 F327:F339 F346:F358 F365:F377 F384:F386">
    <cfRule type="expression" priority="444" dxfId="52" stopIfTrue="1">
      <formula>$A310="text"</formula>
    </cfRule>
    <cfRule type="expression" priority="449" dxfId="85" stopIfTrue="1">
      <formula>$A310="enumerator"</formula>
    </cfRule>
  </conditionalFormatting>
  <conditionalFormatting sqref="B387:D436 F387:F436">
    <cfRule type="expression" priority="498" dxfId="52" stopIfTrue="1">
      <formula>$A387="text"</formula>
    </cfRule>
    <cfRule type="expression" priority="503" dxfId="85" stopIfTrue="1">
      <formula>$A387="enumerator"</formula>
    </cfRule>
  </conditionalFormatting>
  <conditionalFormatting sqref="B387:D436 G387:H436">
    <cfRule type="expression" priority="494" dxfId="40" stopIfTrue="1">
      <formula>$A387="decimal"</formula>
    </cfRule>
    <cfRule type="expression" priority="495" dxfId="36" stopIfTrue="1">
      <formula>$A387="integer"</formula>
    </cfRule>
  </conditionalFormatting>
  <conditionalFormatting sqref="C16">
    <cfRule type="expression" priority="3228" dxfId="739" stopIfTrue="1">
      <formula>OR(AND(LEFT($A16, 16)="select_multiple ", LEN($A16)&gt;16, NOT(ISNUMBER(SEARCH(" ", $A16, 17)))), AND(LEFT($A16, 11)="select_one ", LEN($A16)&gt;11, NOT(ISNUMBER(SEARCH(" ", $A16, 12)))))</formula>
    </cfRule>
    <cfRule type="expression" priority="3250" dxfId="738" stopIfTrue="1">
      <formula>$A16="decimal"</formula>
    </cfRule>
    <cfRule type="expression" priority="3253" dxfId="705" stopIfTrue="1">
      <formula>$A16="end repeat"</formula>
    </cfRule>
    <cfRule type="expression" priority="3236" dxfId="736" stopIfTrue="1">
      <formula>$A16="file"</formula>
    </cfRule>
    <cfRule type="expression" priority="3235" dxfId="735" stopIfTrue="1">
      <formula>OR($A16="audio", $A16="video")</formula>
    </cfRule>
    <cfRule type="expression" priority="3252" dxfId="734" stopIfTrue="1">
      <formula>$A16="text"</formula>
    </cfRule>
    <cfRule type="expression" priority="3233" dxfId="733" stopIfTrue="1">
      <formula>OR($A16="date", $A16="datetime", $A16="time")</formula>
    </cfRule>
    <cfRule type="expression" priority="3232" dxfId="732" stopIfTrue="1">
      <formula>OR($A16="geopoint", $A16="geoshape", $A16="geotrace")</formula>
    </cfRule>
    <cfRule type="expression" priority="3231" dxfId="731" stopIfTrue="1">
      <formula>$A16="barcode"</formula>
    </cfRule>
    <cfRule type="expression" priority="3230" dxfId="730" stopIfTrue="1">
      <formula>$A16="note"</formula>
    </cfRule>
    <cfRule type="expression" priority="3229" dxfId="729" stopIfTrue="1">
      <formula>$A16="file"</formula>
    </cfRule>
    <cfRule type="expression" priority="3255" dxfId="711" stopIfTrue="1">
      <formula>$A16="end group"</formula>
    </cfRule>
    <cfRule type="expression" priority="3227" dxfId="727" stopIfTrue="1">
      <formula>$A16="decimal"</formula>
    </cfRule>
    <cfRule type="expression" priority="3226" dxfId="726" stopIfTrue="1">
      <formula>$A16="integer"</formula>
    </cfRule>
    <cfRule type="expression" priority="3225" dxfId="725" stopIfTrue="1">
      <formula>$A16="text"</formula>
    </cfRule>
    <cfRule type="expression" priority="3224" dxfId="724" stopIfTrue="1">
      <formula>$A16="enumerator"</formula>
    </cfRule>
    <cfRule type="expression" priority="3223" dxfId="723" stopIfTrue="1">
      <formula>$A16="begin repeat"</formula>
    </cfRule>
    <cfRule type="expression" priority="3222" dxfId="722" stopIfTrue="1">
      <formula>$A16="begin group"</formula>
    </cfRule>
    <cfRule type="expression" priority="3239" dxfId="721" stopIfTrue="1">
      <formula>$A16="comments"</formula>
    </cfRule>
    <cfRule type="expression" priority="3243" dxfId="720" stopIfTrue="1">
      <formula>OR($A16="calculate", $A16="calculate_here")</formula>
    </cfRule>
    <cfRule type="expression" priority="3240" dxfId="719" stopIfTrue="1">
      <formula>OR($A16="audio", $A16="video")</formula>
    </cfRule>
    <cfRule type="expression" priority="3244" dxfId="718" stopIfTrue="1">
      <formula>$A16="note"</formula>
    </cfRule>
    <cfRule type="expression" priority="3245" dxfId="717" stopIfTrue="1">
      <formula>$A16="barcode"</formula>
    </cfRule>
    <cfRule type="expression" priority="3246" dxfId="716" stopIfTrue="1">
      <formula>OR($A16="geopoint", $A16="geoshape", $A16="geotrace")</formula>
    </cfRule>
    <cfRule type="expression" priority="3234" dxfId="715" stopIfTrue="1">
      <formula>$A16="image"</formula>
    </cfRule>
    <cfRule type="expression" priority="3247" dxfId="714" stopIfTrue="1">
      <formula>OR($A16="audio audit", $A16="text audit", $A16="speed violations count", $A16="speed violations list", $A16="speed violations audit")</formula>
    </cfRule>
    <cfRule type="expression" priority="3242" dxfId="713" stopIfTrue="1">
      <formula>OR($A16="date", $A16="datetime", $A16="time")</formula>
    </cfRule>
    <cfRule type="expression" priority="3248" dxfId="712" stopIfTrue="1">
      <formula>OR($A16="username", $A16="phonenumber", $A16="start", $A16="end", $A16="deviceid", $A16="subscriberid", $A16="simserial", $A16="caseid")</formula>
    </cfRule>
    <cfRule type="expression" priority="3256" dxfId="711" stopIfTrue="1">
      <formula>$A16="begin group"</formula>
    </cfRule>
    <cfRule type="expression" priority="3241" dxfId="710" stopIfTrue="1">
      <formula>$A16="image"</formula>
    </cfRule>
    <cfRule type="expression" priority="3238" dxfId="709" stopIfTrue="1">
      <formula>OR(AND(LEFT($A16, 14)="sensor_stream ", LEN($A16)&gt;14, NOT(ISNUMBER(SEARCH(" ", $A16, 15)))), AND(LEFT($A16, 17)="sensor_statistic ", LEN($A16)&gt;17, NOT(ISNUMBER(SEARCH(" ", $A16, 18)))))</formula>
    </cfRule>
    <cfRule type="expression" priority="3237" dxfId="708" stopIfTrue="1">
      <formula>$A16="enumerator"</formula>
    </cfRule>
    <cfRule type="expression" priority="3249" dxfId="707" stopIfTrue="1">
      <formula>OR(AND(LEFT($A16, 16)="select_multiple ", LEN($A16)&gt;16, NOT(ISNUMBER(SEARCH(" ", $A16, 17)))), AND(LEFT($A16, 11)="select_one ", LEN($A16)&gt;11, NOT(ISNUMBER(SEARCH(" ", $A16, 12)))))</formula>
    </cfRule>
    <cfRule type="expression" priority="3251" dxfId="706" stopIfTrue="1">
      <formula>$A16="integer"</formula>
    </cfRule>
    <cfRule type="expression" priority="3254" dxfId="705" stopIfTrue="1">
      <formula>$A16="begin repeat"</formula>
    </cfRule>
  </conditionalFormatting>
  <conditionalFormatting sqref="C17">
    <cfRule type="expression" priority="618" dxfId="11" stopIfTrue="1">
      <formula>OR($A17="calculate", $A17="calculate_here")</formula>
    </cfRule>
    <cfRule type="expression" priority="628" dxfId="5" stopIfTrue="1">
      <formula>$A17="integer"</formula>
    </cfRule>
    <cfRule type="expression" priority="617" dxfId="21" stopIfTrue="1">
      <formula>OR($A17="date", $A17="datetime", $A17="time")</formula>
    </cfRule>
    <cfRule type="expression" priority="615" dxfId="23" stopIfTrue="1">
      <formula>OR($A17="audio", $A17="video")</formula>
    </cfRule>
    <cfRule type="expression" priority="625" dxfId="40" stopIfTrue="1">
      <formula>$A17="decimal"</formula>
    </cfRule>
    <cfRule type="expression" priority="614" dxfId="24" stopIfTrue="1">
      <formula>$A17="comments"</formula>
    </cfRule>
    <cfRule type="expression" priority="619" dxfId="12" stopIfTrue="1">
      <formula>$A17="note"</formula>
    </cfRule>
    <cfRule type="expression" priority="620" dxfId="10" stopIfTrue="1">
      <formula>$A17="barcode"</formula>
    </cfRule>
    <cfRule type="expression" priority="621" dxfId="9" stopIfTrue="1">
      <formula>OR($A17="geopoint", $A17="geoshape", $A17="geotrace")</formula>
    </cfRule>
    <cfRule type="expression" priority="622" dxfId="8" stopIfTrue="1">
      <formula>OR($A17="audio audit", $A17="text audit", $A17="speed violations count", $A17="speed violations list", $A17="speed violations audit")</formula>
    </cfRule>
    <cfRule type="expression" priority="623" dxfId="0" stopIfTrue="1">
      <formula>OR($A17="username", $A17="phonenumber", $A17="start", $A17="end", $A17="deviceid", $A17="subscriberid", $A17="simserial", $A17="caseid")</formula>
    </cfRule>
    <cfRule type="expression" priority="627" dxfId="36" stopIfTrue="1">
      <formula>$A17="integer"</formula>
    </cfRule>
    <cfRule type="expression" priority="639" dxfId="46" stopIfTrue="1">
      <formula>OR(AND(LEFT($A17, 16)="select_multiple ", LEN($A17)&gt;16, NOT(ISNUMBER(SEARCH(" ", $A17, 17)))), AND(LEFT($A17, 11)="select_one ", LEN($A17)&gt;11, NOT(ISNUMBER(SEARCH(" ", $A17, 12)))))</formula>
    </cfRule>
    <cfRule type="expression" priority="638" dxfId="49" stopIfTrue="1">
      <formula>OR($A17="date", $A17="datetime", $A17="time")</formula>
    </cfRule>
    <cfRule type="expression" priority="637" dxfId="48" stopIfTrue="1">
      <formula>$A17="image"</formula>
    </cfRule>
    <cfRule type="expression" priority="636" dxfId="41" stopIfTrue="1">
      <formula>$A17="begin repeat"</formula>
    </cfRule>
    <cfRule type="expression" priority="635" dxfId="47" stopIfTrue="1">
      <formula>$A17="begin group"</formula>
    </cfRule>
    <cfRule type="expression" priority="634" dxfId="1" stopIfTrue="1">
      <formula>$A17="begin group"</formula>
    </cfRule>
    <cfRule type="expression" priority="633" dxfId="1" stopIfTrue="1">
      <formula>$A17="end group"</formula>
    </cfRule>
    <cfRule type="expression" priority="626" dxfId="6" stopIfTrue="1">
      <formula>$A17="decimal"</formula>
    </cfRule>
    <cfRule type="expression" priority="624" dxfId="7" stopIfTrue="1">
      <formula>OR(AND(LEFT($A17, 16)="select_multiple ", LEN($A17)&gt;16, NOT(ISNUMBER(SEARCH(" ", $A17, 17)))), AND(LEFT($A17, 11)="select_one ", LEN($A17)&gt;11, NOT(ISNUMBER(SEARCH(" ", $A17, 12)))))</formula>
    </cfRule>
    <cfRule type="expression" priority="632" dxfId="2" stopIfTrue="1">
      <formula>$A17="begin repeat"</formula>
    </cfRule>
    <cfRule type="expression" priority="631" dxfId="2" stopIfTrue="1">
      <formula>$A17="end repeat"</formula>
    </cfRule>
    <cfRule type="expression" priority="630" dxfId="4" stopIfTrue="1">
      <formula>$A17="text"</formula>
    </cfRule>
    <cfRule type="expression" priority="629" dxfId="52" stopIfTrue="1">
      <formula>$A17="text"</formula>
    </cfRule>
    <cfRule type="expression" priority="616" dxfId="22" stopIfTrue="1">
      <formula>$A17="image"</formula>
    </cfRule>
  </conditionalFormatting>
  <conditionalFormatting sqref="C90:C97">
    <cfRule type="expression" priority="706" dxfId="12" stopIfTrue="1">
      <formula>$A90="note"</formula>
    </cfRule>
    <cfRule type="expression" priority="701" dxfId="87" stopIfTrue="1">
      <formula>OR(AND(LEFT($A90, 14)="sensor_stream ", LEN($A90)&gt;14, NOT(ISNUMBER(SEARCH(" ", $A90, 15)))), AND(LEFT($A90, 17)="sensor_statistic ", LEN($A90)&gt;17, NOT(ISNUMBER(SEARCH(" ", $A90, 18)))))</formula>
    </cfRule>
    <cfRule type="expression" priority="697" dxfId="86" stopIfTrue="1">
      <formula>$A90="enumerator"</formula>
    </cfRule>
    <cfRule type="expression" priority="698" dxfId="52" stopIfTrue="1">
      <formula>$A90="text"</formula>
    </cfRule>
    <cfRule type="expression" priority="699" dxfId="84" stopIfTrue="1">
      <formula>$A90="file"</formula>
    </cfRule>
    <cfRule type="expression" priority="718" dxfId="1" stopIfTrue="1">
      <formula>$A90="begin group"</formula>
    </cfRule>
    <cfRule type="expression" priority="717" dxfId="1" stopIfTrue="1">
      <formula>$A90="end group"</formula>
    </cfRule>
    <cfRule type="expression" priority="716" dxfId="2" stopIfTrue="1">
      <formula>$A90="begin repeat"</formula>
    </cfRule>
    <cfRule type="expression" priority="715" dxfId="2" stopIfTrue="1">
      <formula>$A90="end repeat"</formula>
    </cfRule>
    <cfRule type="expression" priority="714" dxfId="4" stopIfTrue="1">
      <formula>$A90="text"</formula>
    </cfRule>
    <cfRule type="expression" priority="713" dxfId="5" stopIfTrue="1">
      <formula>$A90="integer"</formula>
    </cfRule>
    <cfRule type="expression" priority="712" dxfId="6" stopIfTrue="1">
      <formula>$A90="decimal"</formula>
    </cfRule>
    <cfRule type="expression" priority="711" dxfId="7" stopIfTrue="1">
      <formula>OR(AND(LEFT($A90, 16)="select_multiple ", LEN($A90)&gt;16, NOT(ISNUMBER(SEARCH(" ", $A90, 17)))), AND(LEFT($A90, 11)="select_one ", LEN($A90)&gt;11, NOT(ISNUMBER(SEARCH(" ", $A90, 12)))))</formula>
    </cfRule>
    <cfRule type="expression" priority="710" dxfId="0" stopIfTrue="1">
      <formula>OR($A90="username", $A90="phonenumber", $A90="start", $A90="end", $A90="deviceid", $A90="subscriberid", $A90="simserial", $A90="caseid")</formula>
    </cfRule>
    <cfRule type="expression" priority="709" dxfId="8" stopIfTrue="1">
      <formula>OR($A90="audio audit", $A90="text audit", $A90="speed violations count", $A90="speed violations list", $A90="speed violations audit")</formula>
    </cfRule>
    <cfRule type="expression" priority="708" dxfId="9" stopIfTrue="1">
      <formula>OR($A90="geopoint", $A90="geoshape", $A90="geotrace")</formula>
    </cfRule>
    <cfRule type="expression" priority="707" dxfId="10" stopIfTrue="1">
      <formula>$A90="barcode"</formula>
    </cfRule>
    <cfRule type="expression" priority="700" dxfId="85" stopIfTrue="1">
      <formula>$A90="enumerator"</formula>
    </cfRule>
    <cfRule type="expression" priority="705" dxfId="21" stopIfTrue="1">
      <formula>OR($A90="date", $A90="datetime", $A90="time")</formula>
    </cfRule>
    <cfRule type="expression" priority="704" dxfId="22" stopIfTrue="1">
      <formula>$A90="image"</formula>
    </cfRule>
    <cfRule type="expression" priority="703" dxfId="23" stopIfTrue="1">
      <formula>OR($A90="audio", $A90="video")</formula>
    </cfRule>
    <cfRule type="expression" priority="702" dxfId="24" stopIfTrue="1">
      <formula>$A90="comments"</formula>
    </cfRule>
  </conditionalFormatting>
  <conditionalFormatting sqref="C137">
    <cfRule type="expression" priority="1455" dxfId="1" stopIfTrue="1">
      <formula>$A137="begin group"</formula>
    </cfRule>
    <cfRule type="expression" priority="1451" dxfId="4" stopIfTrue="1">
      <formula>$A137="text"</formula>
    </cfRule>
    <cfRule type="expression" priority="1432" dxfId="52" stopIfTrue="1">
      <formula>$A137="text"</formula>
    </cfRule>
    <cfRule type="expression" priority="1452" dxfId="2" stopIfTrue="1">
      <formula>$A137="end repeat"</formula>
    </cfRule>
    <cfRule type="expression" priority="1449" dxfId="6" stopIfTrue="1">
      <formula>$A137="decimal"</formula>
    </cfRule>
    <cfRule type="expression" priority="1453" dxfId="2" stopIfTrue="1">
      <formula>$A137="begin repeat"</formula>
    </cfRule>
    <cfRule type="expression" priority="1454" dxfId="1" stopIfTrue="1">
      <formula>$A137="end group"</formula>
    </cfRule>
    <cfRule type="expression" priority="1448" dxfId="7" stopIfTrue="1">
      <formula>OR(AND(LEFT($A137, 16)="select_multiple ", LEN($A137)&gt;16, NOT(ISNUMBER(SEARCH(" ", $A137, 17)))), AND(LEFT($A137, 11)="select_one ", LEN($A137)&gt;11, NOT(ISNUMBER(SEARCH(" ", $A137, 12)))))</formula>
    </cfRule>
    <cfRule type="expression" priority="1447" dxfId="0" stopIfTrue="1">
      <formula>OR($A137="username", $A137="phonenumber", $A137="start", $A137="end", $A137="deviceid", $A137="subscriberid", $A137="simserial", $A137="caseid")</formula>
    </cfRule>
    <cfRule type="expression" priority="1446" dxfId="8" stopIfTrue="1">
      <formula>OR($A137="audio audit", $A137="text audit", $A137="speed violations count", $A137="speed violations list", $A137="speed violations audit")</formula>
    </cfRule>
    <cfRule type="expression" priority="1445" dxfId="9" stopIfTrue="1">
      <formula>OR($A137="geopoint", $A137="geoshape", $A137="geotrace")</formula>
    </cfRule>
    <cfRule type="expression" priority="1444" dxfId="10" stopIfTrue="1">
      <formula>$A137="barcode"</formula>
    </cfRule>
    <cfRule type="expression" priority="1443" dxfId="12" stopIfTrue="1">
      <formula>$A137="note"</formula>
    </cfRule>
    <cfRule type="expression" priority="1442" dxfId="21" stopIfTrue="1">
      <formula>OR($A137="date", $A137="datetime", $A137="time")</formula>
    </cfRule>
    <cfRule type="expression" priority="1441" dxfId="22" stopIfTrue="1">
      <formula>$A137="image"</formula>
    </cfRule>
    <cfRule type="expression" priority="1440" dxfId="23" stopIfTrue="1">
      <formula>OR($A137="audio", $A137="video")</formula>
    </cfRule>
    <cfRule type="expression" priority="1439" dxfId="24" stopIfTrue="1">
      <formula>$A137="comments"</formula>
    </cfRule>
    <cfRule type="expression" priority="1438" dxfId="87" stopIfTrue="1">
      <formula>OR(AND(LEFT($A137, 14)="sensor_stream ", LEN($A137)&gt;14, NOT(ISNUMBER(SEARCH(" ", $A137, 15)))), AND(LEFT($A137, 17)="sensor_statistic ", LEN($A137)&gt;17, NOT(ISNUMBER(SEARCH(" ", $A137, 18)))))</formula>
    </cfRule>
    <cfRule type="expression" priority="1437" dxfId="85" stopIfTrue="1">
      <formula>$A137="enumerator"</formula>
    </cfRule>
    <cfRule type="expression" priority="1436" dxfId="84" stopIfTrue="1">
      <formula>$A137="file"</formula>
    </cfRule>
    <cfRule type="expression" priority="1435" dxfId="86" stopIfTrue="1">
      <formula>$A137="enumerator"</formula>
    </cfRule>
    <cfRule type="expression" priority="1434" dxfId="36" stopIfTrue="1">
      <formula>$A137="integer"</formula>
    </cfRule>
    <cfRule type="expression" priority="1433" dxfId="40" stopIfTrue="1">
      <formula>$A137="decimal"</formula>
    </cfRule>
    <cfRule type="expression" priority="1431" dxfId="11" stopIfTrue="1">
      <formula>OR($A137="calculate", $A137="calculate_here")</formula>
    </cfRule>
    <cfRule type="expression" priority="1450" dxfId="5" stopIfTrue="1">
      <formula>$A137="integer"</formula>
    </cfRule>
  </conditionalFormatting>
  <conditionalFormatting sqref="C170:C171">
    <cfRule type="expression" priority="1284" dxfId="8" stopIfTrue="1">
      <formula>OR($A170="audio audit", $A170="text audit", $A170="speed violations count", $A170="speed violations list", $A170="speed violations audit")</formula>
    </cfRule>
    <cfRule type="expression" priority="1279" dxfId="21" stopIfTrue="1">
      <formula>OR($A170="date", $A170="datetime", $A170="time")</formula>
    </cfRule>
    <cfRule type="expression" priority="1296" dxfId="1" stopIfTrue="1">
      <formula>$A170="begin group"</formula>
    </cfRule>
    <cfRule type="expression" priority="1295" dxfId="1" stopIfTrue="1">
      <formula>$A170="end group"</formula>
    </cfRule>
    <cfRule type="expression" priority="1282" dxfId="10" stopIfTrue="1">
      <formula>$A170="barcode"</formula>
    </cfRule>
    <cfRule type="expression" priority="1294" dxfId="2" stopIfTrue="1">
      <formula>$A170="begin repeat"</formula>
    </cfRule>
    <cfRule type="expression" priority="1293" dxfId="2" stopIfTrue="1">
      <formula>$A170="end repeat"</formula>
    </cfRule>
    <cfRule type="expression" priority="1292" dxfId="4" stopIfTrue="1">
      <formula>$A170="text"</formula>
    </cfRule>
    <cfRule type="expression" priority="1291" dxfId="52" stopIfTrue="1">
      <formula>$A170="text"</formula>
    </cfRule>
    <cfRule type="expression" priority="1290" dxfId="5" stopIfTrue="1">
      <formula>$A170="integer"</formula>
    </cfRule>
    <cfRule type="expression" priority="1289" dxfId="36" stopIfTrue="1">
      <formula>$A170="integer"</formula>
    </cfRule>
    <cfRule type="expression" priority="1288" dxfId="6" stopIfTrue="1">
      <formula>$A170="decimal"</formula>
    </cfRule>
    <cfRule type="expression" priority="1287" dxfId="40" stopIfTrue="1">
      <formula>$A170="decimal"</formula>
    </cfRule>
    <cfRule type="expression" priority="1286" dxfId="7" stopIfTrue="1">
      <formula>OR(AND(LEFT($A170, 16)="select_multiple ", LEN($A170)&gt;16, NOT(ISNUMBER(SEARCH(" ", $A170, 17)))), AND(LEFT($A170, 11)="select_one ", LEN($A170)&gt;11, NOT(ISNUMBER(SEARCH(" ", $A170, 12)))))</formula>
    </cfRule>
    <cfRule type="expression" priority="1285" dxfId="0" stopIfTrue="1">
      <formula>OR($A170="username", $A170="phonenumber", $A170="start", $A170="end", $A170="deviceid", $A170="subscriberid", $A170="simserial", $A170="caseid")</formula>
    </cfRule>
    <cfRule type="expression" priority="1283" dxfId="9" stopIfTrue="1">
      <formula>OR($A170="geopoint", $A170="geoshape", $A170="geotrace")</formula>
    </cfRule>
    <cfRule type="expression" priority="1281" dxfId="12" stopIfTrue="1">
      <formula>$A170="note"</formula>
    </cfRule>
    <cfRule type="expression" priority="1265" dxfId="116" stopIfTrue="1">
      <formula>$A170="file"</formula>
    </cfRule>
    <cfRule type="expression" priority="1266" dxfId="45" stopIfTrue="1">
      <formula>OR($A170="audio", $A170="video")</formula>
    </cfRule>
    <cfRule type="expression" priority="1267" dxfId="48" stopIfTrue="1">
      <formula>$A170="image"</formula>
    </cfRule>
    <cfRule type="expression" priority="1268" dxfId="49" stopIfTrue="1">
      <formula>OR($A170="date", $A170="datetime", $A170="time")</formula>
    </cfRule>
    <cfRule type="expression" priority="1269" dxfId="42" stopIfTrue="1">
      <formula>$A170="note"</formula>
    </cfRule>
    <cfRule type="expression" priority="1270" dxfId="43" stopIfTrue="1">
      <formula>$A170="barcode"</formula>
    </cfRule>
    <cfRule type="expression" priority="1271" dxfId="44" stopIfTrue="1">
      <formula>OR($A170="geopoint", $A170="geoshape", $A170="geotrace")</formula>
    </cfRule>
    <cfRule type="expression" priority="1272" dxfId="46" stopIfTrue="1">
      <formula>OR(AND(LEFT($A170, 16)="select_multiple ", LEN($A170)&gt;16, NOT(ISNUMBER(SEARCH(" ", $A170, 17)))), AND(LEFT($A170, 11)="select_one ", LEN($A170)&gt;11, NOT(ISNUMBER(SEARCH(" ", $A170, 12)))))</formula>
    </cfRule>
    <cfRule type="expression" priority="1273" dxfId="41" stopIfTrue="1">
      <formula>$A170="begin repeat"</formula>
    </cfRule>
    <cfRule type="expression" priority="1274" dxfId="47" stopIfTrue="1">
      <formula>$A170="begin group"</formula>
    </cfRule>
    <cfRule type="expression" priority="1275" dxfId="87" stopIfTrue="1">
      <formula>OR(AND(LEFT($A170, 14)="sensor_stream ", LEN($A170)&gt;14, NOT(ISNUMBER(SEARCH(" ", $A170, 15)))), AND(LEFT($A170, 17)="sensor_statistic ", LEN($A170)&gt;17, NOT(ISNUMBER(SEARCH(" ", $A170, 18)))))</formula>
    </cfRule>
    <cfRule type="expression" priority="1276" dxfId="24" stopIfTrue="1">
      <formula>$A170="comments"</formula>
    </cfRule>
    <cfRule type="expression" priority="1277" dxfId="23" stopIfTrue="1">
      <formula>OR($A170="audio", $A170="video")</formula>
    </cfRule>
    <cfRule type="expression" priority="1278" dxfId="22" stopIfTrue="1">
      <formula>$A170="image"</formula>
    </cfRule>
    <cfRule type="expression" priority="1280" dxfId="11" stopIfTrue="1">
      <formula>OR($A170="calculate", $A170="calculate_here")</formula>
    </cfRule>
  </conditionalFormatting>
  <conditionalFormatting sqref="C211">
    <cfRule type="expression" priority="1065" dxfId="40" stopIfTrue="1">
      <formula>#REF!="decimal"</formula>
    </cfRule>
    <cfRule type="expression" priority="1066" dxfId="36" stopIfTrue="1">
      <formula>#REF!="integer"</formula>
    </cfRule>
    <cfRule type="expression" priority="1054" dxfId="1" stopIfTrue="1">
      <formula>#REF!="end group"</formula>
    </cfRule>
    <cfRule type="expression" priority="1052" dxfId="2" stopIfTrue="1">
      <formula>#REF!="end repeat"</formula>
    </cfRule>
    <cfRule type="expression" priority="1051" dxfId="5" stopIfTrue="1">
      <formula>#REF!="integer"</formula>
    </cfRule>
    <cfRule type="expression" priority="1055" dxfId="1" stopIfTrue="1">
      <formula>#REF!="begin group"</formula>
    </cfRule>
    <cfRule type="expression" priority="1056" dxfId="7" stopIfTrue="1">
      <formula>OR(AND(LEFT(#REF!, 16)="select_multiple ", LEN(#REF!)&gt;16, NOT(ISNUMBER(SEARCH(" ", #REF!, 17)))), AND(LEFT(#REF!, 11)="select_one ", LEN(#REF!)&gt;11, NOT(ISNUMBER(SEARCH(" ", #REF!, 12)))))</formula>
    </cfRule>
    <cfRule type="expression" priority="1057" dxfId="22" stopIfTrue="1">
      <formula>#REF!="image"</formula>
    </cfRule>
    <cfRule type="expression" priority="1058" dxfId="21" stopIfTrue="1">
      <formula>OR(#REF!="date", #REF!="datetime", #REF!="time")</formula>
    </cfRule>
    <cfRule type="expression" priority="1059" dxfId="0" stopIfTrue="1">
      <formula>OR(#REF!="username", #REF!="phonenumber", #REF!="start", #REF!="end", #REF!="deviceid", #REF!="subscriberid", #REF!="simserial", #REF!="caseid")</formula>
    </cfRule>
    <cfRule type="expression" priority="1060" dxfId="10" stopIfTrue="1">
      <formula>#REF!="barcode"</formula>
    </cfRule>
    <cfRule type="expression" priority="1061" dxfId="9" stopIfTrue="1">
      <formula>OR(#REF!="geopoint", #REF!="geoshape", #REF!="geotrace")</formula>
    </cfRule>
    <cfRule type="expression" priority="1062" dxfId="12" stopIfTrue="1">
      <formula>#REF!="note"</formula>
    </cfRule>
    <cfRule type="expression" priority="1063" dxfId="4" stopIfTrue="1">
      <formula>#REF!="text"</formula>
    </cfRule>
    <cfRule type="expression" priority="1068" dxfId="85" stopIfTrue="1">
      <formula>#REF!="enumerator"</formula>
    </cfRule>
    <cfRule type="expression" priority="1067" dxfId="52" stopIfTrue="1">
      <formula>#REF!="text"</formula>
    </cfRule>
    <cfRule type="expression" priority="1064" dxfId="24" stopIfTrue="1">
      <formula>#REF!="comments"</formula>
    </cfRule>
    <cfRule type="expression" priority="1050" dxfId="6" stopIfTrue="1">
      <formula>#REF!="decimal"</formula>
    </cfRule>
    <cfRule type="expression" priority="1049" dxfId="23" stopIfTrue="1">
      <formula>OR(#REF!="audio", #REF!="video")</formula>
    </cfRule>
    <cfRule type="expression" priority="1048" dxfId="11" stopIfTrue="1">
      <formula>OR(#REF!="calculate", #REF!="calculate_here")</formula>
    </cfRule>
    <cfRule type="expression" priority="1047" dxfId="8" stopIfTrue="1">
      <formula>OR(#REF!="audio audit", #REF!="text audit", #REF!="speed violations count", #REF!="speed violations list", #REF!="speed violations audit")</formula>
    </cfRule>
    <cfRule type="expression" priority="1046" dxfId="87" stopIfTrue="1">
      <formula>OR(AND(LEFT(#REF!, 14)="sensor_stream ", LEN(#REF!)&gt;14, NOT(ISNUMBER(SEARCH(" ", #REF!, 15)))), AND(LEFT(#REF!, 17)="sensor_statistic ", LEN(#REF!)&gt;17, NOT(ISNUMBER(SEARCH(" ", #REF!, 18)))))</formula>
    </cfRule>
    <cfRule type="expression" priority="1045" dxfId="84" stopIfTrue="1">
      <formula>#REF!="file"</formula>
    </cfRule>
    <cfRule type="expression" priority="1044" dxfId="86" stopIfTrue="1">
      <formula>#REF!="enumerator"</formula>
    </cfRule>
    <cfRule type="expression" priority="1053" dxfId="2" stopIfTrue="1">
      <formula>#REF!="begin repeat"</formula>
    </cfRule>
  </conditionalFormatting>
  <conditionalFormatting sqref="C220">
    <cfRule type="expression" priority="1037" dxfId="52" stopIfTrue="1">
      <formula>#REF!="text"</formula>
    </cfRule>
    <cfRule type="expression" priority="1015" dxfId="84" stopIfTrue="1">
      <formula>#REF!="file"</formula>
    </cfRule>
    <cfRule type="expression" priority="1038" dxfId="85" stopIfTrue="1">
      <formula>#REF!="enumerator"</formula>
    </cfRule>
    <cfRule type="expression" priority="1036" dxfId="36" stopIfTrue="1">
      <formula>#REF!="integer"</formula>
    </cfRule>
    <cfRule type="expression" priority="1034" dxfId="24" stopIfTrue="1">
      <formula>#REF!="comments"</formula>
    </cfRule>
    <cfRule type="expression" priority="1033" dxfId="4" stopIfTrue="1">
      <formula>#REF!="text"</formula>
    </cfRule>
    <cfRule type="expression" priority="1032" dxfId="12" stopIfTrue="1">
      <formula>#REF!="note"</formula>
    </cfRule>
    <cfRule type="expression" priority="1031" dxfId="9" stopIfTrue="1">
      <formula>OR(#REF!="geopoint", #REF!="geoshape", #REF!="geotrace")</formula>
    </cfRule>
    <cfRule type="expression" priority="1030" dxfId="10" stopIfTrue="1">
      <formula>#REF!="barcode"</formula>
    </cfRule>
    <cfRule type="expression" priority="1029" dxfId="0" stopIfTrue="1">
      <formula>OR(#REF!="username", #REF!="phonenumber", #REF!="start", #REF!="end", #REF!="deviceid", #REF!="subscriberid", #REF!="simserial", #REF!="caseid")</formula>
    </cfRule>
    <cfRule type="expression" priority="1035" dxfId="40" stopIfTrue="1">
      <formula>#REF!="decimal"</formula>
    </cfRule>
    <cfRule type="expression" priority="1028" dxfId="21" stopIfTrue="1">
      <formula>OR(#REF!="date", #REF!="datetime", #REF!="time")</formula>
    </cfRule>
    <cfRule type="expression" priority="1027" dxfId="22" stopIfTrue="1">
      <formula>#REF!="image"</formula>
    </cfRule>
    <cfRule type="expression" priority="1026" dxfId="7" stopIfTrue="1">
      <formula>OR(AND(LEFT(#REF!, 16)="select_multiple ", LEN(#REF!)&gt;16, NOT(ISNUMBER(SEARCH(" ", #REF!, 17)))), AND(LEFT(#REF!, 11)="select_one ", LEN(#REF!)&gt;11, NOT(ISNUMBER(SEARCH(" ", #REF!, 12)))))</formula>
    </cfRule>
    <cfRule type="expression" priority="1025" dxfId="1" stopIfTrue="1">
      <formula>#REF!="begin group"</formula>
    </cfRule>
    <cfRule type="expression" priority="1024" dxfId="1" stopIfTrue="1">
      <formula>#REF!="end group"</formula>
    </cfRule>
    <cfRule type="expression" priority="1023" dxfId="2" stopIfTrue="1">
      <formula>#REF!="begin repeat"</formula>
    </cfRule>
    <cfRule type="expression" priority="1022" dxfId="2" stopIfTrue="1">
      <formula>#REF!="end repeat"</formula>
    </cfRule>
    <cfRule type="expression" priority="1021" dxfId="5" stopIfTrue="1">
      <formula>#REF!="integer"</formula>
    </cfRule>
    <cfRule type="expression" priority="1020" dxfId="6" stopIfTrue="1">
      <formula>#REF!="decimal"</formula>
    </cfRule>
    <cfRule type="expression" priority="1019" dxfId="23" stopIfTrue="1">
      <formula>OR(#REF!="audio", #REF!="video")</formula>
    </cfRule>
    <cfRule type="expression" priority="1018" dxfId="11" stopIfTrue="1">
      <formula>OR(#REF!="calculate", #REF!="calculate_here")</formula>
    </cfRule>
    <cfRule type="expression" priority="1017" dxfId="8" stopIfTrue="1">
      <formula>OR(#REF!="audio audit", #REF!="text audit", #REF!="speed violations count", #REF!="speed violations list", #REF!="speed violations audit")</formula>
    </cfRule>
    <cfRule type="expression" priority="1016" dxfId="87" stopIfTrue="1">
      <formula>OR(AND(LEFT(#REF!, 14)="sensor_stream ", LEN(#REF!)&gt;14, NOT(ISNUMBER(SEARCH(" ", #REF!, 15)))), AND(LEFT(#REF!, 17)="sensor_statistic ", LEN(#REF!)&gt;17, NOT(ISNUMBER(SEARCH(" ", #REF!, 18)))))</formula>
    </cfRule>
    <cfRule type="expression" priority="1014" dxfId="86" stopIfTrue="1">
      <formula>#REF!="enumerator"</formula>
    </cfRule>
  </conditionalFormatting>
  <conditionalFormatting sqref="C229">
    <cfRule type="expression" priority="990" dxfId="6" stopIfTrue="1">
      <formula>#REF!="decimal"</formula>
    </cfRule>
    <cfRule type="expression" priority="1007" dxfId="52" stopIfTrue="1">
      <formula>#REF!="text"</formula>
    </cfRule>
    <cfRule type="expression" priority="1006" dxfId="36" stopIfTrue="1">
      <formula>#REF!="integer"</formula>
    </cfRule>
    <cfRule type="expression" priority="1005" dxfId="40" stopIfTrue="1">
      <formula>#REF!="decimal"</formula>
    </cfRule>
    <cfRule type="expression" priority="1004" dxfId="24" stopIfTrue="1">
      <formula>#REF!="comments"</formula>
    </cfRule>
    <cfRule type="expression" priority="1003" dxfId="4" stopIfTrue="1">
      <formula>#REF!="text"</formula>
    </cfRule>
    <cfRule type="expression" priority="1002" dxfId="12" stopIfTrue="1">
      <formula>#REF!="note"</formula>
    </cfRule>
    <cfRule type="expression" priority="1001" dxfId="9" stopIfTrue="1">
      <formula>OR(#REF!="geopoint", #REF!="geoshape", #REF!="geotrace")</formula>
    </cfRule>
    <cfRule type="expression" priority="1000" dxfId="10" stopIfTrue="1">
      <formula>#REF!="barcode"</formula>
    </cfRule>
    <cfRule type="expression" priority="999" dxfId="0" stopIfTrue="1">
      <formula>OR(#REF!="username", #REF!="phonenumber", #REF!="start", #REF!="end", #REF!="deviceid", #REF!="subscriberid", #REF!="simserial", #REF!="caseid")</formula>
    </cfRule>
    <cfRule type="expression" priority="998" dxfId="21" stopIfTrue="1">
      <formula>OR(#REF!="date", #REF!="datetime", #REF!="time")</formula>
    </cfRule>
    <cfRule type="expression" priority="997" dxfId="22" stopIfTrue="1">
      <formula>#REF!="image"</formula>
    </cfRule>
    <cfRule type="expression" priority="996" dxfId="7" stopIfTrue="1">
      <formula>OR(AND(LEFT(#REF!, 16)="select_multiple ", LEN(#REF!)&gt;16, NOT(ISNUMBER(SEARCH(" ", #REF!, 17)))), AND(LEFT(#REF!, 11)="select_one ", LEN(#REF!)&gt;11, NOT(ISNUMBER(SEARCH(" ", #REF!, 12)))))</formula>
    </cfRule>
    <cfRule type="expression" priority="995" dxfId="1" stopIfTrue="1">
      <formula>#REF!="begin group"</formula>
    </cfRule>
    <cfRule type="expression" priority="994" dxfId="1" stopIfTrue="1">
      <formula>#REF!="end group"</formula>
    </cfRule>
    <cfRule type="expression" priority="993" dxfId="2" stopIfTrue="1">
      <formula>#REF!="begin repeat"</formula>
    </cfRule>
    <cfRule type="expression" priority="992" dxfId="2" stopIfTrue="1">
      <formula>#REF!="end repeat"</formula>
    </cfRule>
    <cfRule type="expression" priority="989" dxfId="23" stopIfTrue="1">
      <formula>OR(#REF!="audio", #REF!="video")</formula>
    </cfRule>
    <cfRule type="expression" priority="991" dxfId="5" stopIfTrue="1">
      <formula>#REF!="integer"</formula>
    </cfRule>
    <cfRule type="expression" priority="988" dxfId="11" stopIfTrue="1">
      <formula>OR(#REF!="calculate", #REF!="calculate_here")</formula>
    </cfRule>
    <cfRule type="expression" priority="987" dxfId="8" stopIfTrue="1">
      <formula>OR(#REF!="audio audit", #REF!="text audit", #REF!="speed violations count", #REF!="speed violations list", #REF!="speed violations audit")</formula>
    </cfRule>
    <cfRule type="expression" priority="986" dxfId="87" stopIfTrue="1">
      <formula>OR(AND(LEFT(#REF!, 14)="sensor_stream ", LEN(#REF!)&gt;14, NOT(ISNUMBER(SEARCH(" ", #REF!, 15)))), AND(LEFT(#REF!, 17)="sensor_statistic ", LEN(#REF!)&gt;17, NOT(ISNUMBER(SEARCH(" ", #REF!, 18)))))</formula>
    </cfRule>
    <cfRule type="expression" priority="985" dxfId="84" stopIfTrue="1">
      <formula>#REF!="file"</formula>
    </cfRule>
    <cfRule type="expression" priority="984" dxfId="86" stopIfTrue="1">
      <formula>#REF!="enumerator"</formula>
    </cfRule>
    <cfRule type="expression" priority="1008" dxfId="85" stopIfTrue="1">
      <formula>#REF!="enumerator"</formula>
    </cfRule>
  </conditionalFormatting>
  <conditionalFormatting sqref="C238">
    <cfRule type="expression" priority="974" dxfId="24" stopIfTrue="1">
      <formula>#REF!="comments"</formula>
    </cfRule>
    <cfRule type="expression" priority="977" dxfId="52" stopIfTrue="1">
      <formula>#REF!="text"</formula>
    </cfRule>
    <cfRule type="expression" priority="972" dxfId="12" stopIfTrue="1">
      <formula>#REF!="note"</formula>
    </cfRule>
    <cfRule type="expression" priority="971" dxfId="9" stopIfTrue="1">
      <formula>OR(#REF!="geopoint", #REF!="geoshape", #REF!="geotrace")</formula>
    </cfRule>
    <cfRule type="expression" priority="970" dxfId="10" stopIfTrue="1">
      <formula>#REF!="barcode"</formula>
    </cfRule>
    <cfRule type="expression" priority="969" dxfId="0" stopIfTrue="1">
      <formula>OR(#REF!="username", #REF!="phonenumber", #REF!="start", #REF!="end", #REF!="deviceid", #REF!="subscriberid", #REF!="simserial", #REF!="caseid")</formula>
    </cfRule>
    <cfRule type="expression" priority="968" dxfId="21" stopIfTrue="1">
      <formula>OR(#REF!="date", #REF!="datetime", #REF!="time")</formula>
    </cfRule>
    <cfRule type="expression" priority="967" dxfId="22" stopIfTrue="1">
      <formula>#REF!="image"</formula>
    </cfRule>
    <cfRule type="expression" priority="966" dxfId="7" stopIfTrue="1">
      <formula>OR(AND(LEFT(#REF!, 16)="select_multiple ", LEN(#REF!)&gt;16, NOT(ISNUMBER(SEARCH(" ", #REF!, 17)))), AND(LEFT(#REF!, 11)="select_one ", LEN(#REF!)&gt;11, NOT(ISNUMBER(SEARCH(" ", #REF!, 12)))))</formula>
    </cfRule>
    <cfRule type="expression" priority="965" dxfId="1" stopIfTrue="1">
      <formula>#REF!="begin group"</formula>
    </cfRule>
    <cfRule type="expression" priority="964" dxfId="1" stopIfTrue="1">
      <formula>#REF!="end group"</formula>
    </cfRule>
    <cfRule type="expression" priority="963" dxfId="2" stopIfTrue="1">
      <formula>#REF!="begin repeat"</formula>
    </cfRule>
    <cfRule type="expression" priority="962" dxfId="2" stopIfTrue="1">
      <formula>#REF!="end repeat"</formula>
    </cfRule>
    <cfRule type="expression" priority="961" dxfId="5" stopIfTrue="1">
      <formula>#REF!="integer"</formula>
    </cfRule>
    <cfRule type="expression" priority="960" dxfId="6" stopIfTrue="1">
      <formula>#REF!="decimal"</formula>
    </cfRule>
    <cfRule type="expression" priority="959" dxfId="23" stopIfTrue="1">
      <formula>OR(#REF!="audio", #REF!="video")</formula>
    </cfRule>
    <cfRule type="expression" priority="958" dxfId="11" stopIfTrue="1">
      <formula>OR(#REF!="calculate", #REF!="calculate_here")</formula>
    </cfRule>
    <cfRule type="expression" priority="957" dxfId="8" stopIfTrue="1">
      <formula>OR(#REF!="audio audit", #REF!="text audit", #REF!="speed violations count", #REF!="speed violations list", #REF!="speed violations audit")</formula>
    </cfRule>
    <cfRule type="expression" priority="956" dxfId="87" stopIfTrue="1">
      <formula>OR(AND(LEFT(#REF!, 14)="sensor_stream ", LEN(#REF!)&gt;14, NOT(ISNUMBER(SEARCH(" ", #REF!, 15)))), AND(LEFT(#REF!, 17)="sensor_statistic ", LEN(#REF!)&gt;17, NOT(ISNUMBER(SEARCH(" ", #REF!, 18)))))</formula>
    </cfRule>
    <cfRule type="expression" priority="955" dxfId="84" stopIfTrue="1">
      <formula>#REF!="file"</formula>
    </cfRule>
    <cfRule type="expression" priority="978" dxfId="85" stopIfTrue="1">
      <formula>#REF!="enumerator"</formula>
    </cfRule>
    <cfRule type="expression" priority="954" dxfId="86" stopIfTrue="1">
      <formula>#REF!="enumerator"</formula>
    </cfRule>
    <cfRule type="expression" priority="976" dxfId="36" stopIfTrue="1">
      <formula>#REF!="integer"</formula>
    </cfRule>
    <cfRule type="expression" priority="975" dxfId="40" stopIfTrue="1">
      <formula>#REF!="decimal"</formula>
    </cfRule>
    <cfRule type="expression" priority="973" dxfId="4" stopIfTrue="1">
      <formula>#REF!="text"</formula>
    </cfRule>
  </conditionalFormatting>
  <conditionalFormatting sqref="C247">
    <cfRule type="expression" priority="928" dxfId="23" stopIfTrue="1">
      <formula>OR(#REF!="audio", #REF!="video")</formula>
    </cfRule>
    <cfRule type="expression" priority="924" dxfId="84" stopIfTrue="1">
      <formula>#REF!="file"</formula>
    </cfRule>
    <cfRule type="expression" priority="927" dxfId="11" stopIfTrue="1">
      <formula>OR(#REF!="calculate", #REF!="calculate_here")</formula>
    </cfRule>
    <cfRule type="expression" priority="947" dxfId="85" stopIfTrue="1">
      <formula>#REF!="enumerator"</formula>
    </cfRule>
    <cfRule type="expression" priority="943" dxfId="24" stopIfTrue="1">
      <formula>#REF!="comments"</formula>
    </cfRule>
    <cfRule type="expression" priority="942" dxfId="4" stopIfTrue="1">
      <formula>#REF!="text"</formula>
    </cfRule>
    <cfRule type="expression" priority="946" dxfId="52" stopIfTrue="1">
      <formula>#REF!="text"</formula>
    </cfRule>
    <cfRule type="expression" priority="929" dxfId="6" stopIfTrue="1">
      <formula>#REF!="decimal"</formula>
    </cfRule>
    <cfRule type="expression" priority="930" dxfId="5" stopIfTrue="1">
      <formula>#REF!="integer"</formula>
    </cfRule>
    <cfRule type="expression" priority="931" dxfId="2" stopIfTrue="1">
      <formula>#REF!="end repeat"</formula>
    </cfRule>
    <cfRule type="expression" priority="941" dxfId="12" stopIfTrue="1">
      <formula>#REF!="note"</formula>
    </cfRule>
    <cfRule type="expression" priority="940" dxfId="9" stopIfTrue="1">
      <formula>OR(#REF!="geopoint", #REF!="geoshape", #REF!="geotrace")</formula>
    </cfRule>
    <cfRule type="expression" priority="939" dxfId="10" stopIfTrue="1">
      <formula>#REF!="barcode"</formula>
    </cfRule>
    <cfRule type="expression" priority="938" dxfId="0" stopIfTrue="1">
      <formula>OR(#REF!="username", #REF!="phonenumber", #REF!="start", #REF!="end", #REF!="deviceid", #REF!="subscriberid", #REF!="simserial", #REF!="caseid")</formula>
    </cfRule>
    <cfRule type="expression" priority="945" dxfId="36" stopIfTrue="1">
      <formula>#REF!="integer"</formula>
    </cfRule>
    <cfRule type="expression" priority="937" dxfId="21" stopIfTrue="1">
      <formula>OR(#REF!="date", #REF!="datetime", #REF!="time")</formula>
    </cfRule>
    <cfRule type="expression" priority="936" dxfId="22" stopIfTrue="1">
      <formula>#REF!="image"</formula>
    </cfRule>
    <cfRule type="expression" priority="935" dxfId="7" stopIfTrue="1">
      <formula>OR(AND(LEFT(#REF!, 16)="select_multiple ", LEN(#REF!)&gt;16, NOT(ISNUMBER(SEARCH(" ", #REF!, 17)))), AND(LEFT(#REF!, 11)="select_one ", LEN(#REF!)&gt;11, NOT(ISNUMBER(SEARCH(" ", #REF!, 12)))))</formula>
    </cfRule>
    <cfRule type="expression" priority="934" dxfId="1" stopIfTrue="1">
      <formula>#REF!="begin group"</formula>
    </cfRule>
    <cfRule type="expression" priority="932" dxfId="2" stopIfTrue="1">
      <formula>#REF!="begin repeat"</formula>
    </cfRule>
    <cfRule type="expression" priority="933" dxfId="1" stopIfTrue="1">
      <formula>#REF!="end group"</formula>
    </cfRule>
    <cfRule type="expression" priority="926" dxfId="8" stopIfTrue="1">
      <formula>OR(#REF!="audio audit", #REF!="text audit", #REF!="speed violations count", #REF!="speed violations list", #REF!="speed violations audit")</formula>
    </cfRule>
    <cfRule type="expression" priority="925" dxfId="87" stopIfTrue="1">
      <formula>OR(AND(LEFT(#REF!, 14)="sensor_stream ", LEN(#REF!)&gt;14, NOT(ISNUMBER(SEARCH(" ", #REF!, 15)))), AND(LEFT(#REF!, 17)="sensor_statistic ", LEN(#REF!)&gt;17, NOT(ISNUMBER(SEARCH(" ", #REF!, 18)))))</formula>
    </cfRule>
    <cfRule type="expression" priority="923" dxfId="86" stopIfTrue="1">
      <formula>#REF!="enumerator"</formula>
    </cfRule>
    <cfRule type="expression" priority="944" dxfId="40" stopIfTrue="1">
      <formula>#REF!="decimal"</formula>
    </cfRule>
  </conditionalFormatting>
  <conditionalFormatting sqref="C256">
    <cfRule type="expression" priority="902" dxfId="1" stopIfTrue="1">
      <formula>#REF!="end group"</formula>
    </cfRule>
    <cfRule type="expression" priority="901" dxfId="2" stopIfTrue="1">
      <formula>#REF!="begin repeat"</formula>
    </cfRule>
    <cfRule type="expression" priority="903" dxfId="1" stopIfTrue="1">
      <formula>#REF!="begin group"</formula>
    </cfRule>
    <cfRule type="expression" priority="900" dxfId="2" stopIfTrue="1">
      <formula>#REF!="end repeat"</formula>
    </cfRule>
    <cfRule type="expression" priority="916" dxfId="85" stopIfTrue="1">
      <formula>#REF!="enumerator"</formula>
    </cfRule>
    <cfRule type="expression" priority="904" dxfId="7" stopIfTrue="1">
      <formula>OR(AND(LEFT(#REF!, 16)="select_multiple ", LEN(#REF!)&gt;16, NOT(ISNUMBER(SEARCH(" ", #REF!, 17)))), AND(LEFT(#REF!, 11)="select_one ", LEN(#REF!)&gt;11, NOT(ISNUMBER(SEARCH(" ", #REF!, 12)))))</formula>
    </cfRule>
    <cfRule type="expression" priority="905" dxfId="22" stopIfTrue="1">
      <formula>#REF!="image"</formula>
    </cfRule>
    <cfRule type="expression" priority="899" dxfId="5" stopIfTrue="1">
      <formula>#REF!="integer"</formula>
    </cfRule>
    <cfRule type="expression" priority="906" dxfId="21" stopIfTrue="1">
      <formula>OR(#REF!="date", #REF!="datetime", #REF!="time")</formula>
    </cfRule>
    <cfRule type="expression" priority="907" dxfId="0" stopIfTrue="1">
      <formula>OR(#REF!="username", #REF!="phonenumber", #REF!="start", #REF!="end", #REF!="deviceid", #REF!="subscriberid", #REF!="simserial", #REF!="caseid")</formula>
    </cfRule>
    <cfRule type="expression" priority="908" dxfId="10" stopIfTrue="1">
      <formula>#REF!="barcode"</formula>
    </cfRule>
    <cfRule type="expression" priority="898" dxfId="6" stopIfTrue="1">
      <formula>#REF!="decimal"</formula>
    </cfRule>
    <cfRule type="expression" priority="897" dxfId="23" stopIfTrue="1">
      <formula>OR(#REF!="audio", #REF!="video")</formula>
    </cfRule>
    <cfRule type="expression" priority="896" dxfId="11" stopIfTrue="1">
      <formula>OR(#REF!="calculate", #REF!="calculate_here")</formula>
    </cfRule>
    <cfRule type="expression" priority="895" dxfId="8" stopIfTrue="1">
      <formula>OR(#REF!="audio audit", #REF!="text audit", #REF!="speed violations count", #REF!="speed violations list", #REF!="speed violations audit")</formula>
    </cfRule>
    <cfRule type="expression" priority="894" dxfId="87" stopIfTrue="1">
      <formula>OR(AND(LEFT(#REF!, 14)="sensor_stream ", LEN(#REF!)&gt;14, NOT(ISNUMBER(SEARCH(" ", #REF!, 15)))), AND(LEFT(#REF!, 17)="sensor_statistic ", LEN(#REF!)&gt;17, NOT(ISNUMBER(SEARCH(" ", #REF!, 18)))))</formula>
    </cfRule>
    <cfRule type="expression" priority="893" dxfId="84" stopIfTrue="1">
      <formula>#REF!="file"</formula>
    </cfRule>
    <cfRule type="expression" priority="892" dxfId="86" stopIfTrue="1">
      <formula>#REF!="enumerator"</formula>
    </cfRule>
    <cfRule type="expression" priority="909" dxfId="9" stopIfTrue="1">
      <formula>OR(#REF!="geopoint", #REF!="geoshape", #REF!="geotrace")</formula>
    </cfRule>
    <cfRule type="expression" priority="910" dxfId="12" stopIfTrue="1">
      <formula>#REF!="note"</formula>
    </cfRule>
    <cfRule type="expression" priority="911" dxfId="4" stopIfTrue="1">
      <formula>#REF!="text"</formula>
    </cfRule>
    <cfRule type="expression" priority="912" dxfId="24" stopIfTrue="1">
      <formula>#REF!="comments"</formula>
    </cfRule>
    <cfRule type="expression" priority="913" dxfId="40" stopIfTrue="1">
      <formula>#REF!="decimal"</formula>
    </cfRule>
    <cfRule type="expression" priority="914" dxfId="36" stopIfTrue="1">
      <formula>#REF!="integer"</formula>
    </cfRule>
    <cfRule type="expression" priority="915" dxfId="52" stopIfTrue="1">
      <formula>#REF!="text"</formula>
    </cfRule>
  </conditionalFormatting>
  <conditionalFormatting sqref="C265">
    <cfRule type="expression" priority="883" dxfId="36" stopIfTrue="1">
      <formula>#REF!="integer"</formula>
    </cfRule>
    <cfRule type="expression" priority="882" dxfId="40" stopIfTrue="1">
      <formula>#REF!="decimal"</formula>
    </cfRule>
    <cfRule type="expression" priority="864" dxfId="8" stopIfTrue="1">
      <formula>OR(#REF!="audio audit", #REF!="text audit", #REF!="speed violations count", #REF!="speed violations list", #REF!="speed violations audit")</formula>
    </cfRule>
    <cfRule type="expression" priority="863" dxfId="87" stopIfTrue="1">
      <formula>OR(AND(LEFT(#REF!, 14)="sensor_stream ", LEN(#REF!)&gt;14, NOT(ISNUMBER(SEARCH(" ", #REF!, 15)))), AND(LEFT(#REF!, 17)="sensor_statistic ", LEN(#REF!)&gt;17, NOT(ISNUMBER(SEARCH(" ", #REF!, 18)))))</formula>
    </cfRule>
    <cfRule type="expression" priority="865" dxfId="11" stopIfTrue="1">
      <formula>OR(#REF!="calculate", #REF!="calculate_here")</formula>
    </cfRule>
    <cfRule type="expression" priority="866" dxfId="23" stopIfTrue="1">
      <formula>OR(#REF!="audio", #REF!="video")</formula>
    </cfRule>
    <cfRule type="expression" priority="867" dxfId="6" stopIfTrue="1">
      <formula>#REF!="decimal"</formula>
    </cfRule>
    <cfRule type="expression" priority="868" dxfId="5" stopIfTrue="1">
      <formula>#REF!="integer"</formula>
    </cfRule>
    <cfRule type="expression" priority="884" dxfId="52" stopIfTrue="1">
      <formula>#REF!="text"</formula>
    </cfRule>
    <cfRule type="expression" priority="869" dxfId="2" stopIfTrue="1">
      <formula>#REF!="end repeat"</formula>
    </cfRule>
    <cfRule type="expression" priority="870" dxfId="2" stopIfTrue="1">
      <formula>#REF!="begin repeat"</formula>
    </cfRule>
    <cfRule type="expression" priority="871" dxfId="1" stopIfTrue="1">
      <formula>#REF!="end group"</formula>
    </cfRule>
    <cfRule type="expression" priority="872" dxfId="1" stopIfTrue="1">
      <formula>#REF!="begin group"</formula>
    </cfRule>
    <cfRule type="expression" priority="873" dxfId="7" stopIfTrue="1">
      <formula>OR(AND(LEFT(#REF!, 16)="select_multiple ", LEN(#REF!)&gt;16, NOT(ISNUMBER(SEARCH(" ", #REF!, 17)))), AND(LEFT(#REF!, 11)="select_one ", LEN(#REF!)&gt;11, NOT(ISNUMBER(SEARCH(" ", #REF!, 12)))))</formula>
    </cfRule>
    <cfRule type="expression" priority="874" dxfId="22" stopIfTrue="1">
      <formula>#REF!="image"</formula>
    </cfRule>
    <cfRule type="expression" priority="875" dxfId="21" stopIfTrue="1">
      <formula>OR(#REF!="date", #REF!="datetime", #REF!="time")</formula>
    </cfRule>
    <cfRule type="expression" priority="876" dxfId="0" stopIfTrue="1">
      <formula>OR(#REF!="username", #REF!="phonenumber", #REF!="start", #REF!="end", #REF!="deviceid", #REF!="subscriberid", #REF!="simserial", #REF!="caseid")</formula>
    </cfRule>
    <cfRule type="expression" priority="877" dxfId="10" stopIfTrue="1">
      <formula>#REF!="barcode"</formula>
    </cfRule>
    <cfRule type="expression" priority="880" dxfId="4" stopIfTrue="1">
      <formula>#REF!="text"</formula>
    </cfRule>
    <cfRule type="expression" priority="878" dxfId="9" stopIfTrue="1">
      <formula>OR(#REF!="geopoint", #REF!="geoshape", #REF!="geotrace")</formula>
    </cfRule>
    <cfRule type="expression" priority="879" dxfId="12" stopIfTrue="1">
      <formula>#REF!="note"</formula>
    </cfRule>
    <cfRule type="expression" priority="861" dxfId="86" stopIfTrue="1">
      <formula>#REF!="enumerator"</formula>
    </cfRule>
    <cfRule type="expression" priority="862" dxfId="84" stopIfTrue="1">
      <formula>#REF!="file"</formula>
    </cfRule>
    <cfRule type="expression" priority="881" dxfId="24" stopIfTrue="1">
      <formula>#REF!="comments"</formula>
    </cfRule>
    <cfRule type="expression" priority="885" dxfId="85" stopIfTrue="1">
      <formula>#REF!="enumerator"</formula>
    </cfRule>
  </conditionalFormatting>
  <conditionalFormatting sqref="C394">
    <cfRule type="expression" priority="475" dxfId="49" stopIfTrue="1">
      <formula>OR($A394="date", $A394="datetime", $A394="time")</formula>
    </cfRule>
    <cfRule type="expression" priority="474" dxfId="48" stopIfTrue="1">
      <formula>$A394="image"</formula>
    </cfRule>
    <cfRule type="expression" priority="473" dxfId="47" stopIfTrue="1">
      <formula>$A394="begin group"</formula>
    </cfRule>
    <cfRule type="expression" priority="484" dxfId="8" stopIfTrue="1">
      <formula>OR($A394="audio audit", $A394="text audit", $A394="speed violations count", $A394="speed violations list", $A394="speed violations audit")</formula>
    </cfRule>
    <cfRule type="expression" priority="483" dxfId="45" stopIfTrue="1">
      <formula>OR($A394="audio", $A394="video")</formula>
    </cfRule>
    <cfRule type="expression" priority="482" dxfId="87" stopIfTrue="1">
      <formula>OR(AND(LEFT($A394, 14)="sensor_stream ", LEN($A394)&gt;14, NOT(ISNUMBER(SEARCH(" ", $A394, 15)))), AND(LEFT($A394, 17)="sensor_statistic ", LEN($A394)&gt;17, NOT(ISNUMBER(SEARCH(" ", $A394, 18)))))</formula>
    </cfRule>
    <cfRule type="expression" priority="481" dxfId="44" stopIfTrue="1">
      <formula>OR($A394="geopoint", $A394="geoshape", $A394="geotrace")</formula>
    </cfRule>
    <cfRule type="expression" priority="480" dxfId="43" stopIfTrue="1">
      <formula>$A394="barcode"</formula>
    </cfRule>
    <cfRule type="expression" priority="479" dxfId="42" stopIfTrue="1">
      <formula>$A394="note"</formula>
    </cfRule>
    <cfRule type="expression" priority="478" dxfId="41" stopIfTrue="1">
      <formula>$A394="begin repeat"</formula>
    </cfRule>
    <cfRule type="expression" priority="477" dxfId="116" stopIfTrue="1">
      <formula>$A394="file"</formula>
    </cfRule>
    <cfRule type="expression" priority="476" dxfId="46" stopIfTrue="1">
      <formula>OR(AND(LEFT($A394, 16)="select_multiple ", LEN($A394)&gt;16, NOT(ISNUMBER(SEARCH(" ", $A394, 17)))), AND(LEFT($A394, 11)="select_one ", LEN($A394)&gt;11, NOT(ISNUMBER(SEARCH(" ", $A394, 12)))))</formula>
    </cfRule>
  </conditionalFormatting>
  <conditionalFormatting sqref="C90:D97">
    <cfRule type="expression" priority="695" dxfId="40" stopIfTrue="1">
      <formula>$A90="decimal"</formula>
    </cfRule>
    <cfRule type="expression" priority="696" dxfId="36" stopIfTrue="1">
      <formula>$A90="integer"</formula>
    </cfRule>
  </conditionalFormatting>
  <conditionalFormatting sqref="B169:D169 B170:B171 B172:D175 C168:D168 D170:D171">
    <cfRule type="expression" priority="1351" dxfId="52" stopIfTrue="1">
      <formula>$A168="text"</formula>
    </cfRule>
  </conditionalFormatting>
  <conditionalFormatting sqref="B169:D169 B172:D175 C168:D168">
    <cfRule type="expression" priority="1304" dxfId="36" stopIfTrue="1">
      <formula>$A168="integer"</formula>
    </cfRule>
  </conditionalFormatting>
  <conditionalFormatting sqref="B169:D169 C168:D168">
    <cfRule type="expression" priority="1303" dxfId="40" stopIfTrue="1">
      <formula>$A168="decimal"</formula>
    </cfRule>
  </conditionalFormatting>
  <conditionalFormatting sqref="C201:D202 F201:F202">
    <cfRule type="expression" priority="8017" dxfId="85" stopIfTrue="1">
      <formula>#REF!="enumerator"</formula>
    </cfRule>
    <cfRule type="expression" priority="8006" dxfId="52" stopIfTrue="1">
      <formula>#REF!="text"</formula>
    </cfRule>
  </conditionalFormatting>
  <conditionalFormatting sqref="C201:D202 G201:H202">
    <cfRule type="expression" priority="7925" dxfId="40" stopIfTrue="1">
      <formula>#REF!="decimal"</formula>
    </cfRule>
    <cfRule type="expression" priority="7936" dxfId="36" stopIfTrue="1">
      <formula>#REF!="integer"</formula>
    </cfRule>
  </conditionalFormatting>
  <conditionalFormatting sqref="C201:X202">
    <cfRule type="expression" priority="7841" dxfId="21" stopIfTrue="1">
      <formula>OR(#REF!="date", #REF!="datetime", #REF!="time")</formula>
    </cfRule>
    <cfRule type="expression" priority="7848" dxfId="0" stopIfTrue="1">
      <formula>OR(#REF!="username", #REF!="phonenumber", #REF!="start", #REF!="end", #REF!="deviceid", #REF!="subscriberid", #REF!="simserial", #REF!="caseid")</formula>
    </cfRule>
    <cfRule type="expression" priority="7830" dxfId="7" stopIfTrue="1">
      <formula>OR(AND(LEFT(#REF!, 16)="select_multiple ", LEN(#REF!)&gt;16, NOT(ISNUMBER(SEARCH(" ", #REF!, 17)))), AND(LEFT(#REF!, 11)="select_one ", LEN(#REF!)&gt;11, NOT(ISNUMBER(SEARCH(" ", #REF!, 12)))))</formula>
    </cfRule>
    <cfRule type="expression" priority="7819" dxfId="1" stopIfTrue="1">
      <formula>#REF!="begin group"</formula>
    </cfRule>
    <cfRule type="expression" priority="7818" dxfId="1" stopIfTrue="1">
      <formula>#REF!="end group"</formula>
    </cfRule>
    <cfRule type="expression" priority="7817" dxfId="2" stopIfTrue="1">
      <formula>#REF!="begin repeat"</formula>
    </cfRule>
    <cfRule type="expression" priority="7816" dxfId="2" stopIfTrue="1">
      <formula>#REF!="end repeat"</formula>
    </cfRule>
    <cfRule type="expression" priority="7815" dxfId="5" stopIfTrue="1">
      <formula>#REF!="integer"</formula>
    </cfRule>
    <cfRule type="expression" priority="7814" dxfId="6" stopIfTrue="1">
      <formula>#REF!="decimal"</formula>
    </cfRule>
    <cfRule type="expression" priority="7788" dxfId="23" stopIfTrue="1">
      <formula>OR(#REF!="audio", #REF!="video")</formula>
    </cfRule>
    <cfRule type="expression" priority="7878" dxfId="24" stopIfTrue="1">
      <formula>#REF!="comments"</formula>
    </cfRule>
    <cfRule type="expression" priority="7782" dxfId="11" stopIfTrue="1">
      <formula>OR(#REF!="calculate", #REF!="calculate_here")</formula>
    </cfRule>
    <cfRule type="expression" priority="7872" dxfId="4" stopIfTrue="1">
      <formula>#REF!="text"</formula>
    </cfRule>
    <cfRule type="expression" priority="7776" dxfId="8" stopIfTrue="1">
      <formula>OR(#REF!="audio audit", #REF!="text audit", #REF!="speed violations count", #REF!="speed violations list", #REF!="speed violations audit")</formula>
    </cfRule>
    <cfRule type="expression" priority="7858" dxfId="10" stopIfTrue="1">
      <formula>#REF!="barcode"</formula>
    </cfRule>
    <cfRule type="expression" priority="7866" dxfId="12" stopIfTrue="1">
      <formula>#REF!="note"</formula>
    </cfRule>
    <cfRule type="expression" priority="7840" dxfId="22" stopIfTrue="1">
      <formula>#REF!="image"</formula>
    </cfRule>
    <cfRule type="expression" priority="7770" dxfId="87" stopIfTrue="1">
      <formula>OR(AND(LEFT(#REF!, 14)="sensor_stream ", LEN(#REF!)&gt;14, NOT(ISNUMBER(SEARCH(" ", #REF!, 15)))), AND(LEFT(#REF!, 17)="sensor_statistic ", LEN(#REF!)&gt;17, NOT(ISNUMBER(SEARCH(" ", #REF!, 18)))))</formula>
    </cfRule>
    <cfRule type="expression" priority="7764" dxfId="84" stopIfTrue="1">
      <formula>#REF!="file"</formula>
    </cfRule>
    <cfRule type="expression" priority="7758" dxfId="86" stopIfTrue="1">
      <formula>#REF!="enumerator"</formula>
    </cfRule>
    <cfRule type="expression" priority="7859" dxfId="9" stopIfTrue="1">
      <formula>OR(#REF!="geopoint", #REF!="geoshape", #REF!="geotrace")</formula>
    </cfRule>
  </conditionalFormatting>
  <conditionalFormatting sqref="D147 F147">
    <cfRule type="expression" priority="787" dxfId="52" stopIfTrue="1">
      <formula>$A147="text"</formula>
    </cfRule>
    <cfRule type="expression" priority="789" dxfId="85" stopIfTrue="1">
      <formula>$A147="enumerator"</formula>
    </cfRule>
  </conditionalFormatting>
  <conditionalFormatting sqref="D147 G147:H147">
    <cfRule type="expression" priority="784" dxfId="36" stopIfTrue="1">
      <formula>$A147="integer"</formula>
    </cfRule>
    <cfRule type="expression" priority="783" dxfId="40" stopIfTrue="1">
      <formula>$A147="decimal"</formula>
    </cfRule>
  </conditionalFormatting>
  <conditionalFormatting sqref="D452:D454">
    <cfRule type="expression" priority="69" dxfId="5" stopIfTrue="1">
      <formula>$A452="integer"</formula>
    </cfRule>
    <cfRule type="expression" priority="60" dxfId="23" stopIfTrue="1">
      <formula>OR($A452="audio", $A452="video")</formula>
    </cfRule>
    <cfRule type="expression" priority="61" dxfId="22" stopIfTrue="1">
      <formula>$A452="image"</formula>
    </cfRule>
    <cfRule type="expression" priority="62" dxfId="21" stopIfTrue="1">
      <formula>OR($A452="date", $A452="datetime", $A452="time")</formula>
    </cfRule>
    <cfRule type="expression" priority="59" dxfId="24" stopIfTrue="1">
      <formula>$A452="comments"</formula>
    </cfRule>
    <cfRule type="expression" priority="58" dxfId="85" stopIfTrue="1">
      <formula>$A452="enumerator"</formula>
    </cfRule>
    <cfRule type="expression" priority="63" dxfId="12" stopIfTrue="1">
      <formula>$A452="note"</formula>
    </cfRule>
    <cfRule type="expression" priority="64" dxfId="10" stopIfTrue="1">
      <formula>$A452="barcode"</formula>
    </cfRule>
    <cfRule type="expression" priority="65" dxfId="9" stopIfTrue="1">
      <formula>OR($A452="geopoint", $A452="geoshape", $A452="geotrace")</formula>
    </cfRule>
    <cfRule type="expression" priority="57" dxfId="84" stopIfTrue="1">
      <formula>$A452="file"</formula>
    </cfRule>
    <cfRule type="expression" priority="56" dxfId="52" stopIfTrue="1">
      <formula>$A452="text"</formula>
    </cfRule>
    <cfRule type="expression" priority="66" dxfId="0" stopIfTrue="1">
      <formula>OR($A452="username", $A452="phonenumber", $A452="start", $A452="end", $A452="deviceid", $A452="subscriberid", $A452="simserial", $A452="caseid")</formula>
    </cfRule>
    <cfRule type="expression" priority="55" dxfId="86" stopIfTrue="1">
      <formula>$A452="enumerator"</formula>
    </cfRule>
    <cfRule type="expression" priority="54" dxfId="36" stopIfTrue="1">
      <formula>$A452="integer"</formula>
    </cfRule>
    <cfRule type="expression" priority="67" dxfId="7" stopIfTrue="1">
      <formula>OR(AND(LEFT($A452, 16)="select_multiple ", LEN($A452)&gt;16, NOT(ISNUMBER(SEARCH(" ", $A452, 17)))), AND(LEFT($A452, 11)="select_one ", LEN($A452)&gt;11, NOT(ISNUMBER(SEARCH(" ", $A452, 12)))))</formula>
    </cfRule>
    <cfRule type="expression" priority="53" dxfId="40" stopIfTrue="1">
      <formula>$A452="decimal"</formula>
    </cfRule>
    <cfRule type="expression" priority="68" dxfId="6" stopIfTrue="1">
      <formula>$A452="decimal"</formula>
    </cfRule>
    <cfRule type="expression" priority="74" dxfId="1" stopIfTrue="1">
      <formula>$A452="begin group"</formula>
    </cfRule>
    <cfRule type="expression" priority="73" dxfId="1" stopIfTrue="1">
      <formula>$A452="end group"</formula>
    </cfRule>
    <cfRule type="expression" priority="72" dxfId="2" stopIfTrue="1">
      <formula>$A452="begin repeat"</formula>
    </cfRule>
    <cfRule type="expression" priority="71" dxfId="2" stopIfTrue="1">
      <formula>$A452="end repeat"</formula>
    </cfRule>
    <cfRule type="expression" priority="70" dxfId="4" stopIfTrue="1">
      <formula>$A452="text"</formula>
    </cfRule>
  </conditionalFormatting>
  <conditionalFormatting sqref="D147:X147">
    <cfRule type="expression" priority="809" dxfId="2" stopIfTrue="1">
      <formula>$A147="begin repeat"</formula>
    </cfRule>
    <cfRule type="expression" priority="796" dxfId="21" stopIfTrue="1">
      <formula>OR($A147="date", $A147="datetime", $A147="time")</formula>
    </cfRule>
    <cfRule type="expression" priority="810" dxfId="1" stopIfTrue="1">
      <formula>$A147="end group"</formula>
    </cfRule>
    <cfRule type="expression" priority="805" dxfId="6" stopIfTrue="1">
      <formula>$A147="decimal"</formula>
    </cfRule>
    <cfRule type="expression" priority="780" dxfId="11" stopIfTrue="1">
      <formula>OR($A147="calculate", $A147="calculate_here")</formula>
    </cfRule>
    <cfRule type="expression" priority="804" dxfId="7" stopIfTrue="1">
      <formula>OR(AND(LEFT($A147, 16)="select_multiple ", LEN($A147)&gt;16, NOT(ISNUMBER(SEARCH(" ", $A147, 17)))), AND(LEFT($A147, 11)="select_one ", LEN($A147)&gt;11, NOT(ISNUMBER(SEARCH(" ", $A147, 12)))))</formula>
    </cfRule>
    <cfRule type="expression" priority="781" dxfId="8" stopIfTrue="1">
      <formula>OR($A147="audio audit", $A147="text audit", $A147="speed violations count", $A147="speed violations list", $A147="speed violations audit")</formula>
    </cfRule>
    <cfRule type="expression" priority="802" dxfId="0" stopIfTrue="1">
      <formula>OR($A147="username", $A147="phonenumber", $A147="start", $A147="end", $A147="deviceid", $A147="subscriberid", $A147="simserial", $A147="caseid")</formula>
    </cfRule>
    <cfRule type="expression" priority="807" dxfId="4" stopIfTrue="1">
      <formula>$A147="text"</formula>
    </cfRule>
    <cfRule type="expression" priority="800" dxfId="9" stopIfTrue="1">
      <formula>OR($A147="geopoint", $A147="geoshape", $A147="geotrace")</formula>
    </cfRule>
    <cfRule type="expression" priority="786" dxfId="86" stopIfTrue="1">
      <formula>$A147="enumerator"</formula>
    </cfRule>
    <cfRule type="expression" priority="788" dxfId="84" stopIfTrue="1">
      <formula>$A147="file"</formula>
    </cfRule>
    <cfRule type="expression" priority="808" dxfId="2" stopIfTrue="1">
      <formula>$A147="end repeat"</formula>
    </cfRule>
    <cfRule type="expression" priority="799" dxfId="10" stopIfTrue="1">
      <formula>$A147="barcode"</formula>
    </cfRule>
    <cfRule type="expression" priority="798" dxfId="12" stopIfTrue="1">
      <formula>$A147="note"</formula>
    </cfRule>
    <cfRule type="expression" priority="811" dxfId="1" stopIfTrue="1">
      <formula>$A147="begin group"</formula>
    </cfRule>
    <cfRule type="expression" priority="791" dxfId="24" stopIfTrue="1">
      <formula>$A147="comments"</formula>
    </cfRule>
    <cfRule type="expression" priority="792" dxfId="23" stopIfTrue="1">
      <formula>OR($A147="audio", $A147="video")</formula>
    </cfRule>
    <cfRule type="expression" priority="794" dxfId="22" stopIfTrue="1">
      <formula>$A147="image"</formula>
    </cfRule>
    <cfRule type="expression" priority="806" dxfId="5" stopIfTrue="1">
      <formula>$A147="integer"</formula>
    </cfRule>
  </conditionalFormatting>
  <conditionalFormatting sqref="B17 B18:C18 B30:B42 B43:C43 B44:B48 F13:F16 I13:I16 I30:I48">
    <cfRule type="expression" priority="2373" dxfId="47" stopIfTrue="1">
      <formula>$A13="begin group"</formula>
    </cfRule>
  </conditionalFormatting>
  <conditionalFormatting sqref="F22:F23">
    <cfRule type="expression" priority="216" dxfId="52" stopIfTrue="1">
      <formula>$A22="text"</formula>
    </cfRule>
  </conditionalFormatting>
  <conditionalFormatting sqref="B49 F42:F49">
    <cfRule type="expression" priority="273" dxfId="49" stopIfTrue="1">
      <formula>OR($A42="date", $A42="datetime", $A42="time")</formula>
    </cfRule>
    <cfRule type="expression" priority="271" dxfId="48" stopIfTrue="1">
      <formula>$A42="image"</formula>
    </cfRule>
    <cfRule type="expression" priority="282" dxfId="46" stopIfTrue="1">
      <formula>OR(AND(LEFT($A42, 16)="select_multiple ", LEN($A42)&gt;16, NOT(ISNUMBER(SEARCH(" ", $A42, 17)))), AND(LEFT($A42, 11)="select_one ", LEN($A42)&gt;11, NOT(ISNUMBER(SEARCH(" ", $A42, 12)))))</formula>
    </cfRule>
  </conditionalFormatting>
  <conditionalFormatting sqref="F42:F49 I49">
    <cfRule type="expression" priority="251" dxfId="47" stopIfTrue="1">
      <formula>$A42="begin group"</formula>
    </cfRule>
  </conditionalFormatting>
  <conditionalFormatting sqref="F118">
    <cfRule type="expression" priority="1634" dxfId="48" stopIfTrue="1">
      <formula>$A118="image"</formula>
    </cfRule>
    <cfRule type="expression" priority="1635" dxfId="49" stopIfTrue="1">
      <formula>OR($A118="date", $A118="datetime", $A118="time")</formula>
    </cfRule>
    <cfRule type="expression" priority="1636" dxfId="46" stopIfTrue="1">
      <formula>OR(AND(LEFT($A118, 16)="select_multiple ", LEN($A118)&gt;16, NOT(ISNUMBER(SEARCH(" ", $A118, 17)))), AND(LEFT($A118, 11)="select_one ", LEN($A118)&gt;11, NOT(ISNUMBER(SEARCH(" ", $A118, 12)))))</formula>
    </cfRule>
  </conditionalFormatting>
  <conditionalFormatting sqref="B145:B147 F145:F146 I145:I146">
    <cfRule type="expression" priority="114" dxfId="47" stopIfTrue="1">
      <formula>$A145="begin group"</formula>
    </cfRule>
  </conditionalFormatting>
  <conditionalFormatting sqref="F147 I147">
    <cfRule type="expression" priority="782" dxfId="47" stopIfTrue="1">
      <formula>$A147="begin group"</formula>
    </cfRule>
  </conditionalFormatting>
  <conditionalFormatting sqref="F147">
    <cfRule type="expression" priority="790" dxfId="306" stopIfTrue="1">
      <formula>OR(AND(LEFT($A147, 14)="sensor_stream ", LEN($A147)&gt;14, NOT(ISNUMBER(SEARCH(" ", $A147, 15)))), AND(LEFT($A147, 17)="sensor_statistic ", LEN($A147)&gt;17, NOT(ISNUMBER(SEARCH(" ", $A147, 18)))))</formula>
    </cfRule>
    <cfRule type="expression" priority="793" dxfId="48" stopIfTrue="1">
      <formula>$A147="image"</formula>
    </cfRule>
    <cfRule type="expression" priority="795" dxfId="49" stopIfTrue="1">
      <formula>OR($A147="date", $A147="datetime", $A147="time")</formula>
    </cfRule>
    <cfRule type="expression" priority="801" dxfId="64" stopIfTrue="1">
      <formula>OR($A147="audio audit", $A147="text audit", $A147="speed violations count", $A147="speed violations list", $A147="speed violations audit")</formula>
    </cfRule>
    <cfRule type="expression" priority="803" dxfId="46" stopIfTrue="1">
      <formula>OR(AND(LEFT($A147, 16)="select_multiple ", LEN($A147)&gt;16, NOT(ISNUMBER(SEARCH(" ", $A147, 17)))), AND(LEFT($A147, 11)="select_one ", LEN($A147)&gt;11, NOT(ISNUMBER(SEARCH(" ", $A147, 12)))))</formula>
    </cfRule>
  </conditionalFormatting>
  <conditionalFormatting sqref="F166">
    <cfRule type="expression" priority="1358" dxfId="52" stopIfTrue="1">
      <formula>$A166="text"</formula>
    </cfRule>
  </conditionalFormatting>
  <conditionalFormatting sqref="F187:F190">
    <cfRule type="expression" priority="1191" dxfId="49" stopIfTrue="1">
      <formula>OR($A187="date", $A187="datetime", $A187="time")</formula>
    </cfRule>
    <cfRule type="expression" priority="1192" dxfId="46" stopIfTrue="1">
      <formula>OR(AND(LEFT($A187, 16)="select_multiple ", LEN($A187)&gt;16, NOT(ISNUMBER(SEARCH(" ", $A187, 17)))), AND(LEFT($A187, 11)="select_one ", LEN($A187)&gt;11, NOT(ISNUMBER(SEARCH(" ", $A187, 12)))))</formula>
    </cfRule>
    <cfRule type="expression" priority="1190" dxfId="48" stopIfTrue="1">
      <formula>$A187="image"</formula>
    </cfRule>
  </conditionalFormatting>
  <conditionalFormatting sqref="F192:F197 I192:I197">
    <cfRule type="expression" priority="1142" dxfId="47" stopIfTrue="1">
      <formula>$A192="begin group"</formula>
    </cfRule>
  </conditionalFormatting>
  <conditionalFormatting sqref="F192:F197">
    <cfRule type="expression" priority="1145" dxfId="46" stopIfTrue="1">
      <formula>OR(AND(LEFT($A192, 16)="select_multiple ", LEN($A192)&gt;16, NOT(ISNUMBER(SEARCH(" ", $A192, 17)))), AND(LEFT($A192, 11)="select_one ", LEN($A192)&gt;11, NOT(ISNUMBER(SEARCH(" ", $A192, 12)))))</formula>
    </cfRule>
    <cfRule type="expression" priority="1144" dxfId="49" stopIfTrue="1">
      <formula>OR($A192="date", $A192="datetime", $A192="time")</formula>
    </cfRule>
    <cfRule type="expression" priority="1143" dxfId="48" stopIfTrue="1">
      <formula>$A192="image"</formula>
    </cfRule>
  </conditionalFormatting>
  <conditionalFormatting sqref="F201:F202 I201:I202">
    <cfRule type="expression" priority="7984" dxfId="47" stopIfTrue="1">
      <formula>#REF!="begin group"</formula>
    </cfRule>
  </conditionalFormatting>
  <conditionalFormatting sqref="F201:F202">
    <cfRule type="expression" priority="7894" dxfId="64" stopIfTrue="1">
      <formula>OR(#REF!="audio audit", #REF!="text audit", #REF!="speed violations count", #REF!="speed violations list", #REF!="speed violations audit")</formula>
    </cfRule>
    <cfRule type="expression" priority="7975" dxfId="46" stopIfTrue="1">
      <formula>OR(AND(LEFT(#REF!, 16)="select_multiple ", LEN(#REF!)&gt;16, NOT(ISNUMBER(SEARCH(" ", #REF!, 17)))), AND(LEFT(#REF!, 11)="select_one ", LEN(#REF!)&gt;11, NOT(ISNUMBER(SEARCH(" ", #REF!, 12)))))</formula>
    </cfRule>
    <cfRule type="expression" priority="7974" dxfId="48" stopIfTrue="1">
      <formula>#REF!="image"</formula>
    </cfRule>
    <cfRule type="expression" priority="7966" dxfId="49" stopIfTrue="1">
      <formula>OR(#REF!="date", #REF!="datetime", #REF!="time")</formula>
    </cfRule>
    <cfRule type="expression" priority="7885" dxfId="306" stopIfTrue="1">
      <formula>OR(AND(LEFT(#REF!, 14)="sensor_stream ", LEN(#REF!)&gt;14, NOT(ISNUMBER(SEARCH(" ", #REF!, 15)))), AND(LEFT(#REF!, 17)="sensor_statistic ", LEN(#REF!)&gt;17, NOT(ISNUMBER(SEARCH(" ", #REF!, 18)))))</formula>
    </cfRule>
  </conditionalFormatting>
  <conditionalFormatting sqref="B104:D107 G102:H107">
    <cfRule type="expression" priority="1457" dxfId="36" stopIfTrue="1">
      <formula>$A102="integer"</formula>
    </cfRule>
  </conditionalFormatting>
  <conditionalFormatting sqref="G452:H454">
    <cfRule type="expression" priority="14" dxfId="21" stopIfTrue="1">
      <formula>OR($A452="date", $A452="datetime", $A452="time")</formula>
    </cfRule>
    <cfRule type="expression" priority="8" dxfId="36" stopIfTrue="1">
      <formula>$A452="integer"</formula>
    </cfRule>
    <cfRule type="expression" priority="7" dxfId="40" stopIfTrue="1">
      <formula>$A452="decimal"</formula>
    </cfRule>
    <cfRule type="expression" priority="9" dxfId="86" stopIfTrue="1">
      <formula>$A452="enumerator"</formula>
    </cfRule>
    <cfRule type="expression" priority="10" dxfId="84" stopIfTrue="1">
      <formula>$A452="file"</formula>
    </cfRule>
    <cfRule type="expression" priority="11" dxfId="24" stopIfTrue="1">
      <formula>$A452="comments"</formula>
    </cfRule>
    <cfRule type="expression" priority="12" dxfId="23" stopIfTrue="1">
      <formula>OR($A452="audio", $A452="video")</formula>
    </cfRule>
    <cfRule type="expression" priority="13" dxfId="22" stopIfTrue="1">
      <formula>$A452="image"</formula>
    </cfRule>
    <cfRule type="expression" priority="15" dxfId="12" stopIfTrue="1">
      <formula>$A452="note"</formula>
    </cfRule>
    <cfRule type="expression" priority="16" dxfId="10" stopIfTrue="1">
      <formula>$A452="barcode"</formula>
    </cfRule>
    <cfRule type="expression" priority="17" dxfId="9" stopIfTrue="1">
      <formula>OR($A452="geopoint", $A452="geoshape", $A452="geotrace")</formula>
    </cfRule>
    <cfRule type="expression" priority="18" dxfId="0" stopIfTrue="1">
      <formula>OR($A452="username", $A452="phonenumber", $A452="start", $A452="end", $A452="deviceid", $A452="subscriberid", $A452="simserial", $A452="caseid")</formula>
    </cfRule>
    <cfRule type="expression" priority="19" dxfId="7" stopIfTrue="1">
      <formula>OR(AND(LEFT($A452, 16)="select_multiple ", LEN($A452)&gt;16, NOT(ISNUMBER(SEARCH(" ", $A452, 17)))), AND(LEFT($A452, 11)="select_one ", LEN($A452)&gt;11, NOT(ISNUMBER(SEARCH(" ", $A452, 12)))))</formula>
    </cfRule>
    <cfRule type="expression" priority="20" dxfId="6" stopIfTrue="1">
      <formula>$A452="decimal"</formula>
    </cfRule>
    <cfRule type="expression" priority="21" dxfId="5" stopIfTrue="1">
      <formula>$A452="integer"</formula>
    </cfRule>
    <cfRule type="expression" priority="22" dxfId="4" stopIfTrue="1">
      <formula>$A452="text"</formula>
    </cfRule>
    <cfRule type="expression" priority="23" dxfId="2" stopIfTrue="1">
      <formula>$A452="end repeat"</formula>
    </cfRule>
    <cfRule type="expression" priority="24" dxfId="2" stopIfTrue="1">
      <formula>$A452="begin repeat"</formula>
    </cfRule>
    <cfRule type="expression" priority="25" dxfId="1" stopIfTrue="1">
      <formula>$A452="end group"</formula>
    </cfRule>
    <cfRule type="expression" priority="26" dxfId="1" stopIfTrue="1">
      <formula>$A452="begin group"</formula>
    </cfRule>
  </conditionalFormatting>
  <conditionalFormatting sqref="G454:H454">
    <cfRule type="expression" priority="3" dxfId="8" stopIfTrue="1">
      <formula>OR($A454="audio audit", $A454="text audit", $A454="speed violations count", $A454="speed violations list", $A454="speed violations audit")</formula>
    </cfRule>
    <cfRule type="expression" priority="2" dxfId="87" stopIfTrue="1">
      <formula>OR(AND(LEFT($A454, 14)="sensor_stream ", LEN($A454)&gt;14, NOT(ISNUMBER(SEARCH(" ", $A454, 15)))), AND(LEFT($A454, 17)="sensor_statistic ", LEN($A454)&gt;17, NOT(ISNUMBER(SEARCH(" ", $A454, 18)))))</formula>
    </cfRule>
    <cfRule type="expression" priority="1" dxfId="11" stopIfTrue="1">
      <formula>OR($A454="calculate", $A454="calculate_here")</formula>
    </cfRule>
  </conditionalFormatting>
  <conditionalFormatting sqref="I147 O147">
    <cfRule type="expression" priority="785" dxfId="41" stopIfTrue="1">
      <formula>$A147="begin repeat"</formula>
    </cfRule>
  </conditionalFormatting>
  <conditionalFormatting sqref="B166 I163:I166">
    <cfRule type="expression" priority="1363" dxfId="47" stopIfTrue="1">
      <formula>$A163="begin group"</formula>
    </cfRule>
  </conditionalFormatting>
  <conditionalFormatting sqref="I201:I202 O201:O202">
    <cfRule type="expression" priority="7950" dxfId="41" stopIfTrue="1">
      <formula>#REF!="begin repeat"</formula>
    </cfRule>
  </conditionalFormatting>
  <conditionalFormatting sqref="N147">
    <cfRule type="expression" priority="797" dxfId="63" stopIfTrue="1">
      <formula>OR($A147="calculate", $A147="calculate_here")</formula>
    </cfRule>
  </conditionalFormatting>
  <conditionalFormatting sqref="N166">
    <cfRule type="expression" priority="1357" dxfId="63" stopIfTrue="1">
      <formula>OR($A166="calculate", $A166="calculate_here")</formula>
    </cfRule>
  </conditionalFormatting>
  <conditionalFormatting sqref="N172">
    <cfRule type="expression" priority="1234" dxfId="9" stopIfTrue="1">
      <formula>OR($A172="geopoint", $A172="geoshape", $A172="geotrace")</formula>
    </cfRule>
    <cfRule type="expression" priority="1232" dxfId="12" stopIfTrue="1">
      <formula>$A172="note"</formula>
    </cfRule>
    <cfRule type="expression" priority="1228" dxfId="23" stopIfTrue="1">
      <formula>OR($A172="audio", $A172="video")</formula>
    </cfRule>
    <cfRule type="expression" priority="1226" dxfId="87" stopIfTrue="1">
      <formula>OR(AND(LEFT($A172, 14)="sensor_stream ", LEN($A172)&gt;14, NOT(ISNUMBER(SEARCH(" ", $A172, 15)))), AND(LEFT($A172, 17)="sensor_statistic ", LEN($A172)&gt;17, NOT(ISNUMBER(SEARCH(" ", $A172, 18)))))</formula>
    </cfRule>
    <cfRule type="expression" priority="1233" dxfId="10" stopIfTrue="1">
      <formula>$A172="barcode"</formula>
    </cfRule>
    <cfRule type="expression" priority="1235" dxfId="8" stopIfTrue="1">
      <formula>OR($A172="audio audit", $A172="text audit", $A172="speed violations count", $A172="speed violations list", $A172="speed violations audit")</formula>
    </cfRule>
    <cfRule type="expression" priority="1223" dxfId="11" stopIfTrue="1">
      <formula>OR($A172="calculate", $A172="calculate_here")</formula>
    </cfRule>
    <cfRule type="expression" priority="1225" dxfId="84" stopIfTrue="1">
      <formula>$A172="file"</formula>
    </cfRule>
  </conditionalFormatting>
  <conditionalFormatting sqref="N172:N173">
    <cfRule type="expression" priority="1231" dxfId="63" stopIfTrue="1">
      <formula>OR($A172="calculate", $A172="calculate_here")</formula>
    </cfRule>
  </conditionalFormatting>
  <conditionalFormatting sqref="N174:N175">
    <cfRule type="expression" priority="1258" dxfId="6" stopIfTrue="1">
      <formula>$A174="decimal"</formula>
    </cfRule>
    <cfRule type="expression" priority="1246" dxfId="84" stopIfTrue="1">
      <formula>$A174="file"</formula>
    </cfRule>
    <cfRule type="expression" priority="1247" dxfId="87" stopIfTrue="1">
      <formula>OR(AND(LEFT($A174, 14)="sensor_stream ", LEN($A174)&gt;14, NOT(ISNUMBER(SEARCH(" ", $A174, 15)))), AND(LEFT($A174, 17)="sensor_statistic ", LEN($A174)&gt;17, NOT(ISNUMBER(SEARCH(" ", $A174, 18)))))</formula>
    </cfRule>
    <cfRule type="expression" priority="1249" dxfId="23" stopIfTrue="1">
      <formula>OR($A174="audio", $A174="video")</formula>
    </cfRule>
    <cfRule type="expression" priority="1250" dxfId="22" stopIfTrue="1">
      <formula>$A174="image"</formula>
    </cfRule>
    <cfRule type="expression" priority="1251" dxfId="21" stopIfTrue="1">
      <formula>OR($A174="date", $A174="datetime", $A174="time")</formula>
    </cfRule>
    <cfRule type="expression" priority="1252" dxfId="12" stopIfTrue="1">
      <formula>$A174="note"</formula>
    </cfRule>
    <cfRule type="expression" priority="1253" dxfId="10" stopIfTrue="1">
      <formula>$A174="barcode"</formula>
    </cfRule>
    <cfRule type="expression" priority="1254" dxfId="9" stopIfTrue="1">
      <formula>OR($A174="geopoint", $A174="geoshape", $A174="geotrace")</formula>
    </cfRule>
    <cfRule type="expression" priority="1263" dxfId="1" stopIfTrue="1">
      <formula>$A174="end group"</formula>
    </cfRule>
    <cfRule type="expression" priority="1264" dxfId="1" stopIfTrue="1">
      <formula>$A174="begin group"</formula>
    </cfRule>
    <cfRule type="expression" priority="1255" dxfId="8" stopIfTrue="1">
      <formula>OR($A174="audio audit", $A174="text audit", $A174="speed violations count", $A174="speed violations list", $A174="speed violations audit")</formula>
    </cfRule>
    <cfRule type="expression" priority="1256" dxfId="0" stopIfTrue="1">
      <formula>OR($A174="username", $A174="phonenumber", $A174="start", $A174="end", $A174="deviceid", $A174="subscriberid", $A174="simserial", $A174="caseid")</formula>
    </cfRule>
    <cfRule type="expression" priority="1257" dxfId="7" stopIfTrue="1">
      <formula>OR(AND(LEFT($A174, 16)="select_multiple ", LEN($A174)&gt;16, NOT(ISNUMBER(SEARCH(" ", $A174, 17)))), AND(LEFT($A174, 11)="select_one ", LEN($A174)&gt;11, NOT(ISNUMBER(SEARCH(" ", $A174, 12)))))</formula>
    </cfRule>
    <cfRule type="expression" priority="1262" dxfId="2" stopIfTrue="1">
      <formula>$A174="begin repeat"</formula>
    </cfRule>
    <cfRule type="expression" priority="1261" dxfId="2" stopIfTrue="1">
      <formula>$A174="end repeat"</formula>
    </cfRule>
    <cfRule type="expression" priority="1260" dxfId="4" stopIfTrue="1">
      <formula>$A174="text"</formula>
    </cfRule>
    <cfRule type="expression" priority="1259" dxfId="5" stopIfTrue="1">
      <formula>$A174="integer"</formula>
    </cfRule>
  </conditionalFormatting>
  <conditionalFormatting sqref="N174:N181">
    <cfRule type="expression" priority="812" dxfId="11" stopIfTrue="1">
      <formula>OR($A174="calculate", $A174="calculate_here")</formula>
    </cfRule>
  </conditionalFormatting>
  <conditionalFormatting sqref="N176">
    <cfRule type="expression" priority="1214" dxfId="0" stopIfTrue="1">
      <formula>OR($A176="username", $A176="phonenumber", $A176="start", $A176="end", $A176="deviceid", $A176="subscriberid", $A176="simserial", $A176="caseid")</formula>
    </cfRule>
    <cfRule type="expression" priority="1210" dxfId="12" stopIfTrue="1">
      <formula>$A176="note"</formula>
    </cfRule>
    <cfRule type="expression" priority="1211" dxfId="10" stopIfTrue="1">
      <formula>$A176="barcode"</formula>
    </cfRule>
    <cfRule type="expression" priority="1212" dxfId="9" stopIfTrue="1">
      <formula>OR($A176="geopoint", $A176="geoshape", $A176="geotrace")</formula>
    </cfRule>
    <cfRule type="expression" priority="1215" dxfId="7" stopIfTrue="1">
      <formula>OR(AND(LEFT($A176, 16)="select_multiple ", LEN($A176)&gt;16, NOT(ISNUMBER(SEARCH(" ", $A176, 17)))), AND(LEFT($A176, 11)="select_one ", LEN($A176)&gt;11, NOT(ISNUMBER(SEARCH(" ", $A176, 12)))))</formula>
    </cfRule>
    <cfRule type="expression" priority="1216" dxfId="6" stopIfTrue="1">
      <formula>$A176="decimal"</formula>
    </cfRule>
    <cfRule type="expression" priority="1217" dxfId="5" stopIfTrue="1">
      <formula>$A176="integer"</formula>
    </cfRule>
    <cfRule type="expression" priority="1218" dxfId="4" stopIfTrue="1">
      <formula>$A176="text"</formula>
    </cfRule>
    <cfRule type="expression" priority="1219" dxfId="2" stopIfTrue="1">
      <formula>$A176="end repeat"</formula>
    </cfRule>
    <cfRule type="expression" priority="1220" dxfId="2" stopIfTrue="1">
      <formula>$A176="begin repeat"</formula>
    </cfRule>
    <cfRule type="expression" priority="1221" dxfId="1" stopIfTrue="1">
      <formula>$A176="end group"</formula>
    </cfRule>
    <cfRule type="expression" priority="1222" dxfId="1" stopIfTrue="1">
      <formula>$A176="begin group"</formula>
    </cfRule>
  </conditionalFormatting>
  <conditionalFormatting sqref="N176:N177">
    <cfRule type="expression" priority="1213" dxfId="8" stopIfTrue="1">
      <formula>OR($A176="audio audit", $A176="text audit", $A176="speed violations count", $A176="speed violations list", $A176="speed violations audit")</formula>
    </cfRule>
  </conditionalFormatting>
  <conditionalFormatting sqref="N176:N181">
    <cfRule type="expression" priority="819" dxfId="21" stopIfTrue="1">
      <formula>OR($A176="date", $A176="datetime", $A176="time")</formula>
    </cfRule>
    <cfRule type="expression" priority="813" dxfId="86" stopIfTrue="1">
      <formula>$A176="enumerator"</formula>
    </cfRule>
    <cfRule type="expression" priority="814" dxfId="84" stopIfTrue="1">
      <formula>$A176="file"</formula>
    </cfRule>
    <cfRule type="expression" priority="816" dxfId="24" stopIfTrue="1">
      <formula>$A176="comments"</formula>
    </cfRule>
    <cfRule type="expression" priority="817" dxfId="23" stopIfTrue="1">
      <formula>OR($A176="audio", $A176="video")</formula>
    </cfRule>
    <cfRule type="expression" priority="818" dxfId="22" stopIfTrue="1">
      <formula>$A176="image"</formula>
    </cfRule>
  </conditionalFormatting>
  <conditionalFormatting sqref="N176:N182">
    <cfRule type="expression" priority="815" dxfId="87" stopIfTrue="1">
      <formula>OR(AND(LEFT($A176, 14)="sensor_stream ", LEN($A176)&gt;14, NOT(ISNUMBER(SEARCH(" ", $A176, 15)))), AND(LEFT($A176, 17)="sensor_statistic ", LEN($A176)&gt;17, NOT(ISNUMBER(SEARCH(" ", $A176, 18)))))</formula>
    </cfRule>
  </conditionalFormatting>
  <conditionalFormatting sqref="N178:N181">
    <cfRule type="expression" priority="830" dxfId="2" stopIfTrue="1">
      <formula>$A178="end repeat"</formula>
    </cfRule>
    <cfRule type="expression" priority="833" dxfId="1" stopIfTrue="1">
      <formula>$A178="begin group"</formula>
    </cfRule>
    <cfRule type="expression" priority="820" dxfId="63" stopIfTrue="1">
      <formula>OR($A178="calculate", $A178="calculate_here")</formula>
    </cfRule>
    <cfRule type="expression" priority="821" dxfId="12" stopIfTrue="1">
      <formula>$A178="note"</formula>
    </cfRule>
    <cfRule type="expression" priority="822" dxfId="10" stopIfTrue="1">
      <formula>$A178="barcode"</formula>
    </cfRule>
    <cfRule type="expression" priority="823" dxfId="9" stopIfTrue="1">
      <formula>OR($A178="geopoint", $A178="geoshape", $A178="geotrace")</formula>
    </cfRule>
    <cfRule type="expression" priority="824" dxfId="8" stopIfTrue="1">
      <formula>OR($A178="audio audit", $A178="text audit", $A178="speed violations count", $A178="speed violations list", $A178="speed violations audit")</formula>
    </cfRule>
    <cfRule type="expression" priority="825" dxfId="0" stopIfTrue="1">
      <formula>OR($A178="username", $A178="phonenumber", $A178="start", $A178="end", $A178="deviceid", $A178="subscriberid", $A178="simserial", $A178="caseid")</formula>
    </cfRule>
    <cfRule type="expression" priority="826" dxfId="7" stopIfTrue="1">
      <formula>OR(AND(LEFT($A178, 16)="select_multiple ", LEN($A178)&gt;16, NOT(ISNUMBER(SEARCH(" ", $A178, 17)))), AND(LEFT($A178, 11)="select_one ", LEN($A178)&gt;11, NOT(ISNUMBER(SEARCH(" ", $A178, 12)))))</formula>
    </cfRule>
    <cfRule type="expression" priority="827" dxfId="6" stopIfTrue="1">
      <formula>$A178="decimal"</formula>
    </cfRule>
    <cfRule type="expression" priority="828" dxfId="5" stopIfTrue="1">
      <formula>$A178="integer"</formula>
    </cfRule>
    <cfRule type="expression" priority="829" dxfId="4" stopIfTrue="1">
      <formula>$A178="text"</formula>
    </cfRule>
    <cfRule type="expression" priority="831" dxfId="2" stopIfTrue="1">
      <formula>$A178="begin repeat"</formula>
    </cfRule>
    <cfRule type="expression" priority="832" dxfId="1" stopIfTrue="1">
      <formula>$A178="end group"</formula>
    </cfRule>
  </conditionalFormatting>
  <conditionalFormatting sqref="N182">
    <cfRule type="expression" priority="852" dxfId="2" stopIfTrue="1">
      <formula>$A182="end repeat"</formula>
    </cfRule>
    <cfRule type="expression" priority="838" dxfId="84" stopIfTrue="1">
      <formula>$A182="file"</formula>
    </cfRule>
    <cfRule type="expression" priority="837" dxfId="86" stopIfTrue="1">
      <formula>$A182="enumerator"</formula>
    </cfRule>
    <cfRule type="expression" priority="836" dxfId="8" stopIfTrue="1">
      <formula>OR($A182="audio audit", $A182="text audit", $A182="speed violations count", $A182="speed violations list", $A182="speed violations audit")</formula>
    </cfRule>
    <cfRule type="expression" priority="835" dxfId="11" stopIfTrue="1">
      <formula>OR($A182="calculate", $A182="calculate_here")</formula>
    </cfRule>
    <cfRule type="expression" priority="839" dxfId="24" stopIfTrue="1">
      <formula>$A182="comments"</formula>
    </cfRule>
    <cfRule type="expression" priority="840" dxfId="23" stopIfTrue="1">
      <formula>OR($A182="audio", $A182="video")</formula>
    </cfRule>
    <cfRule type="expression" priority="841" dxfId="22" stopIfTrue="1">
      <formula>$A182="image"</formula>
    </cfRule>
    <cfRule type="expression" priority="848" dxfId="7" stopIfTrue="1">
      <formula>OR(AND(LEFT($A182, 16)="select_multiple ", LEN($A182)&gt;16, NOT(ISNUMBER(SEARCH(" ", $A182, 17)))), AND(LEFT($A182, 11)="select_one ", LEN($A182)&gt;11, NOT(ISNUMBER(SEARCH(" ", $A182, 12)))))</formula>
    </cfRule>
    <cfRule type="expression" priority="842" dxfId="21" stopIfTrue="1">
      <formula>OR($A182="date", $A182="datetime", $A182="time")</formula>
    </cfRule>
    <cfRule type="expression" priority="843" dxfId="63" stopIfTrue="1">
      <formula>OR($A182="calculate", $A182="calculate_here")</formula>
    </cfRule>
    <cfRule type="expression" priority="844" dxfId="12" stopIfTrue="1">
      <formula>$A182="note"</formula>
    </cfRule>
    <cfRule type="expression" priority="845" dxfId="10" stopIfTrue="1">
      <formula>$A182="barcode"</formula>
    </cfRule>
    <cfRule type="expression" priority="846" dxfId="9" stopIfTrue="1">
      <formula>OR($A182="geopoint", $A182="geoshape", $A182="geotrace")</formula>
    </cfRule>
    <cfRule type="expression" priority="849" dxfId="6" stopIfTrue="1">
      <formula>$A182="decimal"</formula>
    </cfRule>
    <cfRule type="expression" priority="847" dxfId="0" stopIfTrue="1">
      <formula>OR($A182="username", $A182="phonenumber", $A182="start", $A182="end", $A182="deviceid", $A182="subscriberid", $A182="simserial", $A182="caseid")</formula>
    </cfRule>
    <cfRule type="expression" priority="850" dxfId="5" stopIfTrue="1">
      <formula>$A182="integer"</formula>
    </cfRule>
    <cfRule type="expression" priority="851" dxfId="4" stopIfTrue="1">
      <formula>$A182="text"</formula>
    </cfRule>
    <cfRule type="expression" priority="853" dxfId="2" stopIfTrue="1">
      <formula>$A182="begin repeat"</formula>
    </cfRule>
    <cfRule type="expression" priority="854" dxfId="1" stopIfTrue="1">
      <formula>$A182="end group"</formula>
    </cfRule>
    <cfRule type="expression" priority="855" dxfId="1" stopIfTrue="1">
      <formula>$A182="begin group"</formula>
    </cfRule>
  </conditionalFormatting>
  <conditionalFormatting sqref="N201:N202">
    <cfRule type="expression" priority="7903" dxfId="63" stopIfTrue="1">
      <formula>OR(#REF!="calculate", #REF!="calculate_here")</formula>
    </cfRule>
  </conditionalFormatting>
  <conditionalFormatting sqref="N172:X172">
    <cfRule type="expression" priority="1236" dxfId="0" stopIfTrue="1">
      <formula>OR($A172="username", $A172="phonenumber", $A172="start", $A172="end", $A172="deviceid", $A172="subscriberid", $A172="simserial", $A172="caseid")</formula>
    </cfRule>
    <cfRule type="expression" priority="1241" dxfId="2" stopIfTrue="1">
      <formula>$A172="end repeat"</formula>
    </cfRule>
    <cfRule type="expression" priority="1238" dxfId="6" stopIfTrue="1">
      <formula>$A172="decimal"</formula>
    </cfRule>
    <cfRule type="expression" priority="1230" dxfId="21" stopIfTrue="1">
      <formula>OR($A172="date", $A172="datetime", $A172="time")</formula>
    </cfRule>
    <cfRule type="expression" priority="1229" dxfId="22" stopIfTrue="1">
      <formula>$A172="image"</formula>
    </cfRule>
    <cfRule type="expression" priority="1240" dxfId="4" stopIfTrue="1">
      <formula>$A172="text"</formula>
    </cfRule>
    <cfRule type="expression" priority="1227" dxfId="24" stopIfTrue="1">
      <formula>$A172="comments"</formula>
    </cfRule>
    <cfRule type="expression" priority="1224" dxfId="86" stopIfTrue="1">
      <formula>$A172="enumerator"</formula>
    </cfRule>
    <cfRule type="expression" priority="1239" dxfId="5" stopIfTrue="1">
      <formula>$A172="integer"</formula>
    </cfRule>
    <cfRule type="expression" priority="1237" dxfId="7" stopIfTrue="1">
      <formula>OR(AND(LEFT($A172, 16)="select_multiple ", LEN($A172)&gt;16, NOT(ISNUMBER(SEARCH(" ", $A172, 17)))), AND(LEFT($A172, 11)="select_one ", LEN($A172)&gt;11, NOT(ISNUMBER(SEARCH(" ", $A172, 12)))))</formula>
    </cfRule>
    <cfRule type="expression" priority="1244" dxfId="1" stopIfTrue="1">
      <formula>$A172="begin group"</formula>
    </cfRule>
    <cfRule type="expression" priority="1243" dxfId="1" stopIfTrue="1">
      <formula>$A172="end group"</formula>
    </cfRule>
    <cfRule type="expression" priority="1242" dxfId="2" stopIfTrue="1">
      <formula>$A172="begin repeat"</formula>
    </cfRule>
  </conditionalFormatting>
  <conditionalFormatting sqref="N174:X175">
    <cfRule type="expression" priority="1248" dxfId="24" stopIfTrue="1">
      <formula>$A174="comments"</formula>
    </cfRule>
    <cfRule type="expression" priority="1245" dxfId="86" stopIfTrue="1">
      <formula>$A174="enumerator"</formula>
    </cfRule>
  </conditionalFormatting>
  <conditionalFormatting sqref="O166">
    <cfRule type="expression" priority="1366" dxfId="41" stopIfTrue="1">
      <formula>$A166="begin repeat"</formula>
    </cfRule>
  </conditionalFormatting>
  <conditionalFormatting sqref="X13:X14">
    <cfRule type="expression" priority="1120" dxfId="84" stopIfTrue="1">
      <formula>$A13="file"</formula>
    </cfRule>
    <cfRule type="expression" priority="1128" dxfId="12" stopIfTrue="1">
      <formula>$A13="note"</formula>
    </cfRule>
    <cfRule type="expression" priority="1121" dxfId="86" stopIfTrue="1">
      <formula>$A13="enumerator"</formula>
    </cfRule>
    <cfRule type="expression" priority="1122" dxfId="87" stopIfTrue="1">
      <formula>OR(AND(LEFT($A13, 14)="sensor_stream ", LEN($A13)&gt;14, NOT(ISNUMBER(SEARCH(" ", $A13, 15)))), AND(LEFT($A13, 17)="sensor_statistic ", LEN($A13)&gt;17, NOT(ISNUMBER(SEARCH(" ", $A13, 18)))))</formula>
    </cfRule>
    <cfRule type="expression" priority="1123" dxfId="24" stopIfTrue="1">
      <formula>$A13="comments"</formula>
    </cfRule>
    <cfRule type="expression" priority="1124" dxfId="23" stopIfTrue="1">
      <formula>OR($A13="audio", $A13="video")</formula>
    </cfRule>
    <cfRule type="expression" priority="1140" dxfId="1" stopIfTrue="1">
      <formula>$A13="begin group"</formula>
    </cfRule>
    <cfRule type="expression" priority="1139" dxfId="1" stopIfTrue="1">
      <formula>$A13="end group"</formula>
    </cfRule>
    <cfRule type="expression" priority="1138" dxfId="2" stopIfTrue="1">
      <formula>$A13="begin repeat"</formula>
    </cfRule>
    <cfRule type="expression" priority="1137" dxfId="2" stopIfTrue="1">
      <formula>$A13="end repeat"</formula>
    </cfRule>
    <cfRule type="expression" priority="1136" dxfId="4" stopIfTrue="1">
      <formula>$A13="text"</formula>
    </cfRule>
    <cfRule type="expression" priority="1135" dxfId="5" stopIfTrue="1">
      <formula>$A13="integer"</formula>
    </cfRule>
    <cfRule type="expression" priority="1134" dxfId="6" stopIfTrue="1">
      <formula>$A13="decimal"</formula>
    </cfRule>
    <cfRule type="expression" priority="1133" dxfId="7" stopIfTrue="1">
      <formula>OR(AND(LEFT($A13, 16)="select_multiple ", LEN($A13)&gt;16, NOT(ISNUMBER(SEARCH(" ", $A13, 17)))), AND(LEFT($A13, 11)="select_one ", LEN($A13)&gt;11, NOT(ISNUMBER(SEARCH(" ", $A13, 12)))))</formula>
    </cfRule>
    <cfRule type="expression" priority="1132" dxfId="0" stopIfTrue="1">
      <formula>OR($A13="username", $A13="phonenumber", $A13="start", $A13="end", $A13="deviceid", $A13="subscriberid", $A13="simserial", $A13="caseid")</formula>
    </cfRule>
    <cfRule type="expression" priority="1131" dxfId="8" stopIfTrue="1">
      <formula>OR($A13="audio audit", $A13="text audit", $A13="speed violations count", $A13="speed violations list", $A13="speed violations audit")</formula>
    </cfRule>
    <cfRule type="expression" priority="1130" dxfId="9" stopIfTrue="1">
      <formula>OR($A13="geopoint", $A13="geoshape", $A13="geotrace")</formula>
    </cfRule>
    <cfRule type="expression" priority="1125" dxfId="22" stopIfTrue="1">
      <formula>$A13="image"</formula>
    </cfRule>
    <cfRule type="expression" priority="1126" dxfId="21" stopIfTrue="1">
      <formula>OR($A13="date", $A13="datetime", $A13="time")</formula>
    </cfRule>
    <cfRule type="expression" priority="1129" dxfId="10" stopIfTrue="1">
      <formula>$A13="barcode"</formula>
    </cfRule>
    <cfRule type="expression" priority="1127" dxfId="11" stopIfTrue="1">
      <formula>OR($A13="calculate", $A13="calculate_here")</formula>
    </cfRule>
  </conditionalFormatting>
  <conditionalFormatting sqref="X17">
    <cfRule type="expression" priority="729" dxfId="9" stopIfTrue="1">
      <formula>OR($A17="geopoint", $A17="geoshape", $A17="geotrace")</formula>
    </cfRule>
    <cfRule type="expression" priority="736" dxfId="2" stopIfTrue="1">
      <formula>$A17="end repeat"</formula>
    </cfRule>
    <cfRule type="expression" priority="734" dxfId="5" stopIfTrue="1">
      <formula>$A17="integer"</formula>
    </cfRule>
    <cfRule type="expression" priority="733" dxfId="6" stopIfTrue="1">
      <formula>$A17="decimal"</formula>
    </cfRule>
    <cfRule type="expression" priority="732" dxfId="7" stopIfTrue="1">
      <formula>OR(AND(LEFT($A17, 16)="select_multiple ", LEN($A17)&gt;16, NOT(ISNUMBER(SEARCH(" ", $A17, 17)))), AND(LEFT($A17, 11)="select_one ", LEN($A17)&gt;11, NOT(ISNUMBER(SEARCH(" ", $A17, 12)))))</formula>
    </cfRule>
    <cfRule type="expression" priority="731" dxfId="0" stopIfTrue="1">
      <formula>OR($A17="username", $A17="phonenumber", $A17="start", $A17="end", $A17="deviceid", $A17="subscriberid", $A17="simserial", $A17="caseid")</formula>
    </cfRule>
    <cfRule type="expression" priority="730" dxfId="8" stopIfTrue="1">
      <formula>OR($A17="audio audit", $A17="text audit", $A17="speed violations count", $A17="speed violations list", $A17="speed violations audit")</formula>
    </cfRule>
    <cfRule type="expression" priority="719" dxfId="84" stopIfTrue="1">
      <formula>$A17="file"</formula>
    </cfRule>
    <cfRule type="expression" priority="720" dxfId="86" stopIfTrue="1">
      <formula>$A17="enumerator"</formula>
    </cfRule>
    <cfRule type="expression" priority="721" dxfId="87" stopIfTrue="1">
      <formula>OR(AND(LEFT($A17, 14)="sensor_stream ", LEN($A17)&gt;14, NOT(ISNUMBER(SEARCH(" ", $A17, 15)))), AND(LEFT($A17, 17)="sensor_statistic ", LEN($A17)&gt;17, NOT(ISNUMBER(SEARCH(" ", $A17, 18)))))</formula>
    </cfRule>
    <cfRule type="expression" priority="722" dxfId="24" stopIfTrue="1">
      <formula>$A17="comments"</formula>
    </cfRule>
    <cfRule type="expression" priority="737" dxfId="2" stopIfTrue="1">
      <formula>$A17="begin repeat"</formula>
    </cfRule>
    <cfRule type="expression" priority="723" dxfId="23" stopIfTrue="1">
      <formula>OR($A17="audio", $A17="video")</formula>
    </cfRule>
    <cfRule type="expression" priority="724" dxfId="22" stopIfTrue="1">
      <formula>$A17="image"</formula>
    </cfRule>
    <cfRule type="expression" priority="738" dxfId="1" stopIfTrue="1">
      <formula>$A17="end group"</formula>
    </cfRule>
    <cfRule type="expression" priority="739" dxfId="1" stopIfTrue="1">
      <formula>$A17="begin group"</formula>
    </cfRule>
    <cfRule type="expression" priority="725" dxfId="21" stopIfTrue="1">
      <formula>OR($A17="date", $A17="datetime", $A17="time")</formula>
    </cfRule>
    <cfRule type="expression" priority="726" dxfId="11" stopIfTrue="1">
      <formula>OR($A17="calculate", $A17="calculate_here")</formula>
    </cfRule>
    <cfRule type="expression" priority="727" dxfId="12" stopIfTrue="1">
      <formula>$A17="note"</formula>
    </cfRule>
    <cfRule type="expression" priority="728" dxfId="10" stopIfTrue="1">
      <formula>$A17="barcode"</formula>
    </cfRule>
    <cfRule type="expression" priority="735" dxfId="4" stopIfTrue="1">
      <formula>$A17="text"</formula>
    </cfRule>
  </conditionalFormatting>
  <pageMargins left="0.7479166666666667" right="0.7479166666666667" top="0.9840277777777777" bottom="0.9840277777777777" header="0.5118055555555555" footer="0.5118055555555555"/>
  <pageSetup orientation="portrait"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71"/>
  <sheetViews>
    <sheetView zoomScaleNormal="75" zoomScalePageLayoutView="75" workbookViewId="0">
      <pane ySplit="1" topLeftCell="A2" activePane="bottomLeft" state="frozen"/>
      <selection pane="bottomLeft" activeCell="A55" sqref="A55"/>
    </sheetView>
  </sheetViews>
  <sheetFormatPr baseColWidth="10" defaultColWidth="10.83203125" defaultRowHeight="16"/>
  <cols>
    <col width="18" bestFit="1" customWidth="1" style="8" min="1" max="1"/>
    <col width="12" customWidth="1" style="8" min="2" max="2"/>
    <col width="42" bestFit="1" customWidth="1" style="8" min="3" max="3"/>
    <col width="12" customWidth="1" style="8" min="4" max="5"/>
    <col width="12" customWidth="1" min="5" max="5"/>
    <col width="18" customWidth="1" style="1" min="6" max="16384"/>
    <col width="18" customWidth="1" min="7" max="7"/>
    <col width="18" customWidth="1" min="8" max="8"/>
  </cols>
  <sheetData>
    <row r="1" ht="20" customFormat="1" customHeight="1" s="3">
      <c r="A1" s="134" t="inlineStr">
        <is>
          <t>list_name</t>
        </is>
      </c>
      <c r="B1" s="134" t="inlineStr">
        <is>
          <t>value</t>
        </is>
      </c>
      <c r="C1" s="135" t="inlineStr">
        <is>
          <t>label:english</t>
        </is>
      </c>
      <c r="D1" s="134" t="inlineStr">
        <is>
          <t>image</t>
        </is>
      </c>
      <c r="E1" s="134" t="inlineStr">
        <is>
          <t>filter</t>
        </is>
      </c>
      <c r="F1" s="136" t="n"/>
      <c r="G1" s="136" t="n"/>
      <c r="H1" s="136" t="n"/>
    </row>
    <row r="2">
      <c r="A2" s="137" t="inlineStr">
        <is>
          <t>facilitator</t>
        </is>
      </c>
      <c r="B2" s="137" t="inlineStr">
        <is>
          <t>id</t>
        </is>
      </c>
      <c r="C2" s="138" t="inlineStr">
        <is>
          <t>label</t>
        </is>
      </c>
      <c r="D2" s="137" t="n"/>
      <c r="E2" s="137" t="n"/>
      <c r="F2" s="139" t="n"/>
      <c r="G2" s="139" t="n"/>
      <c r="H2" s="139" t="n"/>
    </row>
    <row r="3">
      <c r="A3" s="140" t="inlineStr">
        <is>
          <t>student</t>
        </is>
      </c>
      <c r="B3" s="141" t="inlineStr">
        <is>
          <t>hhid</t>
        </is>
      </c>
      <c r="C3" s="142" t="inlineStr">
        <is>
          <t>stud_name_b</t>
        </is>
      </c>
      <c r="D3" s="141" t="n"/>
      <c r="E3" s="141" t="n"/>
      <c r="F3" s="143" t="n"/>
      <c r="G3" s="143" t="n"/>
      <c r="H3" s="143" t="n"/>
    </row>
    <row r="4">
      <c r="A4" s="144" t="inlineStr">
        <is>
          <t>phones</t>
        </is>
      </c>
      <c r="B4" s="145" t="n">
        <v>1</v>
      </c>
      <c r="C4" s="146" t="inlineStr">
        <is>
          <t>1. ${phone1_name} (${phone1_rel}): ${phone1}</t>
        </is>
      </c>
      <c r="D4" s="145" t="n"/>
      <c r="E4" s="145" t="n">
        <v>1</v>
      </c>
      <c r="F4" s="121" t="n"/>
      <c r="G4" s="121" t="n"/>
      <c r="H4" s="121" t="n"/>
    </row>
    <row r="5">
      <c r="A5" s="147" t="inlineStr">
        <is>
          <t>phones</t>
        </is>
      </c>
      <c r="B5" s="148" t="n">
        <v>2</v>
      </c>
      <c r="C5" s="146" t="inlineStr">
        <is>
          <t>2. ${phone2_name} (${phone2_rel}): ${phone2}</t>
        </is>
      </c>
      <c r="D5" s="147" t="n"/>
      <c r="E5" s="147" t="n">
        <v>2</v>
      </c>
      <c r="F5" s="121" t="n"/>
      <c r="G5" s="121" t="n"/>
      <c r="H5" s="121" t="n"/>
    </row>
    <row r="6">
      <c r="A6" s="147" t="inlineStr">
        <is>
          <t>phones</t>
        </is>
      </c>
      <c r="B6" s="149" t="n">
        <v>3</v>
      </c>
      <c r="C6" s="146" t="inlineStr">
        <is>
          <t>3. ${phone3_name} (${phone3_rel}): ${phone3}</t>
        </is>
      </c>
      <c r="D6" s="147" t="n"/>
      <c r="E6" s="147" t="n">
        <v>3</v>
      </c>
      <c r="F6" s="121" t="n"/>
      <c r="G6" s="121" t="n"/>
      <c r="H6" s="121" t="n"/>
    </row>
    <row r="7">
      <c r="A7" s="147" t="inlineStr">
        <is>
          <t>phones</t>
        </is>
      </c>
      <c r="B7" s="149" t="n">
        <v>4</v>
      </c>
      <c r="C7" s="146" t="inlineStr">
        <is>
          <t>4. ${best_phone_name} (${best_phone_rel}): ${best_phone}</t>
        </is>
      </c>
      <c r="D7" s="147" t="n"/>
      <c r="E7" s="147" t="n">
        <v>4</v>
      </c>
      <c r="F7" s="121" t="n"/>
      <c r="G7" s="121" t="n"/>
      <c r="H7" s="121" t="n"/>
    </row>
    <row r="8">
      <c r="A8" s="147" t="inlineStr">
        <is>
          <t>phones</t>
        </is>
      </c>
      <c r="B8" s="149" t="n">
        <v>5</v>
      </c>
      <c r="C8" s="146" t="inlineStr">
        <is>
          <t>5. ${best_phone2_name} (${best_phone2_rel}): ${best_phone2}</t>
        </is>
      </c>
      <c r="D8" s="147" t="n"/>
      <c r="E8" s="147" t="n">
        <v>5</v>
      </c>
      <c r="F8" s="121" t="n"/>
      <c r="G8" s="121" t="n"/>
      <c r="H8" s="121" t="n"/>
    </row>
    <row r="9">
      <c r="A9" s="147" t="inlineStr">
        <is>
          <t>phones</t>
        </is>
      </c>
      <c r="B9" s="149" t="n">
        <v>95</v>
      </c>
      <c r="C9" s="146" t="inlineStr">
        <is>
          <t>Other (specify):</t>
        </is>
      </c>
      <c r="D9" s="147" t="n"/>
      <c r="E9" s="147" t="n">
        <v>95</v>
      </c>
      <c r="F9" s="121" t="n"/>
      <c r="G9" s="121" t="n"/>
      <c r="H9" s="121" t="n"/>
    </row>
    <row r="10">
      <c r="A10" s="147" t="inlineStr">
        <is>
          <t>response</t>
        </is>
      </c>
      <c r="B10" s="145" t="n">
        <v>1</v>
      </c>
      <c r="C10" s="150" t="inlineStr">
        <is>
          <t>Caregiver answered</t>
        </is>
      </c>
      <c r="D10" s="147" t="n"/>
      <c r="E10" s="147" t="n"/>
      <c r="F10" s="121" t="n"/>
      <c r="G10" s="121" t="n"/>
      <c r="H10" s="121" t="n"/>
    </row>
    <row r="11">
      <c r="A11" s="147" t="inlineStr">
        <is>
          <t>response</t>
        </is>
      </c>
      <c r="B11" s="147" t="n">
        <v>2</v>
      </c>
      <c r="C11" s="151" t="inlineStr">
        <is>
          <t>Someone else answered</t>
        </is>
      </c>
      <c r="D11" s="147" t="n"/>
      <c r="E11" s="147" t="n"/>
      <c r="F11" s="121" t="n"/>
      <c r="G11" s="121" t="n"/>
      <c r="H11" s="121" t="n"/>
    </row>
    <row r="12">
      <c r="A12" s="147" t="inlineStr">
        <is>
          <t>response</t>
        </is>
      </c>
      <c r="B12" s="147" t="n">
        <v>3</v>
      </c>
      <c r="C12" s="146" t="inlineStr">
        <is>
          <t>Call not answered</t>
        </is>
      </c>
      <c r="D12" s="147" t="n"/>
      <c r="E12" s="147" t="n"/>
      <c r="F12" s="121" t="n"/>
      <c r="G12" s="121" t="n"/>
      <c r="H12" s="121" t="n"/>
    </row>
    <row r="13">
      <c r="A13" s="147" t="inlineStr">
        <is>
          <t>response</t>
        </is>
      </c>
      <c r="B13" s="147" t="n">
        <v>4</v>
      </c>
      <c r="C13" s="150" t="inlineStr">
        <is>
          <t>Wrong number</t>
        </is>
      </c>
      <c r="D13" s="147" t="n"/>
      <c r="E13" s="147" t="n"/>
      <c r="F13" s="121" t="n"/>
      <c r="G13" s="121" t="n"/>
      <c r="H13" s="121" t="n"/>
    </row>
    <row r="14">
      <c r="A14" s="147" t="inlineStr">
        <is>
          <t>notanswered</t>
        </is>
      </c>
      <c r="B14" s="147" t="n">
        <v>1</v>
      </c>
      <c r="C14" s="150" t="inlineStr">
        <is>
          <t>Network is not working / the phone is not ringing</t>
        </is>
      </c>
      <c r="D14" s="147" t="n"/>
      <c r="E14" s="147" t="n"/>
      <c r="F14" s="121" t="n"/>
      <c r="G14" s="121" t="n"/>
      <c r="H14" s="121" t="n"/>
    </row>
    <row r="15">
      <c r="A15" s="147" t="inlineStr">
        <is>
          <t>notanswered</t>
        </is>
      </c>
      <c r="B15" s="147" t="n">
        <v>2</v>
      </c>
      <c r="C15" s="150" t="inlineStr">
        <is>
          <t>The phone is ringing but no one is answering the call</t>
        </is>
      </c>
      <c r="D15" s="147" t="n"/>
      <c r="E15" s="147" t="n"/>
      <c r="F15" s="121" t="n"/>
      <c r="G15" s="121" t="n"/>
      <c r="H15" s="121" t="n"/>
    </row>
    <row r="16">
      <c r="A16" s="147" t="inlineStr">
        <is>
          <t>notanswered</t>
        </is>
      </c>
      <c r="B16" s="147" t="n">
        <v>95</v>
      </c>
      <c r="C16" s="150" t="inlineStr">
        <is>
          <t>Other (specify):</t>
        </is>
      </c>
      <c r="D16" s="147" t="n"/>
      <c r="E16" s="147" t="n"/>
      <c r="F16" s="121" t="n"/>
      <c r="G16" s="121" t="n"/>
      <c r="H16" s="121" t="n"/>
    </row>
    <row r="17">
      <c r="A17" s="147" t="inlineStr">
        <is>
          <t>yesno</t>
        </is>
      </c>
      <c r="B17" s="147" t="n">
        <v>1</v>
      </c>
      <c r="C17" s="150" t="inlineStr">
        <is>
          <t>Yes</t>
        </is>
      </c>
      <c r="D17" s="147" t="n"/>
      <c r="E17" s="147" t="n">
        <v>1</v>
      </c>
      <c r="F17" s="121" t="n"/>
      <c r="G17" s="121" t="n"/>
      <c r="H17" s="121" t="n"/>
    </row>
    <row r="18">
      <c r="A18" s="147" t="inlineStr">
        <is>
          <t>yesno</t>
        </is>
      </c>
      <c r="B18" s="147" t="n">
        <v>0</v>
      </c>
      <c r="C18" s="150" t="inlineStr">
        <is>
          <t>No</t>
        </is>
      </c>
      <c r="D18" s="147" t="n"/>
      <c r="E18" s="147" t="n">
        <v>0</v>
      </c>
      <c r="F18" s="121" t="n"/>
      <c r="G18" s="121" t="n"/>
      <c r="H18" s="121" t="n"/>
    </row>
    <row r="19">
      <c r="A19" s="137" t="inlineStr">
        <is>
          <t>relationship</t>
        </is>
      </c>
      <c r="B19" s="137" t="n">
        <v>1</v>
      </c>
      <c r="C19" s="138" t="inlineStr">
        <is>
          <t>Mother</t>
        </is>
      </c>
      <c r="D19" s="137" t="n"/>
      <c r="E19" s="137" t="n"/>
      <c r="F19" s="139" t="n"/>
      <c r="G19" s="139" t="n"/>
      <c r="H19" s="139" t="n"/>
    </row>
    <row r="20">
      <c r="A20" s="145" t="inlineStr">
        <is>
          <t>relationship</t>
        </is>
      </c>
      <c r="B20" s="145" t="n">
        <v>2</v>
      </c>
      <c r="C20" s="146" t="inlineStr">
        <is>
          <t>Father</t>
        </is>
      </c>
      <c r="D20" s="145" t="n"/>
      <c r="E20" s="145" t="n"/>
      <c r="F20" s="121" t="n"/>
      <c r="G20" s="121" t="n"/>
      <c r="H20" s="121" t="n"/>
    </row>
    <row r="21">
      <c r="A21" s="147" t="inlineStr">
        <is>
          <t>relationship</t>
        </is>
      </c>
      <c r="B21" s="147" t="n">
        <v>3</v>
      </c>
      <c r="C21" s="150" t="inlineStr">
        <is>
          <t>Grandparent</t>
        </is>
      </c>
      <c r="D21" s="147" t="n"/>
      <c r="E21" s="147" t="n"/>
      <c r="F21" s="121" t="n"/>
      <c r="G21" s="121" t="n"/>
      <c r="H21" s="121" t="n"/>
    </row>
    <row r="22">
      <c r="A22" s="147" t="inlineStr">
        <is>
          <t>relationship</t>
        </is>
      </c>
      <c r="B22" s="147" t="n">
        <v>4</v>
      </c>
      <c r="C22" s="150" t="inlineStr">
        <is>
          <t>Aunt/Uncle</t>
        </is>
      </c>
      <c r="D22" s="147" t="n"/>
      <c r="E22" s="147" t="n"/>
      <c r="F22" s="121" t="n"/>
      <c r="G22" s="121" t="n"/>
      <c r="H22" s="121" t="n"/>
    </row>
    <row r="23">
      <c r="A23" s="147" t="inlineStr">
        <is>
          <t>relationship</t>
        </is>
      </c>
      <c r="B23" s="147" t="n">
        <v>5</v>
      </c>
      <c r="C23" s="150" t="inlineStr">
        <is>
          <t>Cousin</t>
        </is>
      </c>
      <c r="D23" s="147" t="n"/>
      <c r="E23" s="147" t="n"/>
      <c r="F23" s="121" t="n"/>
      <c r="G23" s="121" t="n"/>
      <c r="H23" s="121" t="n"/>
    </row>
    <row r="24">
      <c r="A24" s="147" t="inlineStr">
        <is>
          <t>relationship</t>
        </is>
      </c>
      <c r="B24" s="147" t="n">
        <v>6</v>
      </c>
      <c r="C24" s="150" t="inlineStr">
        <is>
          <t>Sibling</t>
        </is>
      </c>
      <c r="D24" s="147" t="n"/>
      <c r="E24" s="147" t="n"/>
      <c r="F24" s="121" t="n"/>
      <c r="G24" s="121" t="n"/>
      <c r="H24" s="121" t="n"/>
    </row>
    <row r="25">
      <c r="A25" s="147" t="inlineStr">
        <is>
          <t>relationship</t>
        </is>
      </c>
      <c r="B25" s="147" t="n">
        <v>7</v>
      </c>
      <c r="C25" s="150" t="inlineStr">
        <is>
          <t>Legal Guardian (non-relative)</t>
        </is>
      </c>
      <c r="D25" s="147" t="n"/>
      <c r="E25" s="147" t="n"/>
      <c r="F25" s="121" t="n"/>
      <c r="G25" s="121" t="n"/>
      <c r="H25" s="121" t="n"/>
    </row>
    <row r="26">
      <c r="A26" s="147" t="inlineStr">
        <is>
          <t>relationship</t>
        </is>
      </c>
      <c r="B26" s="147" t="n">
        <v>8</v>
      </c>
      <c r="C26" s="150" t="inlineStr">
        <is>
          <t>Other relative</t>
        </is>
      </c>
      <c r="D26" s="147" t="n"/>
      <c r="E26" s="147" t="n"/>
      <c r="F26" s="121" t="n"/>
      <c r="G26" s="121" t="n"/>
      <c r="H26" s="121" t="n"/>
    </row>
    <row r="27">
      <c r="A27" s="147" t="inlineStr">
        <is>
          <t>relationship</t>
        </is>
      </c>
      <c r="B27" s="147" t="n">
        <v>9</v>
      </c>
      <c r="C27" s="150" t="inlineStr">
        <is>
          <t>Other non-relative</t>
        </is>
      </c>
      <c r="D27" s="147" t="n"/>
      <c r="E27" s="147" t="n"/>
      <c r="F27" s="121" t="n"/>
      <c r="G27" s="121" t="n"/>
      <c r="H27" s="121" t="n"/>
    </row>
    <row r="28">
      <c r="A28" s="147" t="inlineStr">
        <is>
          <t>week</t>
        </is>
      </c>
      <c r="B28" s="147" t="n">
        <v>1</v>
      </c>
      <c r="C28" s="150" t="inlineStr">
        <is>
          <t>Week 1: 13 - 19 October</t>
        </is>
      </c>
      <c r="D28" s="147" t="n"/>
      <c r="E28" s="147" t="n"/>
      <c r="F28" s="121" t="n"/>
      <c r="G28" s="121" t="n"/>
      <c r="H28" s="121" t="n"/>
    </row>
    <row r="29">
      <c r="A29" s="147" t="inlineStr">
        <is>
          <t>week</t>
        </is>
      </c>
      <c r="B29" s="147" t="n">
        <v>2</v>
      </c>
      <c r="C29" s="150" t="inlineStr">
        <is>
          <t>Week 2: 20 - 26 October</t>
        </is>
      </c>
      <c r="D29" s="147" t="n"/>
      <c r="E29" s="147" t="n"/>
      <c r="F29" s="121" t="n"/>
      <c r="G29" s="121" t="n"/>
      <c r="H29" s="121" t="n"/>
    </row>
    <row r="30">
      <c r="A30" s="147" t="inlineStr">
        <is>
          <t>week</t>
        </is>
      </c>
      <c r="B30" s="147" t="n">
        <v>3</v>
      </c>
      <c r="C30" s="150" t="inlineStr">
        <is>
          <t xml:space="preserve">Week 3: 27 October - 2 November </t>
        </is>
      </c>
      <c r="D30" s="121" t="n"/>
      <c r="E30" s="121" t="n"/>
      <c r="F30" s="121" t="n"/>
      <c r="G30" s="121" t="n"/>
      <c r="H30" s="121" t="n"/>
    </row>
    <row r="31">
      <c r="A31" s="147" t="inlineStr">
        <is>
          <t>week</t>
        </is>
      </c>
      <c r="B31" s="147" t="n">
        <v>4</v>
      </c>
      <c r="C31" s="150" t="inlineStr">
        <is>
          <t>Week 4: 3 - 9 November</t>
        </is>
      </c>
      <c r="D31" s="121" t="n"/>
      <c r="E31" s="121" t="n"/>
      <c r="F31" s="121" t="n"/>
      <c r="G31" s="121" t="n"/>
      <c r="H31" s="121" t="n"/>
    </row>
    <row r="32">
      <c r="A32" s="147" t="inlineStr">
        <is>
          <t>week</t>
        </is>
      </c>
      <c r="B32" s="147" t="n">
        <v>5</v>
      </c>
      <c r="C32" s="150" t="inlineStr">
        <is>
          <t>Week 5: 10 - 16 November</t>
        </is>
      </c>
      <c r="D32" s="121" t="n"/>
      <c r="E32" s="121" t="n"/>
      <c r="F32" s="121" t="n"/>
      <c r="G32" s="121" t="n"/>
      <c r="H32" s="121" t="n"/>
    </row>
    <row r="33">
      <c r="A33" s="147" t="inlineStr">
        <is>
          <t>week</t>
        </is>
      </c>
      <c r="B33" s="147" t="n">
        <v>6</v>
      </c>
      <c r="C33" s="150" t="inlineStr">
        <is>
          <t>Week 6: 17 - 23 November</t>
        </is>
      </c>
      <c r="D33" s="121" t="n"/>
      <c r="E33" s="121" t="n"/>
      <c r="F33" s="121" t="n"/>
      <c r="G33" s="121" t="n"/>
      <c r="H33" s="121" t="n"/>
    </row>
    <row r="34">
      <c r="A34" s="147" t="inlineStr">
        <is>
          <t>consent</t>
        </is>
      </c>
      <c r="B34" s="147" t="n">
        <v>1</v>
      </c>
      <c r="C34" s="150" t="inlineStr">
        <is>
          <t>Yes</t>
        </is>
      </c>
      <c r="D34" s="121" t="n"/>
      <c r="E34" s="121" t="n"/>
      <c r="F34" s="121" t="n"/>
      <c r="G34" s="121" t="n"/>
      <c r="H34" s="121" t="n"/>
    </row>
    <row r="35">
      <c r="A35" s="147" t="inlineStr">
        <is>
          <t>consent</t>
        </is>
      </c>
      <c r="B35" s="147" t="n">
        <v>0</v>
      </c>
      <c r="C35" s="150" t="inlineStr">
        <is>
          <t>No</t>
        </is>
      </c>
      <c r="D35" s="121" t="n"/>
      <c r="E35" s="121" t="n"/>
      <c r="F35" s="121" t="n"/>
      <c r="G35" s="121" t="n"/>
      <c r="H35" s="121" t="n"/>
    </row>
    <row r="36">
      <c r="A36" s="137" t="inlineStr">
        <is>
          <t>consent</t>
        </is>
      </c>
      <c r="B36" s="137" t="n">
        <v>-99</v>
      </c>
      <c r="C36" s="138" t="inlineStr">
        <is>
          <t>Caregiver no longer wants to participate</t>
        </is>
      </c>
      <c r="D36" s="137" t="n"/>
      <c r="E36" s="137" t="n"/>
      <c r="F36" s="139" t="n"/>
      <c r="G36" s="139" t="n"/>
      <c r="H36" s="139" t="n"/>
    </row>
    <row r="37">
      <c r="A37" s="147" t="inlineStr">
        <is>
          <t>noconsent</t>
        </is>
      </c>
      <c r="B37" s="147" t="n">
        <v>1</v>
      </c>
      <c r="C37" s="150" t="inlineStr">
        <is>
          <t xml:space="preserve">Caregiver does not have time </t>
        </is>
      </c>
      <c r="D37" s="147" t="n"/>
      <c r="E37" s="147" t="n"/>
      <c r="F37" s="121" t="n"/>
      <c r="G37" s="121" t="n"/>
      <c r="H37" s="121" t="n"/>
    </row>
    <row r="38">
      <c r="A38" s="147" t="inlineStr">
        <is>
          <t>noconsent</t>
        </is>
      </c>
      <c r="B38" s="147" t="n">
        <v>2</v>
      </c>
      <c r="C38" s="150" t="inlineStr">
        <is>
          <t>Caregiver is not with the child most of the time.</t>
        </is>
      </c>
      <c r="D38" s="147" t="n"/>
      <c r="E38" s="147" t="n"/>
      <c r="F38" s="121" t="n"/>
      <c r="G38" s="121" t="n"/>
      <c r="H38" s="121" t="n"/>
    </row>
    <row r="39">
      <c r="A39" s="147" t="inlineStr">
        <is>
          <t>noconsent</t>
        </is>
      </c>
      <c r="B39" s="147" t="n">
        <v>3</v>
      </c>
      <c r="C39" s="150" t="inlineStr">
        <is>
          <t>Caregiver does not have a cellphone</t>
        </is>
      </c>
      <c r="D39" s="147" t="n"/>
      <c r="E39" s="147" t="n"/>
      <c r="F39" s="121" t="n"/>
      <c r="G39" s="121" t="n"/>
      <c r="H39" s="121" t="n"/>
    </row>
    <row r="40">
      <c r="A40" s="147" t="inlineStr">
        <is>
          <t>noconsent</t>
        </is>
      </c>
      <c r="B40" s="147" t="n">
        <v>4</v>
      </c>
      <c r="C40" s="150" t="inlineStr">
        <is>
          <t>Child does not want to participate</t>
        </is>
      </c>
      <c r="D40" s="147" t="n"/>
      <c r="E40" s="147" t="n"/>
      <c r="F40" s="121" t="n"/>
      <c r="G40" s="121" t="n"/>
      <c r="H40" s="121" t="n"/>
    </row>
    <row r="41">
      <c r="A41" s="147" t="inlineStr">
        <is>
          <t>noconsent</t>
        </is>
      </c>
      <c r="B41" s="147" t="n">
        <v>5</v>
      </c>
      <c r="C41" s="150" t="inlineStr">
        <is>
          <t>The caregiver did not share a reason.</t>
        </is>
      </c>
      <c r="D41" s="147" t="n"/>
      <c r="E41" s="147" t="n"/>
      <c r="F41" s="121" t="n"/>
      <c r="G41" s="121" t="n"/>
      <c r="H41" s="121" t="n"/>
    </row>
    <row r="42">
      <c r="A42" s="147" t="inlineStr">
        <is>
          <t>noconsent</t>
        </is>
      </c>
      <c r="B42" s="147" t="n">
        <v>6</v>
      </c>
      <c r="C42" s="150" t="inlineStr">
        <is>
          <t>Other (specify):</t>
        </is>
      </c>
      <c r="D42" s="147" t="n"/>
      <c r="E42" s="147" t="n"/>
      <c r="F42" s="121" t="n"/>
      <c r="G42" s="121" t="n"/>
      <c r="H42" s="121" t="n"/>
    </row>
    <row r="43">
      <c r="A43" s="145" t="inlineStr">
        <is>
          <t>levelling</t>
        </is>
      </c>
      <c r="B43" s="145" t="n">
        <v>1</v>
      </c>
      <c r="C43" s="146" t="inlineStr">
        <is>
          <t>Yes</t>
        </is>
      </c>
      <c r="D43" s="145" t="n"/>
      <c r="E43" s="145" t="n"/>
      <c r="F43" s="121" t="n"/>
      <c r="G43" s="121" t="n"/>
      <c r="H43" s="121" t="n"/>
    </row>
    <row r="44">
      <c r="A44" s="145" t="inlineStr">
        <is>
          <t>levelling</t>
        </is>
      </c>
      <c r="B44" s="145" t="n">
        <v>2</v>
      </c>
      <c r="C44" s="146" t="inlineStr">
        <is>
          <t>Yes, but the child was counting to answer</t>
        </is>
      </c>
      <c r="D44" s="145" t="n"/>
      <c r="E44" s="145" t="n"/>
      <c r="F44" s="121" t="n"/>
      <c r="G44" s="121" t="n"/>
      <c r="H44" s="121" t="n"/>
    </row>
    <row r="45">
      <c r="A45" s="147" t="inlineStr">
        <is>
          <t>levelling</t>
        </is>
      </c>
      <c r="B45" s="147" t="n">
        <v>-88</v>
      </c>
      <c r="C45" s="150" t="inlineStr">
        <is>
          <t>Yes, but someone else seems to be helping</t>
        </is>
      </c>
      <c r="D45" s="121" t="n"/>
      <c r="E45" s="121" t="n"/>
      <c r="F45" s="121" t="n"/>
      <c r="G45" s="121" t="n"/>
      <c r="H45" s="121" t="n"/>
    </row>
    <row r="46">
      <c r="A46" s="147" t="inlineStr">
        <is>
          <t>levelling</t>
        </is>
      </c>
      <c r="B46" s="147" t="n">
        <v>0</v>
      </c>
      <c r="C46" s="150" t="inlineStr">
        <is>
          <t>No</t>
        </is>
      </c>
      <c r="D46" s="121" t="n"/>
      <c r="E46" s="121" t="n"/>
      <c r="F46" s="121" t="n"/>
      <c r="G46" s="121" t="n"/>
      <c r="H46" s="121" t="n"/>
    </row>
    <row r="47">
      <c r="A47" s="147" t="inlineStr">
        <is>
          <t>levelling</t>
        </is>
      </c>
      <c r="B47" s="147" t="n">
        <v>-99</v>
      </c>
      <c r="C47" s="150" t="inlineStr">
        <is>
          <t>Child refused to answer or finished call early</t>
        </is>
      </c>
      <c r="D47" s="121" t="n"/>
      <c r="E47" s="121" t="n"/>
      <c r="F47" s="121" t="n"/>
      <c r="G47" s="121" t="n"/>
      <c r="H47" s="121" t="n"/>
    </row>
    <row r="48">
      <c r="A48" s="152" t="inlineStr">
        <is>
          <t>disruption</t>
        </is>
      </c>
      <c r="B48" s="147" t="n">
        <v>0</v>
      </c>
      <c r="C48" s="150" t="inlineStr">
        <is>
          <t>No disruptions occurred</t>
        </is>
      </c>
      <c r="D48" s="147" t="n"/>
      <c r="E48" s="147" t="n"/>
      <c r="F48" s="121" t="n"/>
      <c r="G48" s="121" t="n"/>
      <c r="H48" s="121" t="n"/>
    </row>
    <row r="49" ht="17" customHeight="1">
      <c r="A49" s="152" t="inlineStr">
        <is>
          <t>disruption</t>
        </is>
      </c>
      <c r="B49" s="149" t="n">
        <v>1</v>
      </c>
      <c r="C49" s="153" t="inlineStr">
        <is>
          <t>Flooding</t>
        </is>
      </c>
      <c r="D49" s="145" t="n"/>
      <c r="E49" s="145" t="n"/>
      <c r="F49" s="121" t="n"/>
      <c r="G49" s="121" t="n"/>
      <c r="H49" s="121" t="n"/>
    </row>
    <row r="50">
      <c r="A50" s="152" t="inlineStr">
        <is>
          <t>disruption</t>
        </is>
      </c>
      <c r="B50" s="147" t="n">
        <v>2</v>
      </c>
      <c r="C50" s="150" t="inlineStr">
        <is>
          <t>Typhoon</t>
        </is>
      </c>
      <c r="D50" s="121" t="n"/>
      <c r="E50" s="121" t="n"/>
      <c r="F50" s="121" t="n"/>
      <c r="G50" s="121" t="n"/>
      <c r="H50" s="121" t="n"/>
    </row>
    <row r="51">
      <c r="A51" s="152" t="inlineStr">
        <is>
          <t>disruption</t>
        </is>
      </c>
      <c r="B51" s="147" t="n">
        <v>3</v>
      </c>
      <c r="C51" s="150" t="inlineStr">
        <is>
          <t>Earthquakes</t>
        </is>
      </c>
      <c r="D51" s="121" t="n"/>
      <c r="E51" s="121" t="n"/>
      <c r="F51" s="121" t="n"/>
      <c r="G51" s="121" t="n"/>
      <c r="H51" s="121" t="n"/>
    </row>
    <row r="52">
      <c r="A52" s="152" t="inlineStr">
        <is>
          <t>disruption</t>
        </is>
      </c>
      <c r="B52" s="147" t="n">
        <v>4</v>
      </c>
      <c r="C52" s="150" t="inlineStr">
        <is>
          <t>Landslides</t>
        </is>
      </c>
      <c r="D52" s="121" t="n"/>
      <c r="E52" s="121" t="n"/>
      <c r="F52" s="121" t="n"/>
      <c r="G52" s="121" t="n"/>
      <c r="H52" s="121" t="n"/>
    </row>
    <row r="53" ht="17" customHeight="1">
      <c r="A53" s="152" t="inlineStr">
        <is>
          <t>disruption</t>
        </is>
      </c>
      <c r="B53" s="145" t="n">
        <v>5</v>
      </c>
      <c r="C53" s="153" t="inlineStr">
        <is>
          <t>Health-related issues (illness, medical emergencies, etc)</t>
        </is>
      </c>
      <c r="D53" s="147" t="n"/>
      <c r="E53" s="147" t="n"/>
      <c r="F53" s="121" t="n"/>
      <c r="G53" s="121" t="n"/>
      <c r="H53" s="121" t="n"/>
    </row>
    <row r="54">
      <c r="A54" s="152" t="inlineStr">
        <is>
          <t>disruption</t>
        </is>
      </c>
      <c r="B54" s="147" t="n">
        <v>6</v>
      </c>
      <c r="C54" s="150" t="inlineStr">
        <is>
          <t>School closures (strikes, lack of teachers, maintenance, etc)</t>
        </is>
      </c>
      <c r="D54" s="147" t="n"/>
      <c r="E54" s="147" t="n"/>
      <c r="F54" s="121" t="n"/>
      <c r="G54" s="121" t="n"/>
      <c r="H54" s="121" t="n"/>
    </row>
    <row r="55">
      <c r="A55" s="152" t="inlineStr">
        <is>
          <t>disruption</t>
        </is>
      </c>
      <c r="B55" s="147" t="n">
        <v>7</v>
      </c>
      <c r="C55" s="150" t="inlineStr">
        <is>
          <t>Conflict or community tensions</t>
        </is>
      </c>
      <c r="D55" s="147" t="n"/>
      <c r="E55" s="147" t="n"/>
      <c r="F55" s="121" t="n"/>
      <c r="G55" s="121" t="n"/>
      <c r="H55" s="121" t="n"/>
    </row>
    <row r="56">
      <c r="A56" s="148" t="inlineStr">
        <is>
          <t>calltech</t>
        </is>
      </c>
      <c r="B56" s="147" t="n">
        <v>1</v>
      </c>
      <c r="C56" s="150" t="inlineStr">
        <is>
          <t>Regular phone call</t>
        </is>
      </c>
      <c r="D56" s="147" t="n"/>
      <c r="E56" s="147" t="n"/>
      <c r="F56" s="121" t="n"/>
      <c r="G56" s="121" t="n"/>
      <c r="H56" s="121" t="n"/>
    </row>
    <row r="57">
      <c r="A57" s="148" t="inlineStr">
        <is>
          <t>calltech</t>
        </is>
      </c>
      <c r="B57" s="147" t="n">
        <v>2</v>
      </c>
      <c r="C57" s="150" t="inlineStr">
        <is>
          <t>Call through facebook messenger</t>
        </is>
      </c>
      <c r="D57" s="147" t="n"/>
      <c r="E57" s="147" t="n"/>
      <c r="F57" s="121" t="n"/>
      <c r="G57" s="121" t="n"/>
      <c r="H57" s="121" t="n"/>
    </row>
    <row r="58">
      <c r="A58" s="148" t="inlineStr">
        <is>
          <t>calltech</t>
        </is>
      </c>
      <c r="B58" s="147" t="n">
        <v>3</v>
      </c>
      <c r="C58" s="150" t="inlineStr">
        <is>
          <t>Another way, please specify</t>
        </is>
      </c>
      <c r="D58" s="147" t="n"/>
      <c r="E58" s="147" t="n"/>
      <c r="F58" s="121" t="n"/>
      <c r="G58" s="121" t="n"/>
      <c r="H58" s="121" t="n"/>
    </row>
    <row r="59">
      <c r="A59" s="147" t="inlineStr">
        <is>
          <t>status</t>
        </is>
      </c>
      <c r="B59" s="147" t="n">
        <v>1</v>
      </c>
      <c r="C59" s="150" t="inlineStr">
        <is>
          <t>Student tutored</t>
        </is>
      </c>
      <c r="D59" s="121" t="n"/>
      <c r="E59" s="121" t="n"/>
      <c r="F59" s="121" t="n"/>
      <c r="G59" s="121" t="n"/>
      <c r="H59" s="121" t="n"/>
    </row>
    <row r="60">
      <c r="A60" s="147" t="inlineStr">
        <is>
          <t>status</t>
        </is>
      </c>
      <c r="B60" s="147" t="n">
        <v>2</v>
      </c>
      <c r="C60" s="150" t="inlineStr">
        <is>
          <t>Call re-scheduled</t>
        </is>
      </c>
      <c r="D60" s="121" t="n"/>
      <c r="E60" s="121" t="n"/>
      <c r="F60" s="121" t="n"/>
      <c r="G60" s="121" t="n"/>
      <c r="H60" s="121" t="n"/>
    </row>
    <row r="61">
      <c r="A61" s="147" t="inlineStr">
        <is>
          <t>status</t>
        </is>
      </c>
      <c r="B61" s="147" t="n">
        <v>3</v>
      </c>
      <c r="C61" s="150" t="inlineStr">
        <is>
          <t>Call not answered</t>
        </is>
      </c>
      <c r="D61" s="121" t="n"/>
      <c r="E61" s="121" t="n"/>
      <c r="F61" s="121" t="n"/>
      <c r="G61" s="121" t="n"/>
      <c r="H61" s="121" t="n"/>
    </row>
    <row r="62">
      <c r="A62" s="147" t="inlineStr">
        <is>
          <t>status</t>
        </is>
      </c>
      <c r="B62" s="147" t="n">
        <v>4</v>
      </c>
      <c r="C62" s="150" t="inlineStr">
        <is>
          <t>Caregiver no longer wants to participate</t>
        </is>
      </c>
      <c r="D62" s="121" t="n"/>
      <c r="E62" s="121" t="n"/>
      <c r="F62" s="121" t="n"/>
      <c r="G62" s="121" t="n"/>
      <c r="H62" s="121" t="n"/>
    </row>
    <row r="63">
      <c r="A63" s="147" t="inlineStr">
        <is>
          <t>status</t>
        </is>
      </c>
      <c r="B63" s="147" t="n">
        <v>5</v>
      </c>
      <c r="C63" s="150" t="inlineStr">
        <is>
          <t>Wrong number</t>
        </is>
      </c>
      <c r="D63" s="121" t="n"/>
      <c r="E63" s="121" t="n"/>
      <c r="F63" s="121" t="n"/>
      <c r="G63" s="121" t="n"/>
      <c r="H63" s="121" t="n"/>
    </row>
    <row r="64">
      <c r="A64" s="147" t="inlineStr">
        <is>
          <t>operation</t>
        </is>
      </c>
      <c r="B64" s="147" t="n">
        <v>1</v>
      </c>
      <c r="C64" s="150" t="inlineStr">
        <is>
          <t>Addition</t>
        </is>
      </c>
      <c r="D64" s="121" t="n"/>
      <c r="E64" s="121" t="n"/>
      <c r="F64" s="121" t="n"/>
      <c r="G64" s="121" t="n"/>
      <c r="H64" s="121" t="n"/>
    </row>
    <row r="65">
      <c r="A65" s="147" t="inlineStr">
        <is>
          <t>operation</t>
        </is>
      </c>
      <c r="B65" s="147" t="n">
        <v>2</v>
      </c>
      <c r="C65" s="150" t="inlineStr">
        <is>
          <t>Subtraction</t>
        </is>
      </c>
      <c r="D65" s="121" t="n"/>
      <c r="E65" s="121" t="n"/>
      <c r="F65" s="121" t="n"/>
      <c r="G65" s="121" t="n"/>
      <c r="H65" s="121" t="n"/>
    </row>
    <row r="66">
      <c r="A66" s="147" t="inlineStr">
        <is>
          <t>operation</t>
        </is>
      </c>
      <c r="B66" s="147" t="n">
        <v>3</v>
      </c>
      <c r="C66" s="150" t="inlineStr">
        <is>
          <t>Multiplication</t>
        </is>
      </c>
      <c r="D66" s="121" t="n"/>
      <c r="E66" s="121" t="n"/>
      <c r="F66" s="121" t="n"/>
      <c r="G66" s="121" t="n"/>
      <c r="H66" s="121" t="n"/>
    </row>
    <row r="67">
      <c r="A67" s="147" t="inlineStr">
        <is>
          <t>operation</t>
        </is>
      </c>
      <c r="B67" s="147" t="n">
        <v>4</v>
      </c>
      <c r="C67" s="150" t="inlineStr">
        <is>
          <t>Division</t>
        </is>
      </c>
      <c r="D67" s="121" t="n"/>
      <c r="E67" s="121" t="n"/>
      <c r="F67" s="121" t="n"/>
      <c r="G67" s="121" t="n"/>
      <c r="H67" s="121" t="n"/>
    </row>
    <row r="68">
      <c r="A68" s="147" t="inlineStr">
        <is>
          <t>phone_owner</t>
        </is>
      </c>
      <c r="B68" s="147" t="n">
        <v>1</v>
      </c>
      <c r="C68" s="150" t="inlineStr">
        <is>
          <t>Caregiver (&lt;font color="#14b14b"&gt;&lt;b&gt;&lt;u&gt;${care_name_i}&lt;/u&gt;&lt;/b&gt;&lt;/font&gt;)</t>
        </is>
      </c>
      <c r="D68" s="147" t="n"/>
      <c r="E68" s="147" t="n"/>
      <c r="F68" s="121" t="n"/>
      <c r="G68" s="121" t="n"/>
      <c r="H68" s="121" t="n"/>
    </row>
    <row r="69">
      <c r="A69" s="147" t="inlineStr">
        <is>
          <t>phone_owner</t>
        </is>
      </c>
      <c r="B69" s="147" t="n">
        <v>2</v>
      </c>
      <c r="C69" s="150" t="inlineStr">
        <is>
          <t>Someone else</t>
        </is>
      </c>
      <c r="D69" s="147" t="n"/>
      <c r="E69" s="147" t="n"/>
      <c r="F69" s="121" t="n"/>
      <c r="G69" s="121" t="n"/>
      <c r="H69" s="121" t="n"/>
    </row>
    <row r="70">
      <c r="A70" s="147" t="inlineStr">
        <is>
          <t>reason</t>
        </is>
      </c>
      <c r="B70" s="147" t="n">
        <v>1</v>
      </c>
      <c r="C70" s="150" t="inlineStr">
        <is>
          <t>There was no tutoring in Week ${suggest_week}</t>
        </is>
      </c>
      <c r="D70" s="121" t="n"/>
      <c r="E70" s="121" t="n"/>
      <c r="F70" s="121" t="n"/>
      <c r="G70" s="121" t="n"/>
      <c r="H70" s="121" t="n"/>
    </row>
    <row r="71">
      <c r="A71" s="147" t="inlineStr">
        <is>
          <t>reason</t>
        </is>
      </c>
      <c r="B71" s="147" t="n">
        <v>2</v>
      </c>
      <c r="C71" s="150" t="inlineStr">
        <is>
          <t>Mistake (wrong choice)</t>
        </is>
      </c>
      <c r="D71" s="121" t="n"/>
      <c r="E71" s="121" t="n"/>
      <c r="F71" s="121" t="n"/>
      <c r="G71" s="121" t="n"/>
      <c r="H71" s="121" t="n"/>
    </row>
  </sheetData>
  <conditionalFormatting sqref="A5:B7 A11:H19 A21:H33 A35:A36 A46:H47 B35:H35 B55:H58 D5:H7">
    <cfRule type="expression" priority="48" dxfId="118">
      <formula>NOT($A5=$A4)</formula>
    </cfRule>
  </conditionalFormatting>
  <conditionalFormatting sqref="A8:B8 A45:H45 D8:H8">
    <cfRule type="expression" priority="6600" dxfId="118">
      <formula>NOT($A8=$A6)</formula>
    </cfRule>
  </conditionalFormatting>
  <conditionalFormatting sqref="A9:B9 D9:H9">
    <cfRule type="expression" priority="6598" dxfId="118">
      <formula>NOT($A9=$A6)</formula>
    </cfRule>
  </conditionalFormatting>
  <conditionalFormatting sqref="A2:H4 A48:A58">
    <cfRule type="expression" priority="42" dxfId="118">
      <formula>NOT($A2=#REF!)</formula>
    </cfRule>
  </conditionalFormatting>
  <conditionalFormatting sqref="A10:H10">
    <cfRule type="expression" priority="46" dxfId="118">
      <formula>NOT($A10=$A5)</formula>
    </cfRule>
  </conditionalFormatting>
  <conditionalFormatting sqref="A20:H20">
    <cfRule type="expression" priority="6321" dxfId="118">
      <formula>NOT($A20=#REF!)</formula>
    </cfRule>
  </conditionalFormatting>
  <conditionalFormatting sqref="A34:H34">
    <cfRule type="expression" priority="7908" dxfId="118">
      <formula>NOT($A34=#REF!)</formula>
    </cfRule>
  </conditionalFormatting>
  <conditionalFormatting sqref="A37:H41">
    <cfRule type="expression" priority="40" dxfId="118">
      <formula>NOT($A37=$A36)</formula>
    </cfRule>
  </conditionalFormatting>
  <conditionalFormatting sqref="A42:H42">
    <cfRule type="expression" priority="39" dxfId="118">
      <formula>NOT($A42=$A40)</formula>
    </cfRule>
  </conditionalFormatting>
  <conditionalFormatting sqref="A43:H44 A60:H60">
    <cfRule type="expression" priority="6596" dxfId="118">
      <formula>NOT($A43=#REF!)</formula>
    </cfRule>
  </conditionalFormatting>
  <conditionalFormatting sqref="A59:H59">
    <cfRule type="expression" priority="7994" dxfId="118">
      <formula>NOT($A59=$A47)</formula>
    </cfRule>
  </conditionalFormatting>
  <conditionalFormatting sqref="A61:H1989">
    <cfRule type="expression" priority="43" dxfId="118">
      <formula>NOT($A61=$A60)</formula>
    </cfRule>
  </conditionalFormatting>
  <conditionalFormatting sqref="B49 B54:H54 D49:H49 D53:H53">
    <cfRule type="expression" priority="37" dxfId="118">
      <formula>NOT($A49=#REF!)</formula>
    </cfRule>
  </conditionalFormatting>
  <conditionalFormatting sqref="B53">
    <cfRule type="expression" priority="38" dxfId="118">
      <formula>NOT($A53=#REF!)</formula>
    </cfRule>
  </conditionalFormatting>
  <conditionalFormatting sqref="B36:H36">
    <cfRule type="expression" priority="5040" dxfId="118">
      <formula>NOT($A36=#REF!)</formula>
    </cfRule>
  </conditionalFormatting>
  <conditionalFormatting sqref="B48:H48">
    <cfRule type="expression" priority="7987" dxfId="118">
      <formula>NOT($A48=$A55)</formula>
    </cfRule>
  </conditionalFormatting>
  <conditionalFormatting sqref="C5:C9">
    <cfRule type="expression" priority="44" dxfId="118">
      <formula>NOT($A5=#REF!)</formula>
    </cfRule>
  </conditionalFormatting>
  <conditionalFormatting sqref="C49 C53">
    <cfRule type="expression" priority="28" dxfId="5" stopIfTrue="1">
      <formula>$A49="integer"</formula>
    </cfRule>
    <cfRule type="expression" priority="2" dxfId="116" stopIfTrue="1">
      <formula>$A49="file"</formula>
    </cfRule>
    <cfRule type="expression" priority="21" dxfId="8" stopIfTrue="1">
      <formula>OR($A49="audio audit", $A49="text audit", $A49="speed violations count", $A49="speed violations list", $A49="speed violations audit")</formula>
    </cfRule>
    <cfRule type="expression" priority="22" dxfId="0" stopIfTrue="1">
      <formula>OR($A49="username", $A49="phonenumber", $A49="start", $A49="end", $A49="deviceid", $A49="subscriberid", $A49="simserial", $A49="caseid")</formula>
    </cfRule>
    <cfRule type="expression" priority="23" dxfId="46" stopIfTrue="1">
      <formula>OR(AND(LEFT($A49, 16)="select_multiple ", LEN($A49)&gt;16, NOT(ISNUMBER(SEARCH(" ", $A49, 17)))), AND(LEFT($A49, 11)="select_one ", LEN($A49)&gt;11, NOT(ISNUMBER(SEARCH(" ", $A49, 12)))))</formula>
    </cfRule>
    <cfRule type="expression" priority="24" dxfId="7" stopIfTrue="1">
      <formula>OR(AND(LEFT($A49, 16)="select_multiple ", LEN($A49)&gt;16, NOT(ISNUMBER(SEARCH(" ", $A49, 17)))), AND(LEFT($A49, 11)="select_one ", LEN($A49)&gt;11, NOT(ISNUMBER(SEARCH(" ", $A49, 12)))))</formula>
    </cfRule>
    <cfRule type="expression" priority="25" dxfId="40" stopIfTrue="1">
      <formula>$A49="decimal"</formula>
    </cfRule>
    <cfRule type="expression" priority="26" dxfId="6" stopIfTrue="1">
      <formula>$A49="decimal"</formula>
    </cfRule>
    <cfRule type="expression" priority="27" dxfId="36" stopIfTrue="1">
      <formula>$A49="integer"</formula>
    </cfRule>
    <cfRule type="expression" priority="19" dxfId="44" stopIfTrue="1">
      <formula>OR($A49="geopoint", $A49="geoshape", $A49="geotrace")</formula>
    </cfRule>
    <cfRule type="expression" priority="29" dxfId="52" stopIfTrue="1">
      <formula>$A49="text"</formula>
    </cfRule>
    <cfRule type="expression" priority="30" dxfId="4" stopIfTrue="1">
      <formula>$A49="text"</formula>
    </cfRule>
    <cfRule type="expression" priority="31" dxfId="2" stopIfTrue="1">
      <formula>$A49="end repeat"</formula>
    </cfRule>
    <cfRule type="expression" priority="32" dxfId="41" stopIfTrue="1">
      <formula>$A49="begin repeat"</formula>
    </cfRule>
    <cfRule type="expression" priority="33" dxfId="2" stopIfTrue="1">
      <formula>$A49="begin repeat"</formula>
    </cfRule>
    <cfRule type="expression" priority="34" dxfId="1" stopIfTrue="1">
      <formula>$A49="end group"</formula>
    </cfRule>
    <cfRule type="expression" priority="35" dxfId="47" stopIfTrue="1">
      <formula>$A49="begin group"</formula>
    </cfRule>
    <cfRule type="expression" priority="36" dxfId="1" stopIfTrue="1">
      <formula>$A49="begin group"</formula>
    </cfRule>
    <cfRule type="expression" priority="18" dxfId="10" stopIfTrue="1">
      <formula>$A49="barcode"</formula>
    </cfRule>
    <cfRule type="expression" priority="17" dxfId="43" stopIfTrue="1">
      <formula>$A49="barcode"</formula>
    </cfRule>
    <cfRule type="expression" priority="16" dxfId="12" stopIfTrue="1">
      <formula>$A49="note"</formula>
    </cfRule>
    <cfRule type="expression" priority="15" dxfId="42" stopIfTrue="1">
      <formula>$A49="note"</formula>
    </cfRule>
    <cfRule type="expression" priority="14" dxfId="11" stopIfTrue="1">
      <formula>OR($A49="calculate", $A49="calculate_here")</formula>
    </cfRule>
    <cfRule type="expression" priority="13" dxfId="21" stopIfTrue="1">
      <formula>OR($A49="date", $A49="datetime", $A49="time")</formula>
    </cfRule>
    <cfRule type="expression" priority="12" dxfId="49" stopIfTrue="1">
      <formula>OR($A49="date", $A49="datetime", $A49="time")</formula>
    </cfRule>
    <cfRule type="expression" priority="11" dxfId="22" stopIfTrue="1">
      <formula>$A49="image"</formula>
    </cfRule>
    <cfRule type="expression" priority="10" dxfId="48" stopIfTrue="1">
      <formula>$A49="image"</formula>
    </cfRule>
    <cfRule type="expression" priority="9" dxfId="23" stopIfTrue="1">
      <formula>OR($A49="audio", $A49="video")</formula>
    </cfRule>
    <cfRule type="expression" priority="8" dxfId="45" stopIfTrue="1">
      <formula>OR($A49="audio", $A49="video")</formula>
    </cfRule>
    <cfRule type="expression" priority="7" dxfId="24" stopIfTrue="1">
      <formula>$A49="comments"</formula>
    </cfRule>
    <cfRule type="expression" priority="6" dxfId="87" stopIfTrue="1">
      <formula>OR(AND(LEFT($A49, 14)="sensor_stream ", LEN($A49)&gt;14, NOT(ISNUMBER(SEARCH(" ", $A49, 15)))), AND(LEFT($A49, 17)="sensor_statistic ", LEN($A49)&gt;17, NOT(ISNUMBER(SEARCH(" ", $A49, 18)))))</formula>
    </cfRule>
    <cfRule type="expression" priority="5" dxfId="86" stopIfTrue="1">
      <formula>$A49="enumerator"</formula>
    </cfRule>
    <cfRule type="expression" priority="4" dxfId="85" stopIfTrue="1">
      <formula>$A49="enumerator"</formula>
    </cfRule>
    <cfRule type="expression" priority="3" dxfId="84" stopIfTrue="1">
      <formula>$A49="file"</formula>
    </cfRule>
    <cfRule type="expression" priority="20" dxfId="9" stopIfTrue="1">
      <formula>OR($A49="geopoint", $A49="geoshape", $A49="geotrace")</formula>
    </cfRule>
  </conditionalFormatting>
  <pageMargins left="0.7479166666666667" right="0.7479166666666667" top="0.9840277777777777" bottom="0.9840277777777777" header="0.5118055555555555" footer="0.5118055555555555"/>
  <pageSetup orientation="portrait" firstPageNumber="0" horizontalDpi="300" verticalDpi="300"/>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3" sqref="A3"/>
    </sheetView>
  </sheetViews>
  <sheetFormatPr baseColWidth="10" defaultColWidth="8.83203125" defaultRowHeight="16"/>
  <cols>
    <col width="32" customWidth="1" min="1" max="1"/>
    <col width="26" bestFit="1" customWidth="1" min="2" max="2"/>
    <col width="12" bestFit="1" customWidth="1" min="3" max="3"/>
    <col width="12" customWidth="1" min="4" max="4"/>
    <col width="14" bestFit="1" customWidth="1" min="5" max="5"/>
    <col width="16" bestFit="1" customWidth="1" min="6" max="6"/>
    <col width="18" customWidth="1" min="7" max="7"/>
    <col width="18" customWidth="1" min="8" max="8"/>
  </cols>
  <sheetData>
    <row r="1" ht="20" customFormat="1" customHeight="1" s="3">
      <c r="A1" s="134" t="inlineStr">
        <is>
          <t>form_title</t>
        </is>
      </c>
      <c r="B1" s="134" t="inlineStr">
        <is>
          <t>form_id</t>
        </is>
      </c>
      <c r="C1" s="135" t="inlineStr">
        <is>
          <t>version</t>
        </is>
      </c>
      <c r="D1" s="134" t="inlineStr">
        <is>
          <t>public_key</t>
        </is>
      </c>
      <c r="E1" s="134" t="inlineStr">
        <is>
          <t>submission_url</t>
        </is>
      </c>
      <c r="F1" s="134" t="inlineStr">
        <is>
          <t>default_language</t>
        </is>
      </c>
      <c r="G1" s="136" t="n"/>
      <c r="H1" s="136" t="n"/>
    </row>
    <row r="2">
      <c r="A2" s="147" t="inlineStr">
        <is>
          <t>Implementation: mEduc GOV, PH 2025 Term 2</t>
        </is>
      </c>
      <c r="B2" s="147" t="inlineStr">
        <is>
          <t>mEduc_impl_t22025_ph</t>
        </is>
      </c>
      <c r="C2" s="147">
        <f>TEXT(YEAR(NOW())-2000, "00") &amp; TEXT(MONTH(NOW()), "00") &amp; TEXT(DAY(NOW()), "00") &amp; TEXT(HOUR(NOW()), "00") &amp; TEXT(MINUTE(NOW()), "00")</f>
        <v/>
      </c>
      <c r="D2" s="154" t="inlineStr"/>
      <c r="E2" s="155" t="inlineStr"/>
      <c r="F2" s="147" t="inlineStr">
        <is>
          <t>english</t>
        </is>
      </c>
      <c r="G2" s="121" t="n"/>
      <c r="H2" s="121" t="n"/>
    </row>
  </sheetData>
  <pageMargins left="0.7" right="0.7" top="0.75" bottom="0.75" header="0.3" footer="0.3"/>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D155"/>
  <sheetViews>
    <sheetView topLeftCell="A8" zoomScaleNormal="100" workbookViewId="0">
      <selection activeCell="A18" sqref="A18:XFD18"/>
    </sheetView>
  </sheetViews>
  <sheetFormatPr baseColWidth="10" defaultColWidth="11.1640625" defaultRowHeight="16"/>
  <cols>
    <col collapsed="1" width="36" customWidth="1" min="1" max="2"/>
    <col collapsed="1" width="36" customWidth="1" style="13" min="3" max="3"/>
    <col collapsed="1" width="36" customWidth="1" min="4" max="30"/>
  </cols>
  <sheetData>
    <row r="1" ht="17" customHeight="1">
      <c r="A1" s="156" t="inlineStr">
        <is>
          <t>The survey worksheet</t>
        </is>
      </c>
      <c r="B1" s="157" t="n"/>
    </row>
    <row r="2">
      <c r="A2" s="158" t="n"/>
      <c r="B2" s="159" t="n"/>
    </row>
    <row r="3" ht="58" customHeight="1">
      <c r="A3" s="160" t="inlineStr">
        <is>
          <t>This worksheet specifies all of the groups, questions, and other fields in your survey form, each in its own row. Aside from overall settings and lists of multiple-choice options, everything about your survey form is specified in this worksheet.</t>
        </is>
      </c>
      <c r="B3" s="159" t="n"/>
    </row>
    <row r="4" ht="16" customHeight="1">
      <c r="A4" s="161" t="inlineStr">
        <is>
          <t>Learn more about form definitions and field types</t>
        </is>
      </c>
      <c r="B4" s="162" t="n"/>
    </row>
    <row r="6" ht="18" customFormat="1" customHeight="1" s="3">
      <c r="A6" s="46" t="inlineStr">
        <is>
          <t>type</t>
        </is>
      </c>
      <c r="B6" s="46" t="inlineStr">
        <is>
          <t>name</t>
        </is>
      </c>
      <c r="C6" s="47" t="inlineStr">
        <is>
          <t>label</t>
        </is>
      </c>
      <c r="D6" s="47" t="inlineStr">
        <is>
          <t>label:languagename</t>
        </is>
      </c>
      <c r="E6" s="46" t="inlineStr">
        <is>
          <t>hint</t>
        </is>
      </c>
      <c r="F6" s="46" t="inlineStr">
        <is>
          <t>hint:languagename</t>
        </is>
      </c>
      <c r="G6" s="46" t="inlineStr">
        <is>
          <t>default</t>
        </is>
      </c>
      <c r="H6" s="48" t="inlineStr">
        <is>
          <t>appearance</t>
        </is>
      </c>
      <c r="I6" s="46" t="inlineStr">
        <is>
          <t>constraint</t>
        </is>
      </c>
      <c r="J6" s="47" t="inlineStr">
        <is>
          <t>constraint message</t>
        </is>
      </c>
      <c r="K6" s="47" t="inlineStr">
        <is>
          <t>constraint message:languagename</t>
        </is>
      </c>
      <c r="L6" s="46" t="inlineStr">
        <is>
          <t>relevance</t>
        </is>
      </c>
      <c r="M6" s="46" t="inlineStr">
        <is>
          <t>disabled</t>
        </is>
      </c>
      <c r="N6" s="46" t="inlineStr">
        <is>
          <t>required</t>
        </is>
      </c>
      <c r="O6" s="46" t="inlineStr">
        <is>
          <t>required message</t>
        </is>
      </c>
      <c r="P6" s="46" t="inlineStr">
        <is>
          <t>required message:languagename</t>
        </is>
      </c>
      <c r="Q6" s="46" t="inlineStr">
        <is>
          <t>read only</t>
        </is>
      </c>
      <c r="R6" s="46" t="inlineStr">
        <is>
          <t>calculation</t>
        </is>
      </c>
      <c r="S6" s="46" t="inlineStr">
        <is>
          <t>repeat_count</t>
        </is>
      </c>
      <c r="T6" s="46" t="inlineStr">
        <is>
          <t>media:image</t>
        </is>
      </c>
      <c r="U6" s="46" t="inlineStr">
        <is>
          <t>media:audio</t>
        </is>
      </c>
      <c r="V6" s="46" t="inlineStr">
        <is>
          <t>media:video</t>
        </is>
      </c>
      <c r="W6" s="46" t="inlineStr">
        <is>
          <t>media:image:languagename</t>
        </is>
      </c>
      <c r="X6" s="46" t="inlineStr">
        <is>
          <t>media:audio:languagename</t>
        </is>
      </c>
      <c r="Y6" s="46" t="inlineStr">
        <is>
          <t>media:video:languagename</t>
        </is>
      </c>
      <c r="Z6" s="46" t="inlineStr">
        <is>
          <t>choice_filter</t>
        </is>
      </c>
      <c r="AA6" s="46" t="inlineStr">
        <is>
          <t>note</t>
        </is>
      </c>
      <c r="AB6" s="46" t="inlineStr">
        <is>
          <t>response_note</t>
        </is>
      </c>
      <c r="AC6" s="46" t="inlineStr">
        <is>
          <t>publishable</t>
        </is>
      </c>
      <c r="AD6" s="46" t="inlineStr">
        <is>
          <t>minimum_seconds</t>
        </is>
      </c>
    </row>
    <row r="7" ht="272" customFormat="1" customHeight="1" s="45">
      <c r="A7" s="44"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7" s="44" t="inlineStr">
        <is>
          <t>This column specifies the name of the field or group. Field names must be unique, and they cannot include any spaces or punctuation. 
Example: age</t>
        </is>
      </c>
      <c r="C7" s="44" t="inlineStr">
        <is>
          <t>For those field types that present a user interface, this column is where you put the primary text for the question or field. You can include line-breaks in your label text by pressing Alt+Enter on Windows or Control+Option+Enter on a Mac.</t>
        </is>
      </c>
      <c r="D7" s="44" t="inlineStr">
        <is>
          <t>Any label:languagename column (e.g., label:tamil) may be added in order to provide labels in an alternative language.
View the help topic below for more details.</t>
        </is>
      </c>
      <c r="E7" s="44" t="inlineStr">
        <is>
          <t>Text in this column, if any, will appear italicized beneath the field's label. You can include line-breaks in your hint text by pressing Alt+Enter on Windows or Control+Option+Enter on a Mac.</t>
        </is>
      </c>
      <c r="F7" s="44" t="inlineStr">
        <is>
          <t>Any hint:languagename column (e.g., hint:tamil) may be added in order to provide hints in an alternative language.
View the help topic below for more details.</t>
        </is>
      </c>
      <c r="G7" s="49" t="inlineStr">
        <is>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is>
      </c>
      <c r="H7" s="44" t="inlineStr">
        <is>
          <t>For field types that allow multiple appearances, you can specify the appearance style in this column (e.g., quick or minimal for select_one fields). 
See the individual examples below.</t>
        </is>
      </c>
      <c r="I7" s="44"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is>
      </c>
      <c r="J7" s="44" t="inlineStr">
        <is>
          <t>If the user tries to move forward but the constraint expression is false, a generic "That entry is invalid" message will appear; to override this message on a field-by-field basis, enter another message into this column.
View the help topic below for more details.</t>
        </is>
      </c>
      <c r="K7" s="44" t="inlineStr">
        <is>
          <t>Any constraint message:languagename column (e.g., constraint message:tamil) may be added in order to provide constraint messages in an alternative language.</t>
        </is>
      </c>
      <c r="L7" s="44"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is>
      </c>
      <c r="M7" s="44" t="inlineStr">
        <is>
          <t>Enter yes into this column to temporarily disable a field. (Rarely used.)
View the help topic below for more details.</t>
        </is>
      </c>
      <c r="N7" s="44" t="inlineStr">
        <is>
          <t>Enter yes into this column to require that users enter or select a value before continuing.
View the help topic below for more details.</t>
        </is>
      </c>
      <c r="O7" s="44" t="inlineStr">
        <is>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is>
      </c>
      <c r="P7" s="44" t="inlineStr">
        <is>
          <t>Any required message:languagename column (e.g., required message:tamil) may be added in order to provide required messages in an alternative language.</t>
        </is>
      </c>
      <c r="Q7" s="44" t="inlineStr">
        <is>
          <t>Enter yes into this column to make it read-only (a user can see the field, but cannot enter or select a value). (Rarely used, because note fields, which are by nature read-only, are automatically read-only regardless of what is specified here.)</t>
        </is>
      </c>
      <c r="R7" s="44"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is>
      </c>
      <c r="S7" s="44" t="inlineStr">
        <is>
          <t>For a begin repeat row, this column can specify the number of times to repeat the group of questions. (Can be a fixed count like 3 or a reference to an earlier field like ${numhh_members}.)
View the help topic below for more details.</t>
        </is>
      </c>
      <c r="T7" s="44"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is>
      </c>
      <c r="U7" s="44" t="inlineStr">
        <is>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is>
      </c>
      <c r="V7" s="44" t="inlineStr">
        <is>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is>
      </c>
      <c r="W7" s="44" t="inlineStr">
        <is>
          <t>Any media:image:languagename column (e.g., media:image:tamil) may be added in order to provide images for an alternative language.
View the help topic below for more details.</t>
        </is>
      </c>
      <c r="X7" s="44" t="inlineStr">
        <is>
          <t>Any media:audio:languagename column (e.g., media:audio:tamil) may be added in order to provide audio clips for an alternative language.
View the help topic below for more details.</t>
        </is>
      </c>
      <c r="Y7" s="44" t="inlineStr">
        <is>
          <t>Any media:video:languagename column (e.g., media:video:tamil) may be added in order to provide video clips for an alternative language.
View the help topic below for more details.</t>
        </is>
      </c>
      <c r="Z7" s="39" t="inlineStr">
        <is>
          <t>When filtering lists of multiple-choice options, this column specifies, for each field, which prior field should be used when filtering the list of options. 
Example: filter=${survey_region}
View the help topic below for more details.</t>
        </is>
      </c>
      <c r="AA7" s="44"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7" s="44"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7" s="44"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is>
      </c>
      <c r="AD7" s="44" t="inlineStr">
        <is>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is>
      </c>
    </row>
    <row r="8" ht="34" customFormat="1" customHeight="1" s="45">
      <c r="A8" s="62" t="n"/>
      <c r="B8" s="62" t="n"/>
      <c r="C8" s="62" t="n"/>
      <c r="D8" s="57" t="inlineStr">
        <is>
          <t>Help topic: Form languages</t>
        </is>
      </c>
      <c r="E8" s="62" t="n"/>
      <c r="F8" s="57" t="inlineStr">
        <is>
          <t>Help topic: Form languages</t>
        </is>
      </c>
      <c r="G8" s="63" t="inlineStr">
        <is>
          <t>Help topic: Pre-loading data into a form</t>
        </is>
      </c>
      <c r="H8" s="62" t="n"/>
      <c r="I8" s="63" t="inlineStr">
        <is>
          <t>Help topic: Using constraints to validate responses</t>
        </is>
      </c>
      <c r="J8" s="63" t="inlineStr">
        <is>
          <t>Help topic: Using constraints to validate responses</t>
        </is>
      </c>
      <c r="K8" s="62" t="n"/>
      <c r="L8" s="63" t="inlineStr">
        <is>
          <t>Help topic: Implementing skip patterns with "relevance"</t>
        </is>
      </c>
      <c r="M8" s="63" t="inlineStr">
        <is>
          <t>Help topic: Other field properties</t>
        </is>
      </c>
      <c r="N8" s="63" t="inlineStr">
        <is>
          <t>Help topic: Other field properties</t>
        </is>
      </c>
      <c r="O8" s="63" t="inlineStr">
        <is>
          <t>Help topic: Other field properties</t>
        </is>
      </c>
      <c r="P8" s="62" t="n"/>
      <c r="Q8" s="63" t="inlineStr">
        <is>
          <t>Help topic: Other field properties</t>
        </is>
      </c>
      <c r="R8" s="63" t="inlineStr">
        <is>
          <t>Help topic: Field type: calculate</t>
        </is>
      </c>
      <c r="S8" s="63" t="inlineStr">
        <is>
          <t>Help topic: Grouping and repeating questions</t>
        </is>
      </c>
      <c r="T8" s="63" t="inlineStr">
        <is>
          <t>Help topic: Images: Adding pictures and other graphics</t>
        </is>
      </c>
      <c r="U8" s="63" t="inlineStr">
        <is>
          <t>Help topic: Other field properties</t>
        </is>
      </c>
      <c r="V8" s="63" t="inlineStr">
        <is>
          <t>Help topic: Other field properties</t>
        </is>
      </c>
      <c r="W8" s="57" t="inlineStr">
        <is>
          <t>Help topic: Form languages</t>
        </is>
      </c>
      <c r="X8" s="57" t="inlineStr">
        <is>
          <t>Help topic: Form languages</t>
        </is>
      </c>
      <c r="Y8" s="57" t="inlineStr">
        <is>
          <t>Help topic: Form languages</t>
        </is>
      </c>
      <c r="Z8" s="63" t="inlineStr">
        <is>
          <t>Help topic: Dynamically filtering lists of multiple-choice options</t>
        </is>
      </c>
      <c r="AA8" s="63" t="inlineStr">
        <is>
          <t>Help topic: Downloading printable copies of your forms</t>
        </is>
      </c>
      <c r="AB8" s="63" t="inlineStr">
        <is>
          <t>Help topic: Downloading printable copies of your forms</t>
        </is>
      </c>
      <c r="AC8" s="55" t="inlineStr">
        <is>
          <t>Help topic: Encrypting form data (end-to-end encryption)</t>
        </is>
      </c>
      <c r="AD8" s="63" t="inlineStr">
        <is>
          <t>Help topic: Collecting high-quality data</t>
        </is>
      </c>
    </row>
    <row r="10" customFormat="1" s="24">
      <c r="A10" s="105" t="inlineStr">
        <is>
          <t>Examples (scroll right for appearance styles)</t>
        </is>
      </c>
      <c r="B10" s="163" t="n"/>
      <c r="C10" s="22"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row>
    <row r="12" ht="51" customFormat="1" customHeight="1" s="24">
      <c r="A12" s="51" t="inlineStr">
        <is>
          <t>enumerator</t>
        </is>
      </c>
      <c r="B12" s="25" t="inlineStr">
        <is>
          <t>fieldname</t>
        </is>
      </c>
      <c r="C12" s="26" t="inlineStr">
        <is>
          <t>Enumerator selection field (require a special code in order to reveal the full enumerator list):</t>
        </is>
      </c>
      <c r="D12" s="25" t="n"/>
      <c r="E12" s="25" t="n"/>
      <c r="F12" s="25" t="n"/>
      <c r="G12" s="25" t="n"/>
      <c r="H12" s="25" t="inlineStr">
        <is>
          <t>other-user-code(xyz)</t>
        </is>
      </c>
      <c r="I12" s="25" t="n"/>
      <c r="J12" s="25" t="n"/>
      <c r="K12" s="25" t="n"/>
      <c r="L12" s="25" t="n"/>
      <c r="M12" s="25" t="n"/>
      <c r="N12" s="25" t="n"/>
      <c r="O12" s="25" t="n"/>
      <c r="P12" s="25" t="n"/>
      <c r="Q12" s="25" t="n"/>
      <c r="R12" s="25" t="n"/>
      <c r="S12" s="25" t="n"/>
      <c r="T12" s="25" t="n"/>
      <c r="U12" s="25" t="n"/>
      <c r="V12" s="25" t="n"/>
      <c r="W12" s="25" t="n"/>
      <c r="X12" s="25" t="n"/>
      <c r="Y12" s="25" t="n"/>
      <c r="Z12" s="25" t="n"/>
      <c r="AA12" s="25" t="n"/>
      <c r="AB12" s="25" t="n"/>
      <c r="AC12" s="25" t="n"/>
      <c r="AD12" s="25" t="n"/>
    </row>
    <row r="13" ht="51" customFormat="1" customHeight="1" s="24">
      <c r="A13" s="51" t="inlineStr">
        <is>
          <t>enumerator</t>
        </is>
      </c>
      <c r="B13" s="25" t="inlineStr">
        <is>
          <t>fieldname</t>
        </is>
      </c>
      <c r="C13" s="26" t="inlineStr">
        <is>
          <t>Enumerator selection field (require a special code in order to enter a new enumerator):</t>
        </is>
      </c>
      <c r="D13" s="25" t="n"/>
      <c r="E13" s="25" t="n"/>
      <c r="F13" s="25" t="n"/>
      <c r="G13" s="25" t="n"/>
      <c r="H13" s="26" t="inlineStr">
        <is>
          <t>add-new-code(xyz)</t>
        </is>
      </c>
      <c r="I13" s="25" t="n"/>
      <c r="J13" s="25" t="n"/>
      <c r="K13" s="25" t="n"/>
      <c r="L13" s="25" t="n"/>
      <c r="M13" s="25" t="n"/>
      <c r="N13" s="25" t="n"/>
      <c r="O13" s="25" t="n"/>
      <c r="P13" s="25" t="n"/>
      <c r="Q13" s="25" t="n"/>
      <c r="R13" s="25" t="n"/>
      <c r="S13" s="25" t="n"/>
      <c r="T13" s="25" t="n"/>
      <c r="U13" s="25" t="n"/>
      <c r="V13" s="25" t="n"/>
      <c r="W13" s="25" t="n"/>
      <c r="X13" s="25" t="n"/>
      <c r="Y13" s="25" t="n"/>
      <c r="Z13" s="25" t="n"/>
      <c r="AA13" s="25" t="n"/>
      <c r="AB13" s="25" t="n"/>
      <c r="AC13" s="25" t="n"/>
      <c r="AD13" s="25" t="n"/>
    </row>
    <row r="14" ht="17" customFormat="1" customHeight="1" s="24">
      <c r="A14" s="51" t="inlineStr">
        <is>
          <t>enumerator</t>
        </is>
      </c>
      <c r="B14" s="25" t="inlineStr">
        <is>
          <t>fieldname</t>
        </is>
      </c>
      <c r="C14" s="26" t="inlineStr">
        <is>
          <t>Enumerator selection field:</t>
        </is>
      </c>
      <c r="D14" s="25" t="n"/>
      <c r="E14" s="25" t="n"/>
      <c r="F14" s="25" t="n"/>
      <c r="G14" s="25" t="n"/>
      <c r="H14" s="25" t="inlineStr">
        <is>
          <t>default-to-entry</t>
        </is>
      </c>
      <c r="I14" s="25" t="n"/>
      <c r="J14" s="25" t="n"/>
      <c r="K14" s="25" t="n"/>
      <c r="L14" s="25" t="n"/>
      <c r="M14" s="25" t="n"/>
      <c r="N14" s="25" t="n"/>
      <c r="O14" s="25" t="n"/>
      <c r="P14" s="25" t="n"/>
      <c r="Q14" s="25" t="n"/>
      <c r="R14" s="25" t="n"/>
      <c r="S14" s="25" t="n"/>
      <c r="T14" s="25" t="n"/>
      <c r="U14" s="25" t="n"/>
      <c r="V14" s="25" t="n"/>
      <c r="W14" s="25" t="n"/>
      <c r="X14" s="25" t="n"/>
      <c r="Y14" s="25" t="n"/>
      <c r="Z14" s="25" t="n"/>
      <c r="AA14" s="25" t="n"/>
      <c r="AB14" s="25" t="n"/>
      <c r="AC14" s="25" t="n"/>
      <c r="AD14" s="25" t="n"/>
    </row>
    <row r="15" ht="17" customFormat="1" customHeight="1" s="24">
      <c r="A15" s="51" t="inlineStr">
        <is>
          <t>enumerator</t>
        </is>
      </c>
      <c r="B15" s="25" t="inlineStr">
        <is>
          <t>fieldname</t>
        </is>
      </c>
      <c r="C15" s="26" t="inlineStr">
        <is>
          <t>Enumerator selection field:</t>
        </is>
      </c>
      <c r="D15" s="25" t="n"/>
      <c r="E15" s="25" t="n"/>
      <c r="F15" s="25" t="n"/>
      <c r="G15" s="25" t="n"/>
      <c r="H15" s="25" t="inlineStr">
        <is>
          <t>default-to-scan</t>
        </is>
      </c>
      <c r="I15" s="25" t="n"/>
      <c r="J15" s="25" t="n"/>
      <c r="K15" s="25" t="n"/>
      <c r="L15" s="25" t="n"/>
      <c r="M15" s="25" t="n"/>
      <c r="N15" s="25" t="n"/>
      <c r="O15" s="25" t="n"/>
      <c r="P15" s="25" t="n"/>
      <c r="Q15" s="25" t="n"/>
      <c r="R15" s="25" t="n"/>
      <c r="S15" s="25" t="n"/>
      <c r="T15" s="25" t="n"/>
      <c r="U15" s="25" t="n"/>
      <c r="V15" s="25" t="n"/>
      <c r="W15" s="25" t="n"/>
      <c r="X15" s="25" t="n"/>
      <c r="Y15" s="25" t="n"/>
      <c r="Z15" s="25" t="n"/>
      <c r="AA15" s="25" t="n"/>
      <c r="AB15" s="25" t="n"/>
      <c r="AC15" s="25" t="n"/>
      <c r="AD15" s="25" t="n"/>
    </row>
    <row r="16" ht="17" customFormat="1" customHeight="1" s="24">
      <c r="A16" s="51" t="inlineStr">
        <is>
          <t>text</t>
        </is>
      </c>
      <c r="B16" s="25" t="inlineStr">
        <is>
          <t>fieldname</t>
        </is>
      </c>
      <c r="C16" s="26" t="inlineStr">
        <is>
          <t>Standard text field:</t>
        </is>
      </c>
      <c r="D16" s="51"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c r="Z16" s="25" t="n"/>
      <c r="AA16" s="25" t="n"/>
      <c r="AB16" s="25" t="n"/>
      <c r="AC16" s="25" t="n"/>
      <c r="AD16" s="25" t="n"/>
    </row>
    <row r="17" ht="17" customFormat="1" customHeight="1" s="24">
      <c r="A17" s="51" t="inlineStr">
        <is>
          <t>text</t>
        </is>
      </c>
      <c r="B17" s="25" t="inlineStr">
        <is>
          <t>fieldname</t>
        </is>
      </c>
      <c r="C17" s="26" t="inlineStr">
        <is>
          <t>Text field which uses the numeric keypad:</t>
        </is>
      </c>
      <c r="D17" s="25" t="n"/>
      <c r="E17" s="25" t="n"/>
      <c r="F17" s="25" t="n"/>
      <c r="G17" s="25" t="n"/>
      <c r="H17" s="25" t="inlineStr">
        <is>
          <t>numbers</t>
        </is>
      </c>
      <c r="I17" s="25" t="n"/>
      <c r="J17" s="25" t="n"/>
      <c r="K17" s="25" t="n"/>
      <c r="L17" s="25" t="n"/>
      <c r="M17" s="25" t="n"/>
      <c r="N17" s="25" t="n"/>
      <c r="O17" s="25" t="n"/>
      <c r="P17" s="25" t="n"/>
      <c r="Q17" s="25" t="n"/>
      <c r="R17" s="25" t="n"/>
      <c r="S17" s="25" t="n"/>
      <c r="T17" s="25" t="n"/>
      <c r="U17" s="25" t="n"/>
      <c r="V17" s="25" t="n"/>
      <c r="W17" s="25" t="n"/>
      <c r="X17" s="25" t="n"/>
      <c r="Y17" s="25" t="n"/>
      <c r="Z17" s="25" t="n"/>
      <c r="AA17" s="25" t="n"/>
      <c r="AB17" s="25" t="n"/>
      <c r="AC17" s="25" t="n"/>
      <c r="AD17" s="25" t="n"/>
    </row>
    <row r="18" ht="17" customFormat="1" customHeight="1" s="24">
      <c r="A18" s="51" t="inlineStr">
        <is>
          <t>integer</t>
        </is>
      </c>
      <c r="B18" s="25" t="inlineStr">
        <is>
          <t>fieldname</t>
        </is>
      </c>
      <c r="C18" s="26" t="inlineStr">
        <is>
          <t>Standard integer field:</t>
        </is>
      </c>
      <c r="D18" s="51"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c r="AA18" s="25" t="n"/>
      <c r="AB18" s="25" t="n"/>
      <c r="AC18" s="25" t="n"/>
      <c r="AD18" s="25" t="n"/>
    </row>
    <row r="19" ht="17" customFormat="1" customHeight="1" s="24">
      <c r="A19" s="51" t="inlineStr">
        <is>
          <t>decimal</t>
        </is>
      </c>
      <c r="B19" s="25" t="inlineStr">
        <is>
          <t>fieldname</t>
        </is>
      </c>
      <c r="C19" s="26" t="inlineStr">
        <is>
          <t>Standard decimal field:</t>
        </is>
      </c>
      <c r="D19" s="51"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c r="AA19" s="25" t="n"/>
      <c r="AB19" s="25" t="n"/>
      <c r="AC19" s="25" t="n"/>
      <c r="AD19" s="25" t="n"/>
    </row>
    <row r="20" ht="51" customFormat="1" customHeight="1" s="24">
      <c r="A20" s="51" t="inlineStr">
        <is>
          <t>select_one listname</t>
        </is>
      </c>
      <c r="B20" s="25" t="inlineStr">
        <is>
          <t>fieldname</t>
        </is>
      </c>
      <c r="C20" s="26" t="inlineStr">
        <is>
          <t>Standard multiple-choice field (allows one selection, shown as series of radio buttons):</t>
        </is>
      </c>
      <c r="D20" s="51"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c r="AA20" s="25" t="n"/>
      <c r="AB20" s="25" t="n"/>
      <c r="AC20" s="25" t="n"/>
      <c r="AD20" s="25" t="n"/>
    </row>
    <row r="21" ht="51" customFormat="1" customHeight="1" s="24">
      <c r="A21" s="51" t="inlineStr">
        <is>
          <t>select_one listname</t>
        </is>
      </c>
      <c r="B21" s="25" t="inlineStr">
        <is>
          <t>fieldname</t>
        </is>
      </c>
      <c r="C21" s="26" t="inlineStr">
        <is>
          <t>Multiple-choice field (allows one selection, shown horizontally along likert-type scale):</t>
        </is>
      </c>
      <c r="D21" s="25" t="n"/>
      <c r="E21" s="25" t="n"/>
      <c r="F21" s="25" t="n"/>
      <c r="G21" s="25" t="n"/>
      <c r="H21" s="25" t="inlineStr">
        <is>
          <t>likert</t>
        </is>
      </c>
      <c r="I21" s="25" t="n"/>
      <c r="J21" s="25" t="n"/>
      <c r="K21" s="25" t="n"/>
      <c r="L21" s="25" t="n"/>
      <c r="M21" s="25" t="n"/>
      <c r="N21" s="25" t="n"/>
      <c r="O21" s="25" t="n"/>
      <c r="P21" s="25" t="n"/>
      <c r="Q21" s="25" t="n"/>
      <c r="R21" s="25" t="n"/>
      <c r="S21" s="25" t="n"/>
      <c r="T21" s="25" t="n"/>
      <c r="U21" s="25" t="n"/>
      <c r="V21" s="25" t="n"/>
      <c r="W21" s="25" t="n"/>
      <c r="X21" s="25" t="n"/>
      <c r="Y21" s="25" t="n"/>
      <c r="Z21" s="25" t="n"/>
      <c r="AA21" s="25" t="n"/>
      <c r="AB21" s="25" t="n"/>
      <c r="AC21" s="25" t="n"/>
      <c r="AD21" s="25" t="n"/>
    </row>
    <row r="22" ht="68" customFormat="1" customHeight="1" s="24">
      <c r="A22" s="51" t="inlineStr">
        <is>
          <t>select_one listname</t>
        </is>
      </c>
      <c r="B22" s="25" t="inlineStr">
        <is>
          <t>fieldname</t>
        </is>
      </c>
      <c r="C22" s="26" t="inlineStr">
        <is>
          <t>Multiple-choice field (allows one selection, shown horizontally along likert-type scale, labels only at ends of the scale):</t>
        </is>
      </c>
      <c r="D22" s="25" t="n"/>
      <c r="E22" s="25" t="n"/>
      <c r="F22" s="25" t="n"/>
      <c r="G22" s="25" t="n"/>
      <c r="H22" s="25" t="inlineStr">
        <is>
          <t>likert-min</t>
        </is>
      </c>
      <c r="I22" s="25" t="n"/>
      <c r="J22" s="25" t="n"/>
      <c r="K22" s="25" t="n"/>
      <c r="L22" s="25" t="n"/>
      <c r="M22" s="25" t="n"/>
      <c r="N22" s="25" t="n"/>
      <c r="O22" s="25" t="n"/>
      <c r="P22" s="25" t="n"/>
      <c r="Q22" s="25" t="n"/>
      <c r="R22" s="25" t="n"/>
      <c r="S22" s="25" t="n"/>
      <c r="T22" s="25" t="n"/>
      <c r="U22" s="25" t="n"/>
      <c r="V22" s="25" t="n"/>
      <c r="W22" s="25" t="n"/>
      <c r="X22" s="25" t="n"/>
      <c r="Y22" s="25" t="n"/>
      <c r="Z22" s="25" t="n"/>
      <c r="AA22" s="25" t="n"/>
      <c r="AB22" s="25" t="n"/>
      <c r="AC22" s="25" t="n"/>
      <c r="AD22" s="25" t="n"/>
    </row>
    <row r="23" ht="68" customFormat="1" customHeight="1" s="24">
      <c r="A23" s="51" t="inlineStr">
        <is>
          <t>select_one listname</t>
        </is>
      </c>
      <c r="B23" s="25" t="inlineStr">
        <is>
          <t>fieldname</t>
        </is>
      </c>
      <c r="C23" s="26" t="inlineStr">
        <is>
          <t>Multiple-choice field (allows one selection, shown horizontally along likert-type scale, labels only at ends and middle of scale):</t>
        </is>
      </c>
      <c r="D23" s="25" t="n"/>
      <c r="E23" s="25" t="n"/>
      <c r="F23" s="25" t="n"/>
      <c r="G23" s="25" t="n"/>
      <c r="H23" s="25" t="inlineStr">
        <is>
          <t>likert-mid</t>
        </is>
      </c>
      <c r="I23" s="25" t="n"/>
      <c r="J23" s="25" t="n"/>
      <c r="K23" s="25" t="n"/>
      <c r="L23" s="25" t="n"/>
      <c r="M23" s="25" t="n"/>
      <c r="N23" s="25" t="n"/>
      <c r="O23" s="25" t="n"/>
      <c r="P23" s="25" t="n"/>
      <c r="Q23" s="25" t="n"/>
      <c r="R23" s="25" t="n"/>
      <c r="S23" s="25" t="n"/>
      <c r="T23" s="25" t="n"/>
      <c r="U23" s="25" t="n"/>
      <c r="V23" s="25" t="n"/>
      <c r="W23" s="25" t="n"/>
      <c r="X23" s="25" t="n"/>
      <c r="Y23" s="25" t="n"/>
      <c r="Z23" s="25" t="n"/>
      <c r="AA23" s="25" t="n"/>
      <c r="AB23" s="25" t="n"/>
      <c r="AC23" s="25" t="n"/>
      <c r="AD23" s="25" t="n"/>
    </row>
    <row r="24" ht="51" customFormat="1" customHeight="1" s="24">
      <c r="A24" s="51" t="inlineStr">
        <is>
          <t>select_one listname</t>
        </is>
      </c>
      <c r="B24" s="25" t="inlineStr">
        <is>
          <t>fieldname</t>
        </is>
      </c>
      <c r="C24" s="26" t="inlineStr">
        <is>
          <t>Multiple-choice field (allows one selection, auto-advances to next question as soon as an option is selected):</t>
        </is>
      </c>
      <c r="D24" s="25" t="n"/>
      <c r="E24" s="25" t="n"/>
      <c r="F24" s="25" t="n"/>
      <c r="G24" s="25" t="n"/>
      <c r="H24" s="25" t="inlineStr">
        <is>
          <t>quick</t>
        </is>
      </c>
      <c r="I24" s="25" t="n"/>
      <c r="J24" s="25" t="n"/>
      <c r="K24" s="25" t="n"/>
      <c r="L24" s="25" t="n"/>
      <c r="M24" s="25" t="n"/>
      <c r="N24" s="25" t="n"/>
      <c r="O24" s="25" t="n"/>
      <c r="P24" s="25" t="n"/>
      <c r="Q24" s="25" t="n"/>
      <c r="R24" s="25" t="n"/>
      <c r="S24" s="25" t="n"/>
      <c r="T24" s="25" t="n"/>
      <c r="U24" s="25" t="n"/>
      <c r="V24" s="25" t="n"/>
      <c r="W24" s="25" t="n"/>
      <c r="X24" s="25" t="n"/>
      <c r="Y24" s="25" t="n"/>
      <c r="Z24" s="25" t="n"/>
      <c r="AA24" s="25" t="n"/>
      <c r="AB24" s="25" t="n"/>
      <c r="AC24" s="25" t="n"/>
      <c r="AD24" s="25" t="n"/>
    </row>
    <row r="25" ht="51" customFormat="1" customHeight="1" s="24">
      <c r="A25" s="51" t="inlineStr">
        <is>
          <t>select_one listname</t>
        </is>
      </c>
      <c r="B25" s="25" t="inlineStr">
        <is>
          <t>fieldname</t>
        </is>
      </c>
      <c r="C25" s="26" t="inlineStr">
        <is>
          <t>Multiple-choice field (allows one selection, shown as a drop-down selector):</t>
        </is>
      </c>
      <c r="D25" s="25" t="n"/>
      <c r="E25" s="25" t="n"/>
      <c r="F25" s="25" t="n"/>
      <c r="G25" s="25" t="n"/>
      <c r="H25" s="25" t="inlineStr">
        <is>
          <t>minimal</t>
        </is>
      </c>
      <c r="I25" s="25" t="n"/>
      <c r="J25" s="25" t="n"/>
      <c r="K25" s="25" t="n"/>
      <c r="L25" s="25" t="n"/>
      <c r="M25" s="25" t="n"/>
      <c r="N25" s="25" t="n"/>
      <c r="O25" s="25" t="n"/>
      <c r="P25" s="25" t="n"/>
      <c r="Q25" s="25" t="n"/>
      <c r="R25" s="25" t="n"/>
      <c r="S25" s="25" t="n"/>
      <c r="T25" s="25" t="n"/>
      <c r="U25" s="25" t="n"/>
      <c r="V25" s="25" t="n"/>
      <c r="W25" s="25" t="n"/>
      <c r="X25" s="25" t="n"/>
      <c r="Y25" s="25" t="n"/>
      <c r="Z25" s="25" t="n"/>
      <c r="AA25" s="25" t="n"/>
      <c r="AB25" s="25" t="n"/>
      <c r="AC25" s="25" t="n"/>
      <c r="AD25" s="25" t="n"/>
    </row>
    <row r="26" ht="51" customFormat="1" customHeight="1" s="24">
      <c r="A26" s="51" t="inlineStr">
        <is>
          <t>select_one listname</t>
        </is>
      </c>
      <c r="B26" s="25" t="inlineStr">
        <is>
          <t>fieldname</t>
        </is>
      </c>
      <c r="C26" s="26" t="inlineStr">
        <is>
          <t>Multiple-choice field (allows one selection, shown as a compact table of options):</t>
        </is>
      </c>
      <c r="D26" s="25" t="n"/>
      <c r="E26" s="25" t="n"/>
      <c r="F26" s="25" t="n"/>
      <c r="G26" s="25" t="n"/>
      <c r="H26" s="25" t="inlineStr">
        <is>
          <t>compact</t>
        </is>
      </c>
      <c r="I26" s="25" t="n"/>
      <c r="J26" s="25" t="n"/>
      <c r="K26" s="25" t="n"/>
      <c r="L26" s="25" t="n"/>
      <c r="M26" s="25" t="n"/>
      <c r="N26" s="25" t="n"/>
      <c r="O26" s="25" t="n"/>
      <c r="P26" s="25" t="n"/>
      <c r="Q26" s="25" t="n"/>
      <c r="R26" s="25" t="n"/>
      <c r="S26" s="25" t="n"/>
      <c r="T26" s="25" t="n"/>
      <c r="U26" s="25" t="n"/>
      <c r="V26" s="25" t="n"/>
      <c r="W26" s="25" t="n"/>
      <c r="X26" s="25" t="n"/>
      <c r="Y26" s="25" t="n"/>
      <c r="Z26" s="25" t="n"/>
      <c r="AA26" s="25" t="n"/>
      <c r="AB26" s="25" t="n"/>
      <c r="AC26" s="25" t="n"/>
      <c r="AD26" s="25" t="n"/>
    </row>
    <row r="27" ht="51" customFormat="1" customHeight="1" s="24">
      <c r="A27" s="51" t="inlineStr">
        <is>
          <t>select_one listname</t>
        </is>
      </c>
      <c r="B27" s="25" t="inlineStr">
        <is>
          <t>fieldname</t>
        </is>
      </c>
      <c r="C27" s="26" t="inlineStr">
        <is>
          <t>Multiple-choice field (allows one selection, shown as a compact table of options with exactly three columns):</t>
        </is>
      </c>
      <c r="D27" s="25" t="n"/>
      <c r="E27" s="25" t="n"/>
      <c r="F27" s="25" t="n"/>
      <c r="G27" s="25" t="n"/>
      <c r="H27" s="25" t="inlineStr">
        <is>
          <t>compact-3</t>
        </is>
      </c>
      <c r="I27" s="25" t="n"/>
      <c r="J27" s="25" t="n"/>
      <c r="K27" s="25" t="n"/>
      <c r="L27" s="25" t="n"/>
      <c r="M27" s="25" t="n"/>
      <c r="N27" s="25" t="n"/>
      <c r="O27" s="25" t="n"/>
      <c r="P27" s="25" t="n"/>
      <c r="Q27" s="25" t="n"/>
      <c r="R27" s="25" t="n"/>
      <c r="S27" s="25" t="n"/>
      <c r="T27" s="25" t="n"/>
      <c r="U27" s="25" t="n"/>
      <c r="V27" s="25" t="n"/>
      <c r="W27" s="25" t="n"/>
      <c r="X27" s="25" t="n"/>
      <c r="Y27" s="25" t="n"/>
      <c r="Z27" s="25" t="n"/>
      <c r="AA27" s="25" t="n"/>
      <c r="AB27" s="25" t="n"/>
      <c r="AC27" s="25" t="n"/>
      <c r="AD27" s="25" t="n"/>
    </row>
    <row r="28" ht="68" customFormat="1" customHeight="1" s="24">
      <c r="A28" s="51" t="inlineStr">
        <is>
          <t>select_one listname</t>
        </is>
      </c>
      <c r="B28" s="25" t="inlineStr">
        <is>
          <t>fieldname</t>
        </is>
      </c>
      <c r="C28" s="26" t="inlineStr">
        <is>
          <t>Multiple-choice field (allows one selection, shown as a compact table of options, auto-advances to next question as soon as an option is selected):</t>
        </is>
      </c>
      <c r="D28" s="25" t="n"/>
      <c r="E28" s="25" t="n"/>
      <c r="F28" s="25" t="n"/>
      <c r="G28" s="25" t="n"/>
      <c r="H28" s="25" t="inlineStr">
        <is>
          <t>quickcompact</t>
        </is>
      </c>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row>
    <row r="29" ht="85" customFormat="1" customHeight="1" s="24">
      <c r="A29" s="51" t="inlineStr">
        <is>
          <t>select_one listname</t>
        </is>
      </c>
      <c r="B29" s="25" t="inlineStr">
        <is>
          <t>fieldname</t>
        </is>
      </c>
      <c r="C29" s="26" t="inlineStr">
        <is>
          <t>Multiple-choice field (allows one selection, shown as a compact table of options with exactly three columns, auto-advances to next question as soon as an option is selected):</t>
        </is>
      </c>
      <c r="D29" s="25" t="n"/>
      <c r="E29" s="25" t="n"/>
      <c r="F29" s="25" t="n"/>
      <c r="G29" s="25" t="n"/>
      <c r="H29" s="25" t="inlineStr">
        <is>
          <t>quickcompact-3</t>
        </is>
      </c>
      <c r="I29" s="25" t="n"/>
      <c r="J29" s="25" t="n"/>
      <c r="K29" s="25" t="n"/>
      <c r="L29" s="25" t="n"/>
      <c r="M29" s="25" t="n"/>
      <c r="N29" s="25" t="n"/>
      <c r="O29" s="25" t="n"/>
      <c r="P29" s="25" t="n"/>
      <c r="Q29" s="25" t="n"/>
      <c r="R29" s="25" t="n"/>
      <c r="S29" s="25" t="n"/>
      <c r="T29" s="25" t="n"/>
      <c r="U29" s="25" t="n"/>
      <c r="V29" s="25" t="n"/>
      <c r="W29" s="25" t="n"/>
      <c r="X29" s="25" t="n"/>
      <c r="Y29" s="25" t="n"/>
      <c r="Z29" s="25" t="n"/>
      <c r="AA29" s="25" t="n"/>
      <c r="AB29" s="25" t="n"/>
      <c r="AC29" s="25" t="n"/>
      <c r="AD29" s="25" t="n"/>
    </row>
    <row r="30" ht="68" customFormat="1" customHeight="1" s="24">
      <c r="A30" s="51" t="inlineStr">
        <is>
          <t>select_one listname</t>
        </is>
      </c>
      <c r="B30" s="25" t="inlineStr">
        <is>
          <t>fieldname</t>
        </is>
      </c>
      <c r="C30" s="26" t="inlineStr">
        <is>
          <t>Multiple-choice field (allows one selection, loads options from pre-loaded .csv file, includes options based on a "contains" comparison):</t>
        </is>
      </c>
      <c r="D30" s="25" t="n"/>
      <c r="E30" s="25" t="n"/>
      <c r="F30" s="25" t="n"/>
      <c r="G30" s="25" t="n"/>
      <c r="H30" s="25" t="inlineStr">
        <is>
          <t>search('hhplotdata', 'contains', 'respondentname', ${nametofind})</t>
        </is>
      </c>
      <c r="I30" s="25" t="n"/>
      <c r="J30" s="25" t="n"/>
      <c r="K30" s="25" t="n"/>
      <c r="L30" s="25" t="n"/>
      <c r="M30" s="25" t="n"/>
      <c r="N30" s="25" t="n"/>
      <c r="O30" s="25" t="n"/>
      <c r="P30" s="25" t="n"/>
      <c r="Q30" s="25" t="n"/>
      <c r="R30" s="25" t="n"/>
      <c r="S30" s="25" t="n"/>
      <c r="T30" s="25" t="n"/>
      <c r="U30" s="25" t="n"/>
      <c r="V30" s="25" t="n"/>
      <c r="W30" s="25" t="n"/>
      <c r="X30" s="25" t="n"/>
      <c r="Y30" s="25" t="n"/>
      <c r="Z30" s="25" t="n"/>
      <c r="AA30" s="25" t="n"/>
      <c r="AB30" s="25" t="n"/>
      <c r="AC30" s="25" t="n"/>
      <c r="AD30" s="25" t="n"/>
    </row>
    <row r="31" ht="68" customFormat="1" customHeight="1" s="24">
      <c r="A31" s="51" t="inlineStr">
        <is>
          <t>select_one listname</t>
        </is>
      </c>
      <c r="B31" s="25" t="inlineStr">
        <is>
          <t>fieldname</t>
        </is>
      </c>
      <c r="C31" s="26" t="inlineStr">
        <is>
          <t>Multiple-choice field (allows one selection, loads options from pre-loaded .csv file, includes options based on a "starts with" comparison):</t>
        </is>
      </c>
      <c r="D31" s="25" t="n"/>
      <c r="E31" s="25" t="n"/>
      <c r="F31" s="25" t="n"/>
      <c r="G31" s="25" t="n"/>
      <c r="H31" s="25" t="inlineStr">
        <is>
          <t>search('hhplotdata', 'startswith', 'respondentname', ${nameprefix})</t>
        </is>
      </c>
      <c r="I31" s="25" t="n"/>
      <c r="J31" s="25" t="n"/>
      <c r="K31" s="25" t="n"/>
      <c r="L31" s="25" t="n"/>
      <c r="M31" s="25" t="n"/>
      <c r="N31" s="25" t="n"/>
      <c r="O31" s="25" t="n"/>
      <c r="P31" s="25" t="n"/>
      <c r="Q31" s="25" t="n"/>
      <c r="R31" s="25" t="n"/>
      <c r="S31" s="25" t="n"/>
      <c r="T31" s="25" t="n"/>
      <c r="U31" s="25" t="n"/>
      <c r="V31" s="25" t="n"/>
      <c r="W31" s="25" t="n"/>
      <c r="X31" s="25" t="n"/>
      <c r="Y31" s="25" t="n"/>
      <c r="Z31" s="25" t="n"/>
      <c r="AA31" s="25" t="n"/>
      <c r="AB31" s="25" t="n"/>
      <c r="AC31" s="25" t="n"/>
      <c r="AD31" s="25" t="n"/>
    </row>
    <row r="32" ht="68" customFormat="1" customHeight="1" s="24">
      <c r="A32" s="51" t="inlineStr">
        <is>
          <t>select_one listname</t>
        </is>
      </c>
      <c r="B32" s="25" t="inlineStr">
        <is>
          <t>fieldname</t>
        </is>
      </c>
      <c r="C32" s="30" t="inlineStr">
        <is>
          <t>Multiple-choice field (allows one selection, loads options from pre-loaded .csv file, includes options based on an "ends with" comparison):</t>
        </is>
      </c>
      <c r="D32" s="25" t="n"/>
      <c r="E32" s="25" t="n"/>
      <c r="F32" s="25" t="n"/>
      <c r="G32" s="25" t="n"/>
      <c r="H32" s="25" t="inlineStr">
        <is>
          <t>search('hhplotdata', 'endswith', 'respondentname', ${namesuffix})</t>
        </is>
      </c>
      <c r="I32" s="25" t="n"/>
      <c r="J32" s="25" t="n"/>
      <c r="K32" s="25" t="n"/>
      <c r="L32" s="25" t="n"/>
      <c r="M32" s="25" t="n"/>
      <c r="N32" s="25" t="n"/>
      <c r="O32" s="25" t="n"/>
      <c r="P32" s="25" t="n"/>
      <c r="Q32" s="25" t="n"/>
      <c r="R32" s="25" t="n"/>
      <c r="S32" s="25" t="n"/>
      <c r="T32" s="25" t="n"/>
      <c r="U32" s="25" t="n"/>
      <c r="V32" s="25" t="n"/>
      <c r="W32" s="25" t="n"/>
      <c r="X32" s="25" t="n"/>
      <c r="Y32" s="25" t="n"/>
      <c r="Z32" s="25" t="n"/>
      <c r="AA32" s="25" t="n"/>
      <c r="AB32" s="25" t="n"/>
      <c r="AC32" s="25" t="n"/>
      <c r="AD32" s="25" t="n"/>
    </row>
    <row r="33" ht="68" customFormat="1" customHeight="1" s="24">
      <c r="A33" s="51" t="inlineStr">
        <is>
          <t>select_one listname</t>
        </is>
      </c>
      <c r="B33" s="25" t="inlineStr">
        <is>
          <t>fieldname</t>
        </is>
      </c>
      <c r="C33" s="26" t="inlineStr">
        <is>
          <t>Multiple-choice field (allows one selection, loads options from pre-loaded .csv file, includes options based on an "exact match" comparison):</t>
        </is>
      </c>
      <c r="D33" s="25" t="n"/>
      <c r="E33" s="25" t="n"/>
      <c r="F33" s="25" t="n"/>
      <c r="G33" s="25" t="n"/>
      <c r="H33" s="25" t="inlineStr">
        <is>
          <t>search('hhplotdata', 'matches', 'respondentname', ${nametofind})</t>
        </is>
      </c>
      <c r="I33" s="25" t="n"/>
      <c r="J33" s="25" t="n"/>
      <c r="K33" s="25" t="n"/>
      <c r="L33" s="25" t="n"/>
      <c r="M33" s="25" t="n"/>
      <c r="N33" s="25" t="n"/>
      <c r="O33" s="25" t="n"/>
      <c r="P33" s="25" t="n"/>
      <c r="Q33" s="25" t="n"/>
      <c r="R33" s="25" t="n"/>
      <c r="S33" s="25" t="n"/>
      <c r="T33" s="25" t="n"/>
      <c r="U33" s="25" t="n"/>
      <c r="V33" s="25" t="n"/>
      <c r="W33" s="25" t="n"/>
      <c r="X33" s="25" t="n"/>
      <c r="Y33" s="25" t="n"/>
      <c r="Z33" s="25" t="n"/>
      <c r="AA33" s="25" t="n"/>
      <c r="AB33" s="25" t="n"/>
      <c r="AC33" s="25" t="n"/>
      <c r="AD33" s="25" t="n"/>
    </row>
    <row r="34" ht="85" customFormat="1" customHeight="1" s="24">
      <c r="A34" s="51" t="inlineStr">
        <is>
          <t>select_one listname</t>
        </is>
      </c>
      <c r="B34" s="25" t="inlineStr">
        <is>
          <t>fieldname</t>
        </is>
      </c>
      <c r="C34" s="26" t="inlineStr">
        <is>
          <t>Multiple-choice field (allows one selection, loads options from pre-loaded .csv file, includes options based on both a "contains" comparison and an "exact match" filter):</t>
        </is>
      </c>
      <c r="D34" s="25" t="n"/>
      <c r="E34" s="25" t="n"/>
      <c r="F34" s="25" t="n"/>
      <c r="G34" s="25" t="n"/>
      <c r="H34" s="25" t="inlineStr">
        <is>
          <t>search('hhplotdata', 'contains', 'respondentname', ${nametofind}, 'villageid', ${villageid})</t>
        </is>
      </c>
      <c r="I34" s="25" t="n"/>
      <c r="J34" s="25" t="n"/>
      <c r="K34" s="25" t="n"/>
      <c r="L34" s="25" t="n"/>
      <c r="M34" s="25" t="n"/>
      <c r="N34" s="25" t="n"/>
      <c r="O34" s="25" t="n"/>
      <c r="P34" s="25" t="n"/>
      <c r="Q34" s="25" t="n"/>
      <c r="R34" s="25" t="n"/>
      <c r="S34" s="25" t="n"/>
      <c r="T34" s="25" t="n"/>
      <c r="U34" s="25" t="n"/>
      <c r="V34" s="25" t="n"/>
      <c r="W34" s="25" t="n"/>
      <c r="X34" s="25" t="n"/>
      <c r="Y34" s="25" t="n"/>
      <c r="Z34" s="25" t="n"/>
      <c r="AA34" s="25" t="n"/>
      <c r="AB34" s="25" t="n"/>
      <c r="AC34" s="25" t="n"/>
      <c r="AD34" s="25" t="n"/>
    </row>
    <row r="35" ht="51" customFormat="1" customHeight="1" s="24">
      <c r="A35" s="51" t="inlineStr">
        <is>
          <t>select_multiple listname</t>
        </is>
      </c>
      <c r="B35" s="25" t="inlineStr">
        <is>
          <t>fieldname</t>
        </is>
      </c>
      <c r="C35" s="26" t="inlineStr">
        <is>
          <t>Standard multiple-choice field (allows multiple selections, shown as series of radio buttons):</t>
        </is>
      </c>
      <c r="D35" s="51"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c r="Z35" s="25" t="n"/>
      <c r="AA35" s="25" t="n"/>
      <c r="AB35" s="25" t="n"/>
      <c r="AC35" s="25" t="n"/>
      <c r="AD35" s="25" t="n"/>
    </row>
    <row r="36" ht="34" customFormat="1" customHeight="1" s="24">
      <c r="A36" s="51" t="inlineStr">
        <is>
          <t>select_multiple listname</t>
        </is>
      </c>
      <c r="B36" s="25" t="inlineStr">
        <is>
          <t>fieldname</t>
        </is>
      </c>
      <c r="C36" s="26" t="inlineStr">
        <is>
          <t>Multiple-choice field (allows multiple selections, shown as a pop-up selector):</t>
        </is>
      </c>
      <c r="D36" s="25" t="n"/>
      <c r="E36" s="25" t="n"/>
      <c r="F36" s="25" t="n"/>
      <c r="G36" s="25" t="n"/>
      <c r="H36" s="25" t="inlineStr">
        <is>
          <t>minimal</t>
        </is>
      </c>
      <c r="I36" s="25" t="n"/>
      <c r="J36" s="25" t="n"/>
      <c r="K36" s="25" t="n"/>
      <c r="L36" s="25" t="n"/>
      <c r="M36" s="25" t="n"/>
      <c r="N36" s="25" t="n"/>
      <c r="O36" s="25" t="n"/>
      <c r="P36" s="25" t="n"/>
      <c r="Q36" s="25" t="n"/>
      <c r="R36" s="25" t="n"/>
      <c r="S36" s="25" t="n"/>
      <c r="T36" s="25" t="n"/>
      <c r="U36" s="25" t="n"/>
      <c r="V36" s="25" t="n"/>
      <c r="W36" s="25" t="n"/>
      <c r="X36" s="25" t="n"/>
      <c r="Y36" s="25" t="n"/>
      <c r="Z36" s="25" t="n"/>
      <c r="AA36" s="25" t="n"/>
      <c r="AB36" s="25" t="n"/>
      <c r="AC36" s="25" t="n"/>
      <c r="AD36" s="25" t="n"/>
    </row>
    <row r="37" ht="51" customFormat="1" customHeight="1" s="24">
      <c r="A37" s="51" t="inlineStr">
        <is>
          <t>select_multiple listname</t>
        </is>
      </c>
      <c r="B37" s="25" t="inlineStr">
        <is>
          <t>fieldname</t>
        </is>
      </c>
      <c r="C37" s="26" t="inlineStr">
        <is>
          <t>Multiple-choice field (allows multiple selections, shown as a compact table of options):</t>
        </is>
      </c>
      <c r="D37" s="25" t="n"/>
      <c r="E37" s="25" t="n"/>
      <c r="F37" s="25" t="n"/>
      <c r="G37" s="25" t="n"/>
      <c r="H37" s="25" t="inlineStr">
        <is>
          <t>compact</t>
        </is>
      </c>
      <c r="I37" s="25" t="n"/>
      <c r="J37" s="25" t="n"/>
      <c r="K37" s="25" t="n"/>
      <c r="L37" s="25" t="n"/>
      <c r="M37" s="25" t="n"/>
      <c r="N37" s="25" t="n"/>
      <c r="O37" s="25" t="n"/>
      <c r="P37" s="25" t="n"/>
      <c r="Q37" s="25" t="n"/>
      <c r="R37" s="25" t="n"/>
      <c r="S37" s="25" t="n"/>
      <c r="T37" s="25" t="n"/>
      <c r="U37" s="25" t="n"/>
      <c r="V37" s="25" t="n"/>
      <c r="W37" s="25" t="n"/>
      <c r="X37" s="25" t="n"/>
      <c r="Y37" s="25" t="n"/>
      <c r="Z37" s="25" t="n"/>
      <c r="AA37" s="25" t="n"/>
      <c r="AB37" s="25" t="n"/>
      <c r="AC37" s="25" t="n"/>
      <c r="AD37" s="25" t="n"/>
    </row>
    <row r="38" ht="51" customFormat="1" customHeight="1" s="24">
      <c r="A38" s="51" t="inlineStr">
        <is>
          <t>select_multiple listname</t>
        </is>
      </c>
      <c r="B38" s="25" t="inlineStr">
        <is>
          <t>fieldname</t>
        </is>
      </c>
      <c r="C38" s="26" t="inlineStr">
        <is>
          <t>Multiple-choice field (allows multiple selections, shown as a compact table of options with exactly three columns):</t>
        </is>
      </c>
      <c r="D38" s="25" t="n"/>
      <c r="E38" s="25" t="n"/>
      <c r="F38" s="25" t="n"/>
      <c r="G38" s="25" t="n"/>
      <c r="H38" s="25" t="inlineStr">
        <is>
          <t>compact-3</t>
        </is>
      </c>
      <c r="I38" s="25" t="n"/>
      <c r="J38" s="25" t="n"/>
      <c r="K38" s="25" t="n"/>
      <c r="L38" s="25" t="n"/>
      <c r="M38" s="25" t="n"/>
      <c r="N38" s="25" t="n"/>
      <c r="O38" s="25" t="n"/>
      <c r="P38" s="25" t="n"/>
      <c r="Q38" s="25" t="n"/>
      <c r="R38" s="25" t="n"/>
      <c r="S38" s="25" t="n"/>
      <c r="T38" s="25" t="n"/>
      <c r="U38" s="25" t="n"/>
      <c r="V38" s="25" t="n"/>
      <c r="W38" s="25" t="n"/>
      <c r="X38" s="25" t="n"/>
      <c r="Y38" s="25" t="n"/>
      <c r="Z38" s="25" t="n"/>
      <c r="AA38" s="25" t="n"/>
      <c r="AB38" s="25" t="n"/>
      <c r="AC38" s="25" t="n"/>
      <c r="AD38" s="25" t="n"/>
    </row>
    <row r="39" ht="68" customFormat="1" customHeight="1" s="24">
      <c r="A39" s="51" t="inlineStr">
        <is>
          <t>select_multiple listname</t>
        </is>
      </c>
      <c r="B39" s="25" t="inlineStr">
        <is>
          <t>fieldname</t>
        </is>
      </c>
      <c r="C39" s="26" t="inlineStr">
        <is>
          <t>Multiple-choice field (allows multiple selections, loads options from pre-loaded .csv file, includes options based on a "contains" comparison):</t>
        </is>
      </c>
      <c r="D39" s="25" t="n"/>
      <c r="E39" s="25" t="n"/>
      <c r="F39" s="25" t="n"/>
      <c r="G39" s="25" t="n"/>
      <c r="H39" s="25" t="inlineStr">
        <is>
          <t>search('hhplotdata', 'contains', 'respondentname', ${nametofind})</t>
        </is>
      </c>
      <c r="I39" s="25" t="n"/>
      <c r="J39" s="25" t="n"/>
      <c r="K39" s="25" t="n"/>
      <c r="L39" s="25" t="n"/>
      <c r="M39" s="25" t="n"/>
      <c r="N39" s="25" t="n"/>
      <c r="O39" s="25" t="n"/>
      <c r="P39" s="25" t="n"/>
      <c r="Q39" s="25" t="n"/>
      <c r="R39" s="25" t="n"/>
      <c r="S39" s="25" t="n"/>
      <c r="T39" s="25" t="n"/>
      <c r="U39" s="25" t="n"/>
      <c r="V39" s="25" t="n"/>
      <c r="W39" s="25" t="n"/>
      <c r="X39" s="25" t="n"/>
      <c r="Y39" s="25" t="n"/>
      <c r="Z39" s="25" t="n"/>
      <c r="AA39" s="25" t="n"/>
      <c r="AB39" s="25" t="n"/>
      <c r="AC39" s="25" t="n"/>
      <c r="AD39" s="25" t="n"/>
    </row>
    <row r="40" ht="68" customFormat="1" customHeight="1" s="24">
      <c r="A40" s="51" t="inlineStr">
        <is>
          <t>select_multiple listname</t>
        </is>
      </c>
      <c r="B40" s="25" t="inlineStr">
        <is>
          <t>fieldname</t>
        </is>
      </c>
      <c r="C40" s="26" t="inlineStr">
        <is>
          <t>Multiple-choice field (allows multiple selections, loads options from pre-loaded .csv file, includes options based on a "starts with" comparison):</t>
        </is>
      </c>
      <c r="D40" s="25" t="n"/>
      <c r="E40" s="25" t="n"/>
      <c r="F40" s="25" t="n"/>
      <c r="G40" s="25" t="n"/>
      <c r="H40" s="25" t="inlineStr">
        <is>
          <t>search('hhplotdata', 'startswith', 'respondentname', ${nameprefix})</t>
        </is>
      </c>
      <c r="I40" s="25" t="n"/>
      <c r="J40" s="25" t="n"/>
      <c r="K40" s="25" t="n"/>
      <c r="L40" s="25" t="n"/>
      <c r="M40" s="25" t="n"/>
      <c r="N40" s="25" t="n"/>
      <c r="O40" s="25" t="n"/>
      <c r="P40" s="25" t="n"/>
      <c r="Q40" s="25" t="n"/>
      <c r="R40" s="25" t="n"/>
      <c r="S40" s="25" t="n"/>
      <c r="T40" s="25" t="n"/>
      <c r="U40" s="25" t="n"/>
      <c r="V40" s="25" t="n"/>
      <c r="W40" s="25" t="n"/>
      <c r="X40" s="25" t="n"/>
      <c r="Y40" s="25" t="n"/>
      <c r="Z40" s="25" t="n"/>
      <c r="AA40" s="25" t="n"/>
      <c r="AB40" s="25" t="n"/>
      <c r="AC40" s="25" t="n"/>
      <c r="AD40" s="25" t="n"/>
    </row>
    <row r="41" ht="68" customFormat="1" customHeight="1" s="24">
      <c r="A41" s="51" t="inlineStr">
        <is>
          <t>select_multiple listname</t>
        </is>
      </c>
      <c r="B41" s="25" t="inlineStr">
        <is>
          <t>fieldname</t>
        </is>
      </c>
      <c r="C41" s="30" t="inlineStr">
        <is>
          <t>Multiple-choice field (allows multiple selections, loads options from pre-loaded .csv file, includes options based on an "ends with" comparison):</t>
        </is>
      </c>
      <c r="D41" s="25" t="n"/>
      <c r="E41" s="25" t="n"/>
      <c r="F41" s="25" t="n"/>
      <c r="G41" s="25" t="n"/>
      <c r="H41" s="25" t="inlineStr">
        <is>
          <t>search('hhplotdata', 'endswith', 'respondentname', ${namesuffix})</t>
        </is>
      </c>
      <c r="I41" s="25" t="n"/>
      <c r="J41" s="25" t="n"/>
      <c r="K41" s="25" t="n"/>
      <c r="L41" s="25" t="n"/>
      <c r="M41" s="25" t="n"/>
      <c r="N41" s="25" t="n"/>
      <c r="O41" s="25" t="n"/>
      <c r="P41" s="25" t="n"/>
      <c r="Q41" s="25" t="n"/>
      <c r="R41" s="25" t="n"/>
      <c r="S41" s="25" t="n"/>
      <c r="T41" s="25" t="n"/>
      <c r="U41" s="25" t="n"/>
      <c r="V41" s="25" t="n"/>
      <c r="W41" s="25" t="n"/>
      <c r="X41" s="25" t="n"/>
      <c r="Y41" s="25" t="n"/>
      <c r="Z41" s="25" t="n"/>
      <c r="AA41" s="25" t="n"/>
      <c r="AB41" s="25" t="n"/>
      <c r="AC41" s="25" t="n"/>
      <c r="AD41" s="25" t="n"/>
    </row>
    <row r="42" ht="68" customFormat="1" customHeight="1" s="24">
      <c r="A42" s="51" t="inlineStr">
        <is>
          <t>select_multiple listname</t>
        </is>
      </c>
      <c r="B42" s="25" t="inlineStr">
        <is>
          <t>fieldname</t>
        </is>
      </c>
      <c r="C42" s="26" t="inlineStr">
        <is>
          <t>Multiple-choice field (allows multiple selections, loads options from pre-loaded .csv file, includes options based on an "exact match" comparison):</t>
        </is>
      </c>
      <c r="D42" s="25" t="n"/>
      <c r="E42" s="25" t="n"/>
      <c r="F42" s="25" t="n"/>
      <c r="G42" s="25" t="n"/>
      <c r="H42" s="25" t="inlineStr">
        <is>
          <t>search('hhplotdata', 'matches', 'respondentname', ${nametofind})</t>
        </is>
      </c>
      <c r="I42" s="25" t="n"/>
      <c r="J42" s="25" t="n"/>
      <c r="K42" s="25" t="n"/>
      <c r="L42" s="25" t="n"/>
      <c r="M42" s="25" t="n"/>
      <c r="N42" s="25" t="n"/>
      <c r="O42" s="25" t="n"/>
      <c r="P42" s="25" t="n"/>
      <c r="Q42" s="25" t="n"/>
      <c r="R42" s="25" t="n"/>
      <c r="S42" s="25" t="n"/>
      <c r="T42" s="25" t="n"/>
      <c r="U42" s="25" t="n"/>
      <c r="V42" s="25" t="n"/>
      <c r="W42" s="25" t="n"/>
      <c r="X42" s="25" t="n"/>
      <c r="Y42" s="25" t="n"/>
      <c r="Z42" s="25" t="n"/>
      <c r="AA42" s="25" t="n"/>
      <c r="AB42" s="25" t="n"/>
      <c r="AC42" s="25" t="n"/>
      <c r="AD42" s="25" t="n"/>
    </row>
    <row r="43" ht="85" customFormat="1" customHeight="1" s="24">
      <c r="A43" s="51" t="inlineStr">
        <is>
          <t>select_multiple listname</t>
        </is>
      </c>
      <c r="B43" s="25" t="inlineStr">
        <is>
          <t>fieldname</t>
        </is>
      </c>
      <c r="C43" s="26" t="inlineStr">
        <is>
          <t>Multiple-choice field (allows multiple selections, loads options from pre-loaded .csv file, includes options based on both a "contains" comparison and an "exact match" filter):</t>
        </is>
      </c>
      <c r="D43" s="25" t="n"/>
      <c r="E43" s="25" t="n"/>
      <c r="F43" s="25" t="n"/>
      <c r="G43" s="25" t="n"/>
      <c r="H43" s="25" t="inlineStr">
        <is>
          <t>search('hhplotdata', 'contains', 'respondentname', ${nametofind}, 'villageid', ${villageid})</t>
        </is>
      </c>
      <c r="I43" s="25" t="n"/>
      <c r="J43" s="25" t="n"/>
      <c r="K43" s="25" t="n"/>
      <c r="L43" s="25" t="n"/>
      <c r="M43" s="25" t="n"/>
      <c r="N43" s="25" t="n"/>
      <c r="O43" s="25" t="n"/>
      <c r="P43" s="25" t="n"/>
      <c r="Q43" s="25" t="n"/>
      <c r="R43" s="25" t="n"/>
      <c r="S43" s="25" t="n"/>
      <c r="T43" s="25" t="n"/>
      <c r="U43" s="25" t="n"/>
      <c r="V43" s="25" t="n"/>
      <c r="W43" s="25" t="n"/>
      <c r="X43" s="25" t="n"/>
      <c r="Y43" s="25" t="n"/>
      <c r="Z43" s="25" t="n"/>
      <c r="AA43" s="25" t="n"/>
      <c r="AB43" s="25" t="n"/>
      <c r="AC43" s="25" t="n"/>
      <c r="AD43" s="25" t="n"/>
    </row>
    <row r="44" ht="17" customFormat="1" customHeight="1" s="24">
      <c r="A44" s="51" t="inlineStr">
        <is>
          <t>geopoint</t>
        </is>
      </c>
      <c r="B44" s="25" t="inlineStr">
        <is>
          <t>fieldname</t>
        </is>
      </c>
      <c r="C44" s="26" t="inlineStr">
        <is>
          <t>Standard GPS location-capture field:</t>
        </is>
      </c>
      <c r="D44" s="51"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c r="AA44" s="25" t="n"/>
      <c r="AB44" s="25" t="n"/>
      <c r="AC44" s="25" t="n"/>
      <c r="AD44" s="25" t="n"/>
    </row>
    <row r="45" ht="17" customFormat="1" customHeight="1" s="24">
      <c r="A45" s="51" t="inlineStr">
        <is>
          <t>geoshape</t>
        </is>
      </c>
      <c r="B45" s="25" t="inlineStr">
        <is>
          <t>fieldname</t>
        </is>
      </c>
      <c r="C45" s="26" t="inlineStr">
        <is>
          <t>Boundary-capture field (GPS polygon):</t>
        </is>
      </c>
      <c r="D45" s="52"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c r="Z45" s="25" t="n"/>
      <c r="AA45" s="25" t="n"/>
      <c r="AB45" s="25" t="n"/>
      <c r="AC45" s="25" t="n"/>
      <c r="AD45" s="25" t="n"/>
    </row>
    <row r="46" ht="34" customFormat="1" customHeight="1" s="24">
      <c r="A46" s="51" t="inlineStr">
        <is>
          <t>geotrace</t>
        </is>
      </c>
      <c r="B46" s="25" t="inlineStr">
        <is>
          <t>fieldname</t>
        </is>
      </c>
      <c r="C46" s="26" t="inlineStr">
        <is>
          <t>Boundary- or path-capture field (GPS polyline or polygon):</t>
        </is>
      </c>
      <c r="D46" s="51"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c r="AA46" s="25" t="n"/>
      <c r="AB46" s="25" t="n"/>
      <c r="AC46" s="25" t="n"/>
      <c r="AD46" s="25" t="n"/>
    </row>
    <row r="47" ht="17" customFormat="1" customHeight="1" s="24">
      <c r="A47" s="51" t="inlineStr">
        <is>
          <t>barcode</t>
        </is>
      </c>
      <c r="B47" s="25" t="inlineStr">
        <is>
          <t>fieldname</t>
        </is>
      </c>
      <c r="C47" s="26" t="inlineStr">
        <is>
          <t>Standard scan-barcode field:</t>
        </is>
      </c>
      <c r="D47" s="51"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c r="Z47" s="25" t="n"/>
      <c r="AA47" s="25" t="n"/>
      <c r="AB47" s="25" t="n"/>
      <c r="AC47" s="25" t="n"/>
      <c r="AD47" s="25" t="n"/>
    </row>
    <row r="48" ht="17" customFormat="1" customHeight="1" s="24">
      <c r="A48" s="51" t="inlineStr">
        <is>
          <t>date</t>
        </is>
      </c>
      <c r="B48" s="25" t="inlineStr">
        <is>
          <t>fieldname</t>
        </is>
      </c>
      <c r="C48" s="26" t="inlineStr">
        <is>
          <t>Standard date field:</t>
        </is>
      </c>
      <c r="D48" s="51"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c r="AA48" s="25" t="n"/>
      <c r="AB48" s="25" t="n"/>
      <c r="AC48" s="25" t="n"/>
      <c r="AD48" s="25" t="n"/>
    </row>
    <row r="49" ht="17" customFormat="1" customHeight="1" s="24">
      <c r="A49" s="51" t="inlineStr">
        <is>
          <t>date</t>
        </is>
      </c>
      <c r="B49" s="25" t="inlineStr">
        <is>
          <t>fieldname</t>
        </is>
      </c>
      <c r="C49" s="26" t="inlineStr">
        <is>
          <t>Date field (but for smaller screens):</t>
        </is>
      </c>
      <c r="D49" s="25" t="n"/>
      <c r="E49" s="25" t="n"/>
      <c r="F49" s="25" t="n"/>
      <c r="G49" s="25" t="n"/>
      <c r="H49" s="25" t="inlineStr">
        <is>
          <t>no-calendar</t>
        </is>
      </c>
      <c r="I49" s="25" t="n"/>
      <c r="J49" s="25" t="n"/>
      <c r="K49" s="25" t="n"/>
      <c r="L49" s="25" t="n"/>
      <c r="M49" s="25" t="n"/>
      <c r="N49" s="25" t="n"/>
      <c r="O49" s="25" t="n"/>
      <c r="P49" s="25" t="n"/>
      <c r="Q49" s="25" t="n"/>
      <c r="R49" s="25" t="n"/>
      <c r="S49" s="25" t="n"/>
      <c r="T49" s="25" t="n"/>
      <c r="U49" s="25" t="n"/>
      <c r="V49" s="25" t="n"/>
      <c r="W49" s="25" t="n"/>
      <c r="X49" s="25" t="n"/>
      <c r="Y49" s="25" t="n"/>
      <c r="Z49" s="25" t="n"/>
      <c r="AA49" s="25" t="n"/>
      <c r="AB49" s="25" t="n"/>
      <c r="AC49" s="25" t="n"/>
      <c r="AD49" s="25" t="n"/>
    </row>
    <row r="50" ht="17" customFormat="1" customHeight="1" s="24">
      <c r="A50" s="51" t="inlineStr">
        <is>
          <t>datetime</t>
        </is>
      </c>
      <c r="B50" s="25" t="inlineStr">
        <is>
          <t>fieldname</t>
        </is>
      </c>
      <c r="C50" s="26" t="inlineStr">
        <is>
          <t>Standard date+time field:</t>
        </is>
      </c>
      <c r="D50" s="51"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c r="AA50" s="25" t="n"/>
      <c r="AB50" s="25" t="n"/>
      <c r="AC50" s="25" t="n"/>
      <c r="AD50" s="25" t="n"/>
    </row>
    <row r="51" ht="17" customFormat="1" customHeight="1" s="24">
      <c r="A51" s="51" t="inlineStr">
        <is>
          <t>datetime</t>
        </is>
      </c>
      <c r="B51" s="25" t="inlineStr">
        <is>
          <t>fieldname</t>
        </is>
      </c>
      <c r="C51" s="26" t="inlineStr">
        <is>
          <t>Date+time field (but for smaller screens):</t>
        </is>
      </c>
      <c r="D51" s="25" t="n"/>
      <c r="E51" s="25" t="n"/>
      <c r="F51" s="25" t="n"/>
      <c r="G51" s="25" t="n"/>
      <c r="H51" s="25" t="inlineStr">
        <is>
          <t>no-calendar</t>
        </is>
      </c>
      <c r="I51" s="25" t="n"/>
      <c r="J51" s="25" t="n"/>
      <c r="K51" s="25" t="n"/>
      <c r="L51" s="25" t="n"/>
      <c r="M51" s="25" t="n"/>
      <c r="N51" s="25" t="n"/>
      <c r="O51" s="25" t="n"/>
      <c r="P51" s="25" t="n"/>
      <c r="Q51" s="25" t="n"/>
      <c r="R51" s="25" t="n"/>
      <c r="S51" s="25" t="n"/>
      <c r="T51" s="25" t="n"/>
      <c r="U51" s="25" t="n"/>
      <c r="V51" s="25" t="n"/>
      <c r="W51" s="25" t="n"/>
      <c r="X51" s="25" t="n"/>
      <c r="Y51" s="25" t="n"/>
      <c r="Z51" s="25" t="n"/>
      <c r="AA51" s="25" t="n"/>
      <c r="AB51" s="25" t="n"/>
      <c r="AC51" s="25" t="n"/>
      <c r="AD51" s="25" t="n"/>
    </row>
    <row r="52" ht="17" customFormat="1" customHeight="1" s="24">
      <c r="A52" s="51" t="inlineStr">
        <is>
          <t>time</t>
        </is>
      </c>
      <c r="B52" s="25" t="inlineStr">
        <is>
          <t>fieldname</t>
        </is>
      </c>
      <c r="C52" s="26" t="inlineStr">
        <is>
          <t>Standard time field:</t>
        </is>
      </c>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c r="AA52" s="25" t="n"/>
      <c r="AB52" s="25" t="n"/>
      <c r="AC52" s="25" t="n"/>
      <c r="AD52" s="25" t="n"/>
    </row>
    <row r="53" ht="17" customFormat="1" customHeight="1" s="24">
      <c r="A53" s="51" t="inlineStr">
        <is>
          <t>image</t>
        </is>
      </c>
      <c r="B53" s="25" t="inlineStr">
        <is>
          <t>fieldname</t>
        </is>
      </c>
      <c r="C53" s="26" t="inlineStr">
        <is>
          <t>Standard image-capture field:</t>
        </is>
      </c>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c r="Z53" s="25" t="n"/>
      <c r="AA53" s="25" t="n"/>
      <c r="AB53" s="25" t="n"/>
      <c r="AC53" s="25" t="n"/>
      <c r="AD53" s="25" t="n"/>
    </row>
    <row r="54" ht="34" customFormat="1" customHeight="1" s="24">
      <c r="A54" s="51" t="inlineStr">
        <is>
          <t>image</t>
        </is>
      </c>
      <c r="B54" s="25" t="inlineStr">
        <is>
          <t>fieldname</t>
        </is>
      </c>
      <c r="C54" s="26" t="inlineStr">
        <is>
          <t>Image-capture field which allows user to annotate image:</t>
        </is>
      </c>
      <c r="D54" s="25" t="n"/>
      <c r="E54" s="25" t="n"/>
      <c r="F54" s="25" t="n"/>
      <c r="G54" s="25" t="n"/>
      <c r="H54" s="25" t="inlineStr">
        <is>
          <t>annotate</t>
        </is>
      </c>
      <c r="I54" s="25" t="n"/>
      <c r="J54" s="25" t="n"/>
      <c r="K54" s="25" t="n"/>
      <c r="L54" s="25" t="n"/>
      <c r="M54" s="25" t="n"/>
      <c r="N54" s="25" t="n"/>
      <c r="O54" s="25" t="n"/>
      <c r="P54" s="25" t="n"/>
      <c r="Q54" s="25" t="n"/>
      <c r="R54" s="25" t="n"/>
      <c r="S54" s="25" t="n"/>
      <c r="T54" s="25" t="n"/>
      <c r="U54" s="25" t="n"/>
      <c r="V54" s="25" t="n"/>
      <c r="W54" s="25" t="n"/>
      <c r="X54" s="25" t="n"/>
      <c r="Y54" s="25" t="n"/>
      <c r="Z54" s="25" t="n"/>
      <c r="AA54" s="25" t="n"/>
      <c r="AB54" s="25" t="n"/>
      <c r="AC54" s="25" t="n"/>
      <c r="AD54" s="25" t="n"/>
    </row>
    <row r="55" ht="34" customFormat="1" customHeight="1" s="24">
      <c r="A55" s="51" t="inlineStr">
        <is>
          <t>image</t>
        </is>
      </c>
      <c r="B55" s="25" t="inlineStr">
        <is>
          <t>fieldname</t>
        </is>
      </c>
      <c r="C55" s="26" t="inlineStr">
        <is>
          <t>Image-capture field which allows user to draw image:</t>
        </is>
      </c>
      <c r="D55" s="25" t="n"/>
      <c r="E55" s="25" t="n"/>
      <c r="F55" s="25" t="n"/>
      <c r="G55" s="25" t="n"/>
      <c r="H55" s="25" t="inlineStr">
        <is>
          <t>draw</t>
        </is>
      </c>
      <c r="I55" s="25" t="n"/>
      <c r="J55" s="25" t="n"/>
      <c r="K55" s="25" t="n"/>
      <c r="L55" s="25" t="n"/>
      <c r="M55" s="25" t="n"/>
      <c r="N55" s="25" t="n"/>
      <c r="O55" s="25" t="n"/>
      <c r="P55" s="25" t="n"/>
      <c r="Q55" s="25" t="n"/>
      <c r="R55" s="25" t="n"/>
      <c r="S55" s="25" t="n"/>
      <c r="T55" s="25" t="n"/>
      <c r="U55" s="25" t="n"/>
      <c r="V55" s="25" t="n"/>
      <c r="W55" s="25" t="n"/>
      <c r="X55" s="25" t="n"/>
      <c r="Y55" s="25" t="n"/>
      <c r="Z55" s="25" t="n"/>
      <c r="AA55" s="25" t="n"/>
      <c r="AB55" s="25" t="n"/>
      <c r="AC55" s="25" t="n"/>
      <c r="AD55" s="25" t="n"/>
    </row>
    <row r="56" ht="34" customFormat="1" customHeight="1" s="24">
      <c r="A56" s="51" t="inlineStr">
        <is>
          <t>image</t>
        </is>
      </c>
      <c r="B56" s="25" t="inlineStr">
        <is>
          <t>fieldname</t>
        </is>
      </c>
      <c r="C56" s="26" t="inlineStr">
        <is>
          <t>Image-capture field which collects a signature as the image:</t>
        </is>
      </c>
      <c r="D56" s="25" t="n"/>
      <c r="E56" s="25" t="n"/>
      <c r="F56" s="25" t="n"/>
      <c r="G56" s="25" t="n"/>
      <c r="H56" s="25" t="inlineStr">
        <is>
          <t>signature</t>
        </is>
      </c>
      <c r="I56" s="25" t="n"/>
      <c r="J56" s="25" t="n"/>
      <c r="K56" s="25" t="n"/>
      <c r="L56" s="25" t="n"/>
      <c r="M56" s="25" t="n"/>
      <c r="N56" s="25" t="n"/>
      <c r="O56" s="25" t="n"/>
      <c r="P56" s="25" t="n"/>
      <c r="Q56" s="25" t="n"/>
      <c r="R56" s="25" t="n"/>
      <c r="S56" s="25" t="n"/>
      <c r="T56" s="25" t="n"/>
      <c r="U56" s="25" t="n"/>
      <c r="V56" s="25" t="n"/>
      <c r="W56" s="25" t="n"/>
      <c r="X56" s="25" t="n"/>
      <c r="Y56" s="25" t="n"/>
      <c r="Z56" s="25" t="n"/>
      <c r="AA56" s="25" t="n"/>
      <c r="AB56" s="25" t="n"/>
      <c r="AC56" s="25" t="n"/>
      <c r="AD56" s="25" t="n"/>
    </row>
    <row r="57" ht="17" customFormat="1" customHeight="1" s="24">
      <c r="A57" s="51" t="inlineStr">
        <is>
          <t>audio</t>
        </is>
      </c>
      <c r="B57" s="25" t="inlineStr">
        <is>
          <t>fieldname</t>
        </is>
      </c>
      <c r="C57" s="26" t="inlineStr">
        <is>
          <t>Standard audio-capture field:</t>
        </is>
      </c>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c r="Z57" s="25" t="n"/>
      <c r="AA57" s="25" t="n"/>
      <c r="AB57" s="25" t="n"/>
      <c r="AC57" s="25" t="n"/>
      <c r="AD57" s="25" t="n"/>
    </row>
    <row r="58" ht="17" customFormat="1" customHeight="1" s="24">
      <c r="A58" s="51" t="inlineStr">
        <is>
          <t>video</t>
        </is>
      </c>
      <c r="B58" s="25" t="inlineStr">
        <is>
          <t>fieldname</t>
        </is>
      </c>
      <c r="C58" s="26" t="inlineStr">
        <is>
          <t>Standard video-capture field:</t>
        </is>
      </c>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c r="AA58" s="25" t="n"/>
      <c r="AB58" s="25" t="n"/>
      <c r="AC58" s="25" t="n"/>
      <c r="AD58" s="25" t="n"/>
    </row>
    <row r="59" ht="34" customFormat="1" customHeight="1" s="24">
      <c r="A59" s="51" t="inlineStr">
        <is>
          <t>file</t>
        </is>
      </c>
      <c r="B59" s="25" t="inlineStr">
        <is>
          <t>fieldname</t>
        </is>
      </c>
      <c r="C59" s="26" t="inlineStr">
        <is>
          <t>Attach text, image, video, audio, PDF, ZIP, or MS Office file (Excel or Word):</t>
        </is>
      </c>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c r="Z59" s="25" t="n"/>
      <c r="AA59" s="25" t="n"/>
      <c r="AB59" s="25" t="n"/>
      <c r="AC59" s="25" t="n"/>
      <c r="AD59" s="25" t="n"/>
    </row>
    <row r="60" ht="17" customFormat="1" customHeight="1" s="24">
      <c r="A60" s="51" t="inlineStr">
        <is>
          <t>note</t>
        </is>
      </c>
      <c r="B60" s="25" t="inlineStr">
        <is>
          <t>fieldname</t>
        </is>
      </c>
      <c r="C60" s="26" t="inlineStr">
        <is>
          <t>Standard note field (read-only).</t>
        </is>
      </c>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c r="AA60" s="25" t="n"/>
      <c r="AB60" s="25" t="n"/>
      <c r="AC60" s="25" t="n"/>
      <c r="AD60" s="25" t="n"/>
    </row>
    <row r="61" customFormat="1" s="24">
      <c r="A61" s="51" t="inlineStr">
        <is>
          <t>start</t>
        </is>
      </c>
      <c r="B61" s="25" t="inlineStr">
        <is>
          <t>fieldname</t>
        </is>
      </c>
      <c r="C61" s="26"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c r="Z61" s="25" t="n"/>
      <c r="AA61" s="25" t="n"/>
      <c r="AB61" s="25" t="n"/>
      <c r="AC61" s="25" t="n"/>
      <c r="AD61" s="25" t="n"/>
    </row>
    <row r="62" customFormat="1" s="24">
      <c r="A62" s="51" t="inlineStr">
        <is>
          <t>end</t>
        </is>
      </c>
      <c r="B62" s="25" t="inlineStr">
        <is>
          <t>fieldname</t>
        </is>
      </c>
      <c r="C62" s="26"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c r="AA62" s="25" t="n"/>
      <c r="AB62" s="25" t="n"/>
      <c r="AC62" s="25" t="n"/>
      <c r="AD62" s="25" t="n"/>
    </row>
    <row r="63" customFormat="1" s="24">
      <c r="A63" s="51" t="inlineStr">
        <is>
          <t>deviceid</t>
        </is>
      </c>
      <c r="B63" s="25" t="inlineStr">
        <is>
          <t>fieldname</t>
        </is>
      </c>
      <c r="C63" s="26"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c r="Z63" s="25" t="n"/>
      <c r="AA63" s="25" t="n"/>
      <c r="AB63" s="25" t="n"/>
      <c r="AC63" s="25" t="n"/>
      <c r="AD63" s="25" t="n"/>
    </row>
    <row r="64" customFormat="1" s="24">
      <c r="A64" s="51" t="inlineStr">
        <is>
          <t>subscriberid</t>
        </is>
      </c>
      <c r="B64" s="25" t="inlineStr">
        <is>
          <t>fieldname</t>
        </is>
      </c>
      <c r="C64" s="26"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c r="AA64" s="25" t="n"/>
      <c r="AB64" s="25" t="n"/>
      <c r="AC64" s="25" t="n"/>
      <c r="AD64" s="25" t="n"/>
    </row>
    <row r="65" customFormat="1" s="24">
      <c r="A65" s="51" t="inlineStr">
        <is>
          <t>simserial</t>
        </is>
      </c>
      <c r="B65" s="25" t="inlineStr">
        <is>
          <t>fieldname</t>
        </is>
      </c>
      <c r="C65" s="26"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c r="Z65" s="25" t="n"/>
      <c r="AA65" s="25" t="n"/>
      <c r="AB65" s="25" t="n"/>
      <c r="AC65" s="25" t="n"/>
      <c r="AD65" s="25" t="n"/>
    </row>
    <row r="66" customFormat="1" s="24">
      <c r="A66" s="51" t="inlineStr">
        <is>
          <t>caseid</t>
        </is>
      </c>
      <c r="B66" s="25" t="inlineStr">
        <is>
          <t>fieldname</t>
        </is>
      </c>
      <c r="C66" s="26"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c r="AA66" s="25" t="n"/>
      <c r="AB66" s="25" t="n"/>
      <c r="AC66" s="25" t="n"/>
      <c r="AD66" s="25" t="n"/>
    </row>
    <row r="67" customFormat="1" s="24">
      <c r="A67" s="51" t="inlineStr">
        <is>
          <t>phonenumber</t>
        </is>
      </c>
      <c r="B67" s="25" t="inlineStr">
        <is>
          <t>fieldname</t>
        </is>
      </c>
      <c r="C67" s="26"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c r="Z67" s="25" t="n"/>
      <c r="AA67" s="25" t="n"/>
      <c r="AB67" s="25" t="n"/>
      <c r="AC67" s="25" t="n"/>
      <c r="AD67" s="25" t="n"/>
    </row>
    <row r="68" customFormat="1" s="24">
      <c r="A68" s="51" t="inlineStr">
        <is>
          <t>comments</t>
        </is>
      </c>
      <c r="B68" s="25" t="inlineStr">
        <is>
          <t>fieldname</t>
        </is>
      </c>
      <c r="C68" s="26"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c r="AA68" s="25" t="n"/>
      <c r="AB68" s="25" t="n"/>
      <c r="AC68" s="25" t="n"/>
      <c r="AD68" s="25" t="n"/>
    </row>
    <row r="69" customFormat="1" s="24">
      <c r="A69" s="51" t="inlineStr">
        <is>
          <t>calculate</t>
        </is>
      </c>
      <c r="B69" s="25" t="inlineStr">
        <is>
          <t>fieldname</t>
        </is>
      </c>
      <c r="C69" s="26" t="n"/>
      <c r="D69" s="25" t="n"/>
      <c r="E69" s="25" t="n"/>
      <c r="F69" s="25" t="n"/>
      <c r="G69" s="25" t="n"/>
      <c r="H69" s="25" t="n"/>
      <c r="I69" s="25" t="n"/>
      <c r="J69" s="25" t="n"/>
      <c r="K69" s="25" t="n"/>
      <c r="L69" s="25" t="n"/>
      <c r="M69" s="25" t="n"/>
      <c r="N69" s="25" t="n"/>
      <c r="O69" s="25" t="n"/>
      <c r="P69" s="25" t="n"/>
      <c r="Q69" s="25" t="n"/>
      <c r="R69" s="25" t="inlineStr">
        <is>
          <t>(${age1}+${age2}+${age3}) div 3</t>
        </is>
      </c>
      <c r="S69" s="25" t="n"/>
      <c r="T69" s="25" t="n"/>
      <c r="U69" s="25" t="n"/>
      <c r="V69" s="25" t="n"/>
      <c r="W69" s="25" t="n"/>
      <c r="X69" s="25" t="n"/>
      <c r="Y69" s="25" t="n"/>
      <c r="Z69" s="25" t="n"/>
      <c r="AA69" s="25" t="n"/>
      <c r="AB69" s="25" t="n"/>
      <c r="AC69" s="25" t="n"/>
      <c r="AD69" s="25" t="n"/>
    </row>
    <row r="70" customFormat="1" s="24">
      <c r="A70" s="51" t="inlineStr">
        <is>
          <t>calculate_here</t>
        </is>
      </c>
      <c r="B70" s="25" t="inlineStr">
        <is>
          <t>fieldname</t>
        </is>
      </c>
      <c r="C70" s="26" t="n"/>
      <c r="D70" s="25" t="n"/>
      <c r="E70" s="25" t="n"/>
      <c r="F70" s="25" t="n"/>
      <c r="G70" s="25" t="n"/>
      <c r="H70" s="25" t="n"/>
      <c r="I70" s="25" t="n"/>
      <c r="J70" s="25" t="n"/>
      <c r="K70" s="25" t="n"/>
      <c r="L70" s="25" t="n"/>
      <c r="M70" s="25" t="n"/>
      <c r="N70" s="25" t="n"/>
      <c r="O70" s="25" t="n"/>
      <c r="P70" s="25" t="n"/>
      <c r="Q70" s="25" t="n"/>
      <c r="R70" s="25" t="inlineStr">
        <is>
          <t>once(format-date-time(now(), '%Y-%b-%e %H:%M:%S'))</t>
        </is>
      </c>
      <c r="S70" s="25" t="n"/>
      <c r="T70" s="25" t="n"/>
      <c r="U70" s="25" t="n"/>
      <c r="V70" s="25" t="n"/>
      <c r="W70" s="25" t="n"/>
      <c r="X70" s="25" t="n"/>
      <c r="Y70" s="25" t="n"/>
      <c r="Z70" s="25" t="n"/>
      <c r="AA70" s="25" t="n"/>
      <c r="AB70" s="25" t="n"/>
      <c r="AC70" s="25" t="n"/>
      <c r="AD70" s="25" t="n"/>
    </row>
    <row r="71" customFormat="1" s="24">
      <c r="A71" s="51" t="inlineStr">
        <is>
          <t>text audit</t>
        </is>
      </c>
      <c r="B71" s="25" t="inlineStr">
        <is>
          <t>fieldname</t>
        </is>
      </c>
      <c r="C71" s="26" t="n"/>
      <c r="D71" s="25" t="n"/>
      <c r="E71" s="25" t="n"/>
      <c r="F71" s="25" t="n"/>
      <c r="G71" s="25" t="n"/>
      <c r="H71" s="25" t="inlineStr">
        <is>
          <t>p = 50</t>
        </is>
      </c>
      <c r="I71" s="25" t="n"/>
      <c r="J71" s="25" t="n"/>
      <c r="K71" s="25" t="n"/>
      <c r="L71" s="25" t="n"/>
      <c r="M71" s="25" t="n"/>
      <c r="N71" s="25" t="n"/>
      <c r="O71" s="25" t="n"/>
      <c r="P71" s="25" t="n"/>
      <c r="Q71" s="25" t="n"/>
      <c r="R71" s="25" t="n"/>
      <c r="S71" s="25" t="n"/>
      <c r="T71" s="25" t="n"/>
      <c r="U71" s="25" t="n"/>
      <c r="V71" s="25" t="n"/>
      <c r="W71" s="25" t="n"/>
      <c r="X71" s="25" t="n"/>
      <c r="Y71" s="25" t="n"/>
      <c r="Z71" s="25" t="n"/>
      <c r="AA71" s="25" t="n"/>
      <c r="AB71" s="25" t="n"/>
      <c r="AC71" s="25" t="n"/>
      <c r="AD71" s="25" t="n"/>
    </row>
    <row r="72" customFormat="1" s="24">
      <c r="A72" s="25" t="inlineStr">
        <is>
          <t>text audit</t>
        </is>
      </c>
      <c r="B72" s="25" t="inlineStr">
        <is>
          <t>fieldname</t>
        </is>
      </c>
      <c r="C72" s="26" t="n"/>
      <c r="D72" s="25" t="n"/>
      <c r="E72" s="25" t="n"/>
      <c r="F72" s="25" t="n"/>
      <c r="G72" s="25" t="n"/>
      <c r="H72" s="25" t="inlineStr">
        <is>
          <t>p = 50; eventlog; choices</t>
        </is>
      </c>
      <c r="I72" s="25" t="n"/>
      <c r="J72" s="25" t="n"/>
      <c r="K72" s="25" t="n"/>
      <c r="L72" s="25" t="n"/>
      <c r="M72" s="25" t="n"/>
      <c r="N72" s="25" t="n"/>
      <c r="O72" s="25" t="n"/>
      <c r="P72" s="25" t="n"/>
      <c r="Q72" s="25" t="n"/>
      <c r="R72" s="25" t="n"/>
      <c r="S72" s="25" t="n"/>
      <c r="T72" s="25" t="n"/>
      <c r="U72" s="25" t="n"/>
      <c r="V72" s="25" t="n"/>
      <c r="W72" s="25" t="n"/>
      <c r="X72" s="25" t="n"/>
      <c r="Y72" s="25" t="n"/>
      <c r="Z72" s="25" t="n"/>
      <c r="AA72" s="25" t="n"/>
      <c r="AB72" s="25" t="n"/>
      <c r="AC72" s="25" t="n"/>
      <c r="AD72" s="25" t="n"/>
    </row>
    <row r="73" customFormat="1" s="24">
      <c r="A73" s="51" t="inlineStr">
        <is>
          <t>audio audit</t>
        </is>
      </c>
      <c r="B73" s="25" t="inlineStr">
        <is>
          <t>fieldname</t>
        </is>
      </c>
      <c r="C73" s="26" t="n"/>
      <c r="D73" s="25" t="n"/>
      <c r="E73" s="25" t="n"/>
      <c r="F73" s="25" t="n"/>
      <c r="G73" s="25" t="n"/>
      <c r="H73" s="25" t="inlineStr">
        <is>
          <t>p = 50; s = 0; d = 60</t>
        </is>
      </c>
      <c r="I73" s="25" t="n"/>
      <c r="J73" s="25" t="n"/>
      <c r="K73" s="25" t="n"/>
      <c r="L73" s="25" t="n"/>
      <c r="M73" s="25" t="n"/>
      <c r="N73" s="25" t="n"/>
      <c r="O73" s="25" t="n"/>
      <c r="P73" s="25" t="n"/>
      <c r="Q73" s="25" t="n"/>
      <c r="R73" s="25" t="n"/>
      <c r="S73" s="25" t="n"/>
      <c r="T73" s="25" t="n"/>
      <c r="U73" s="25" t="n"/>
      <c r="V73" s="25" t="n"/>
      <c r="W73" s="25" t="n"/>
      <c r="X73" s="25" t="n"/>
      <c r="Y73" s="25" t="n"/>
      <c r="Z73" s="25" t="n"/>
      <c r="AA73" s="25" t="n"/>
      <c r="AB73" s="25" t="n"/>
      <c r="AC73" s="25" t="n"/>
      <c r="AD73" s="25" t="n"/>
    </row>
    <row r="74" customFormat="1" s="24">
      <c r="A74" s="51" t="inlineStr">
        <is>
          <t>audio audit</t>
        </is>
      </c>
      <c r="B74" s="25" t="inlineStr">
        <is>
          <t>fieldname</t>
        </is>
      </c>
      <c r="C74" s="26" t="n"/>
      <c r="D74" s="25" t="n"/>
      <c r="E74" s="25" t="n"/>
      <c r="F74" s="25" t="n"/>
      <c r="G74" s="25" t="n"/>
      <c r="H74" s="25" t="inlineStr">
        <is>
          <t>p = 50; s = 0-600; d = 60</t>
        </is>
      </c>
      <c r="I74" s="25" t="n"/>
      <c r="J74" s="25" t="n"/>
      <c r="K74" s="25" t="n"/>
      <c r="L74" s="25" t="n"/>
      <c r="M74" s="25" t="n"/>
      <c r="N74" s="25" t="n"/>
      <c r="O74" s="25" t="n"/>
      <c r="P74" s="25" t="n"/>
      <c r="Q74" s="25" t="n"/>
      <c r="R74" s="25" t="n"/>
      <c r="S74" s="25" t="n"/>
      <c r="T74" s="25" t="n"/>
      <c r="U74" s="25" t="n"/>
      <c r="V74" s="25" t="n"/>
      <c r="W74" s="25" t="n"/>
      <c r="X74" s="25" t="n"/>
      <c r="Y74" s="25" t="n"/>
      <c r="Z74" s="25" t="n"/>
      <c r="AA74" s="25" t="n"/>
      <c r="AB74" s="25" t="n"/>
      <c r="AC74" s="25" t="n"/>
      <c r="AD74" s="25" t="n"/>
    </row>
    <row r="75" customFormat="1" s="24">
      <c r="A75" s="51" t="inlineStr">
        <is>
          <t>audio audit</t>
        </is>
      </c>
      <c r="B75" s="25" t="inlineStr">
        <is>
          <t>fieldname</t>
        </is>
      </c>
      <c r="C75" s="26" t="n"/>
      <c r="D75" s="25" t="n"/>
      <c r="E75" s="25" t="n"/>
      <c r="F75" s="25" t="n"/>
      <c r="G75" s="25" t="n"/>
      <c r="H75" s="25" t="inlineStr">
        <is>
          <t>p = 50; s = firstfield; d = lastfield</t>
        </is>
      </c>
      <c r="I75" s="25" t="n"/>
      <c r="J75" s="25" t="n"/>
      <c r="K75" s="25" t="n"/>
      <c r="L75" s="25" t="n"/>
      <c r="M75" s="25" t="n"/>
      <c r="N75" s="25" t="n"/>
      <c r="O75" s="25" t="n"/>
      <c r="P75" s="25" t="n"/>
      <c r="Q75" s="25" t="n"/>
      <c r="R75" s="25" t="n"/>
      <c r="S75" s="25" t="n"/>
      <c r="T75" s="25" t="n"/>
      <c r="U75" s="25" t="n"/>
      <c r="V75" s="25" t="n"/>
      <c r="W75" s="25" t="n"/>
      <c r="X75" s="25" t="n"/>
      <c r="Y75" s="25" t="n"/>
      <c r="Z75" s="25" t="n"/>
      <c r="AA75" s="25" t="n"/>
      <c r="AB75" s="25" t="n"/>
      <c r="AC75" s="25" t="n"/>
      <c r="AD75" s="25" t="n"/>
    </row>
    <row r="76" ht="17" customFormat="1" customHeight="1" s="24">
      <c r="A76" s="51" t="inlineStr">
        <is>
          <t>begin group</t>
        </is>
      </c>
      <c r="B76" s="25" t="inlineStr">
        <is>
          <t>groupname</t>
        </is>
      </c>
      <c r="C76" s="26" t="inlineStr">
        <is>
          <t>Standard group</t>
        </is>
      </c>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c r="AA76" s="25" t="n"/>
      <c r="AB76" s="25" t="n"/>
      <c r="AC76" s="25" t="n"/>
      <c r="AD76" s="25" t="n"/>
    </row>
    <row r="77" customFormat="1" s="24">
      <c r="A77" s="25" t="inlineStr">
        <is>
          <t>…</t>
        </is>
      </c>
      <c r="B77" s="25" t="n"/>
      <c r="C77" s="26"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c r="Z77" s="25" t="n"/>
      <c r="AA77" s="25" t="n"/>
      <c r="AB77" s="25" t="n"/>
      <c r="AC77" s="25" t="n"/>
      <c r="AD77" s="25" t="n"/>
    </row>
    <row r="78" customFormat="1" s="24">
      <c r="A78" s="25" t="inlineStr">
        <is>
          <t>end group</t>
        </is>
      </c>
      <c r="B78" s="25" t="inlineStr">
        <is>
          <t>groupname</t>
        </is>
      </c>
      <c r="C78" s="26"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c r="AA78" s="25" t="n"/>
      <c r="AB78" s="25" t="n"/>
      <c r="AC78" s="25" t="n"/>
      <c r="AD78" s="25" t="n"/>
    </row>
    <row r="79" ht="17" customFormat="1" customHeight="1" s="24">
      <c r="A79" s="51" t="inlineStr">
        <is>
          <t>begin repeat</t>
        </is>
      </c>
      <c r="B79" s="25" t="inlineStr">
        <is>
          <t>repeatname</t>
        </is>
      </c>
      <c r="C79" s="26" t="inlineStr">
        <is>
          <t>Standard repeated group</t>
        </is>
      </c>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c r="Z79" s="25" t="n"/>
      <c r="AA79" s="25" t="n"/>
      <c r="AB79" s="25" t="n"/>
      <c r="AC79" s="25" t="n"/>
      <c r="AD79" s="25" t="n"/>
    </row>
    <row r="80" customFormat="1" s="24">
      <c r="A80" s="25" t="inlineStr">
        <is>
          <t>…</t>
        </is>
      </c>
      <c r="B80" s="25" t="n"/>
      <c r="C80" s="26"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c r="AA80" s="25" t="n"/>
      <c r="AB80" s="25" t="n"/>
      <c r="AC80" s="25" t="n"/>
      <c r="AD80" s="25" t="n"/>
    </row>
    <row r="81" customFormat="1" s="24">
      <c r="A81" s="25" t="inlineStr">
        <is>
          <t>end repeat</t>
        </is>
      </c>
      <c r="B81" s="25" t="inlineStr">
        <is>
          <t>repeatname</t>
        </is>
      </c>
      <c r="C81" s="26"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c r="Z81" s="25" t="n"/>
      <c r="AA81" s="25" t="n"/>
      <c r="AB81" s="25" t="n"/>
      <c r="AC81" s="25" t="n"/>
      <c r="AD81" s="25" t="n"/>
    </row>
    <row r="82" ht="17" customFormat="1" customHeight="1" s="24">
      <c r="A82" s="51" t="inlineStr">
        <is>
          <t>begin repeat</t>
        </is>
      </c>
      <c r="B82" s="25" t="inlineStr">
        <is>
          <t>repeatname</t>
        </is>
      </c>
      <c r="C82" s="26" t="inlineStr">
        <is>
          <t>Group repeated exactly three times</t>
        </is>
      </c>
      <c r="D82" s="25" t="n"/>
      <c r="E82" s="25" t="n"/>
      <c r="F82" s="25" t="n"/>
      <c r="G82" s="25" t="n"/>
      <c r="H82" s="25" t="n"/>
      <c r="I82" s="25" t="n"/>
      <c r="J82" s="25" t="n"/>
      <c r="K82" s="25" t="n"/>
      <c r="L82" s="25" t="n"/>
      <c r="M82" s="25" t="n"/>
      <c r="N82" s="25" t="n"/>
      <c r="O82" s="25" t="n"/>
      <c r="P82" s="25" t="n"/>
      <c r="Q82" s="25" t="n"/>
      <c r="R82" s="25" t="n"/>
      <c r="S82" s="27" t="n">
        <v>3</v>
      </c>
      <c r="T82" s="25" t="n"/>
      <c r="U82" s="25" t="n"/>
      <c r="V82" s="25" t="n"/>
      <c r="W82" s="25" t="n"/>
      <c r="X82" s="25" t="n"/>
      <c r="Y82" s="25" t="n"/>
      <c r="Z82" s="25" t="n"/>
      <c r="AA82" s="25" t="n"/>
      <c r="AB82" s="25" t="n"/>
      <c r="AC82" s="25" t="n"/>
      <c r="AD82" s="25" t="n"/>
    </row>
    <row r="83" customFormat="1" s="24">
      <c r="A83" s="25" t="inlineStr">
        <is>
          <t>…</t>
        </is>
      </c>
      <c r="B83" s="25" t="n"/>
      <c r="C83" s="26"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c r="Z83" s="25" t="n"/>
      <c r="AA83" s="25" t="n"/>
      <c r="AB83" s="25" t="n"/>
      <c r="AC83" s="25" t="n"/>
      <c r="AD83" s="25" t="n"/>
    </row>
    <row r="84" customFormat="1" s="24">
      <c r="A84" s="25" t="inlineStr">
        <is>
          <t>end repeat</t>
        </is>
      </c>
      <c r="B84" s="25" t="inlineStr">
        <is>
          <t>repeatname</t>
        </is>
      </c>
      <c r="C84" s="26"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c r="AA84" s="25" t="n"/>
      <c r="AB84" s="25" t="n"/>
      <c r="AC84" s="25" t="n"/>
      <c r="AD84" s="25" t="n"/>
    </row>
    <row r="85" customFormat="1" s="24">
      <c r="A85" s="51" t="inlineStr">
        <is>
          <t>speed violations count</t>
        </is>
      </c>
      <c r="B85" s="25" t="inlineStr">
        <is>
          <t>fieldname</t>
        </is>
      </c>
      <c r="C85" s="26"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c r="Z85" s="25" t="n"/>
      <c r="AA85" s="25" t="n"/>
      <c r="AB85" s="25" t="n"/>
      <c r="AC85" s="25" t="n"/>
      <c r="AD85" s="25" t="n"/>
    </row>
    <row r="86" customFormat="1" s="24">
      <c r="A86" s="51" t="inlineStr">
        <is>
          <t>speed violations list</t>
        </is>
      </c>
      <c r="B86" s="25" t="inlineStr">
        <is>
          <t>fieldname</t>
        </is>
      </c>
      <c r="C86" s="26"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c r="AA86" s="25" t="n"/>
      <c r="AB86" s="25" t="n"/>
      <c r="AC86" s="25" t="n"/>
      <c r="AD86" s="25" t="n"/>
    </row>
    <row r="87" customFormat="1" s="24">
      <c r="A87" s="51" t="inlineStr">
        <is>
          <t>speed violations audit</t>
        </is>
      </c>
      <c r="B87" s="25" t="inlineStr">
        <is>
          <t>fieldname</t>
        </is>
      </c>
      <c r="C87" s="26" t="n"/>
      <c r="D87" s="25" t="n"/>
      <c r="E87" s="25" t="n"/>
      <c r="F87" s="25" t="n"/>
      <c r="G87" s="25" t="n"/>
      <c r="H87" s="25" t="inlineStr">
        <is>
          <t>v = 5; d = 120</t>
        </is>
      </c>
      <c r="I87" s="25" t="n"/>
      <c r="J87" s="25" t="n"/>
      <c r="K87" s="25" t="n"/>
      <c r="L87" s="25" t="n"/>
      <c r="M87" s="25" t="n"/>
      <c r="N87" s="25" t="n"/>
      <c r="O87" s="25" t="n"/>
      <c r="P87" s="25" t="n"/>
      <c r="Q87" s="25" t="n"/>
      <c r="R87" s="25" t="n"/>
      <c r="S87" s="25" t="n"/>
      <c r="T87" s="25" t="n"/>
      <c r="U87" s="25" t="n"/>
      <c r="V87" s="25" t="n"/>
      <c r="W87" s="25" t="n"/>
      <c r="X87" s="25" t="n"/>
      <c r="Y87" s="25" t="n"/>
      <c r="Z87" s="25" t="n"/>
      <c r="AA87" s="25" t="n"/>
      <c r="AB87" s="25" t="n"/>
      <c r="AC87" s="25" t="n"/>
      <c r="AD87" s="25" t="n"/>
    </row>
    <row r="88" customFormat="1" s="24">
      <c r="A88" s="51" t="inlineStr">
        <is>
          <t>sensor_stream movement</t>
        </is>
      </c>
      <c r="B88" s="25" t="inlineStr">
        <is>
          <t>fieldname</t>
        </is>
      </c>
      <c r="C88" s="26" t="n"/>
      <c r="D88" s="25" t="n"/>
      <c r="E88" s="25" t="n"/>
      <c r="F88" s="25" t="n"/>
      <c r="G88" s="25" t="n"/>
      <c r="H88" s="25" t="inlineStr">
        <is>
          <t>period = 1</t>
        </is>
      </c>
      <c r="I88" s="25" t="n"/>
      <c r="J88" s="25" t="n"/>
      <c r="K88" s="25" t="n"/>
      <c r="L88" s="25" t="n"/>
      <c r="M88" s="25" t="n"/>
      <c r="N88" s="25" t="n"/>
      <c r="O88" s="25" t="n"/>
      <c r="P88" s="25" t="n"/>
      <c r="Q88" s="25" t="n"/>
      <c r="R88" s="25" t="n"/>
      <c r="S88" s="25" t="n"/>
      <c r="T88" s="25" t="n"/>
      <c r="U88" s="25" t="n"/>
      <c r="V88" s="25" t="n"/>
      <c r="W88" s="25" t="n"/>
      <c r="X88" s="25" t="n"/>
      <c r="Y88" s="25" t="n"/>
      <c r="Z88" s="25" t="n"/>
      <c r="AA88" s="25" t="n"/>
      <c r="AB88" s="25" t="n"/>
      <c r="AC88" s="25" t="n"/>
      <c r="AD88" s="25" t="n"/>
    </row>
    <row r="89" customFormat="1" s="24">
      <c r="A89" s="51" t="inlineStr">
        <is>
          <t>sensor_statistic pct_movement_between</t>
        </is>
      </c>
      <c r="B89" s="25" t="inlineStr">
        <is>
          <t>fieldname</t>
        </is>
      </c>
      <c r="C89" s="26" t="n"/>
      <c r="D89" s="25" t="n"/>
      <c r="E89" s="25" t="n"/>
      <c r="F89" s="25" t="n"/>
      <c r="G89" s="25" t="n"/>
      <c r="H89" s="25" t="inlineStr">
        <is>
          <t>min = 0.25; max = 2</t>
        </is>
      </c>
      <c r="I89" s="25" t="n"/>
      <c r="J89" s="25" t="n"/>
      <c r="K89" s="25" t="n"/>
      <c r="L89" s="25" t="n"/>
      <c r="M89" s="25" t="n"/>
      <c r="N89" s="25" t="n"/>
      <c r="O89" s="25" t="n"/>
      <c r="P89" s="25" t="n"/>
      <c r="Q89" s="25" t="n"/>
      <c r="R89" s="25" t="n"/>
      <c r="S89" s="25" t="n"/>
      <c r="T89" s="25" t="n"/>
      <c r="U89" s="25" t="n"/>
      <c r="V89" s="25" t="n"/>
      <c r="W89" s="25" t="n"/>
      <c r="X89" s="25" t="n"/>
      <c r="Y89" s="25" t="n"/>
      <c r="Z89" s="25" t="n"/>
      <c r="AA89" s="25" t="n"/>
      <c r="AB89" s="25" t="n"/>
      <c r="AC89" s="25" t="n"/>
      <c r="AD89" s="25" t="n"/>
    </row>
    <row r="91">
      <c r="A91" s="106" t="inlineStr">
        <is>
          <t>Quick reference for relevance, constraint, and selected calculation expressions</t>
        </is>
      </c>
      <c r="B91" s="164" t="n"/>
      <c r="C91" s="35" t="n"/>
      <c r="D91" s="36" t="n"/>
    </row>
    <row r="92">
      <c r="A92" s="165" t="inlineStr">
        <is>
          <t>Learn about all available expressions in "Using expressions in your forms: a reference for all operators and functions"</t>
        </is>
      </c>
      <c r="B92" s="166" t="n"/>
      <c r="C92" s="164" t="n"/>
      <c r="D92" s="36" t="n"/>
    </row>
    <row r="94">
      <c r="A94" s="14" t="inlineStr">
        <is>
          <t>Operation</t>
        </is>
      </c>
      <c r="B94" s="14" t="inlineStr">
        <is>
          <t>Operator</t>
        </is>
      </c>
      <c r="C94" s="14" t="inlineStr">
        <is>
          <t>Example</t>
        </is>
      </c>
      <c r="D94" s="14" t="inlineStr">
        <is>
          <t>Example answer</t>
        </is>
      </c>
    </row>
    <row r="95">
      <c r="A95" s="15" t="inlineStr">
        <is>
          <t>Addition</t>
        </is>
      </c>
      <c r="B95" s="15" t="inlineStr">
        <is>
          <t>+</t>
        </is>
      </c>
      <c r="C95" s="15" t="inlineStr">
        <is>
          <t>1 + 1</t>
        </is>
      </c>
      <c r="D95" s="15" t="n">
        <v>2</v>
      </c>
    </row>
    <row r="96">
      <c r="A96" s="15" t="inlineStr">
        <is>
          <t>Subtraction</t>
        </is>
      </c>
      <c r="B96" s="15" t="inlineStr">
        <is>
          <t>-</t>
        </is>
      </c>
      <c r="C96" s="16">
        <f>"3 - 2"</f>
        <v/>
      </c>
      <c r="D96" s="15" t="n">
        <v>1</v>
      </c>
    </row>
    <row r="97">
      <c r="A97" s="15" t="inlineStr">
        <is>
          <t>Multiplication</t>
        </is>
      </c>
      <c r="B97" s="15" t="inlineStr">
        <is>
          <t>*</t>
        </is>
      </c>
      <c r="C97" s="15" t="inlineStr">
        <is>
          <t>3 * 2</t>
        </is>
      </c>
      <c r="D97" s="15" t="n">
        <v>6</v>
      </c>
    </row>
    <row r="98">
      <c r="A98" s="15" t="inlineStr">
        <is>
          <t>Division</t>
        </is>
      </c>
      <c r="B98" s="15" t="inlineStr">
        <is>
          <t>div</t>
        </is>
      </c>
      <c r="C98" s="15" t="inlineStr">
        <is>
          <t>10 div 2</t>
        </is>
      </c>
      <c r="D98" s="15" t="n">
        <v>5</v>
      </c>
    </row>
    <row r="99">
      <c r="A99" s="15" t="inlineStr">
        <is>
          <t>Modulus</t>
        </is>
      </c>
      <c r="B99" s="15" t="inlineStr">
        <is>
          <t>mod</t>
        </is>
      </c>
      <c r="C99" s="15" t="inlineStr">
        <is>
          <t>9 mod 2</t>
        </is>
      </c>
      <c r="D99" s="15" t="n">
        <v>1</v>
      </c>
    </row>
    <row r="100">
      <c r="A100" s="15" t="inlineStr">
        <is>
          <t>Equal</t>
        </is>
      </c>
      <c r="B100" s="15" t="inlineStr">
        <is>
          <t>=</t>
        </is>
      </c>
      <c r="C100" s="15" t="inlineStr">
        <is>
          <t>${fieldname} = 3</t>
        </is>
      </c>
      <c r="D100" s="15" t="inlineStr">
        <is>
          <t>true or false</t>
        </is>
      </c>
    </row>
    <row r="101">
      <c r="A101" s="15" t="inlineStr">
        <is>
          <t>Not equal</t>
        </is>
      </c>
      <c r="B101" s="15" t="inlineStr">
        <is>
          <t>!=</t>
        </is>
      </c>
      <c r="C101" s="15" t="inlineStr">
        <is>
          <t>${fieldname} != 3</t>
        </is>
      </c>
      <c r="D101" s="15" t="inlineStr">
        <is>
          <t>true or false</t>
        </is>
      </c>
    </row>
    <row r="102">
      <c r="A102" s="15" t="inlineStr">
        <is>
          <t>Greater-than</t>
        </is>
      </c>
      <c r="B102" s="15" t="inlineStr">
        <is>
          <t>&gt;</t>
        </is>
      </c>
      <c r="C102" s="15" t="inlineStr">
        <is>
          <t>${fieldname} &gt; 3</t>
        </is>
      </c>
      <c r="D102" s="15" t="inlineStr">
        <is>
          <t>true or false</t>
        </is>
      </c>
    </row>
    <row r="103">
      <c r="A103" s="15" t="inlineStr">
        <is>
          <t>&gt;-or-equal</t>
        </is>
      </c>
      <c r="B103" s="15" t="inlineStr">
        <is>
          <t>&gt;=</t>
        </is>
      </c>
      <c r="C103" s="15" t="inlineStr">
        <is>
          <t>${fieldname} &gt;= 3</t>
        </is>
      </c>
      <c r="D103" s="15" t="inlineStr">
        <is>
          <t>true or false</t>
        </is>
      </c>
    </row>
    <row r="104">
      <c r="A104" s="15" t="inlineStr">
        <is>
          <t>Less-than</t>
        </is>
      </c>
      <c r="B104" s="15" t="inlineStr">
        <is>
          <t>&lt;</t>
        </is>
      </c>
      <c r="C104" s="15" t="inlineStr">
        <is>
          <t>${fieldname} &lt; 3</t>
        </is>
      </c>
      <c r="D104" s="15" t="inlineStr">
        <is>
          <t>true or false</t>
        </is>
      </c>
    </row>
    <row r="105">
      <c r="A105" s="15" t="inlineStr">
        <is>
          <t>&lt;-or-equal</t>
        </is>
      </c>
      <c r="B105" s="15" t="inlineStr">
        <is>
          <t>&lt;=</t>
        </is>
      </c>
      <c r="C105" s="15" t="inlineStr">
        <is>
          <t>${fieldname} &lt;= 3</t>
        </is>
      </c>
      <c r="D105" s="15" t="inlineStr">
        <is>
          <t>true or false</t>
        </is>
      </c>
    </row>
    <row r="106">
      <c r="A106" s="15" t="inlineStr">
        <is>
          <t>Or</t>
        </is>
      </c>
      <c r="B106" s="15" t="inlineStr">
        <is>
          <t>or</t>
        </is>
      </c>
      <c r="C106" s="15" t="inlineStr">
        <is>
          <t>${fieldname} = 3 or ${fieldname} = 4</t>
        </is>
      </c>
      <c r="D106" s="15" t="inlineStr">
        <is>
          <t>true or false</t>
        </is>
      </c>
    </row>
    <row r="107">
      <c r="A107" s="15" t="inlineStr">
        <is>
          <t>And</t>
        </is>
      </c>
      <c r="B107" s="15" t="inlineStr">
        <is>
          <t>and</t>
        </is>
      </c>
      <c r="C107" s="15" t="inlineStr">
        <is>
          <t>${fieldname} &gt; 3 and ${fieldname} &lt; 5</t>
        </is>
      </c>
      <c r="D107" s="15" t="inlineStr">
        <is>
          <t>true or false</t>
        </is>
      </c>
    </row>
    <row r="108">
      <c r="A108" s="15" t="inlineStr">
        <is>
          <t>Not</t>
        </is>
      </c>
      <c r="B108" s="15" t="inlineStr">
        <is>
          <t>not()</t>
        </is>
      </c>
      <c r="C108" s="15" t="inlineStr">
        <is>
          <t>not(${fieldname} &gt; 3 and ${fieldname} &lt; 5)</t>
        </is>
      </c>
      <c r="D108" s="15" t="inlineStr">
        <is>
          <t>false or true</t>
        </is>
      </c>
    </row>
    <row r="109">
      <c r="A109" s="17" t="n"/>
      <c r="B109" s="17" t="n"/>
      <c r="C109" s="18" t="n"/>
      <c r="D109" s="17" t="n"/>
    </row>
    <row r="110">
      <c r="A110" s="17" t="n"/>
      <c r="B110" s="14" t="inlineStr">
        <is>
          <t>Function</t>
        </is>
      </c>
      <c r="C110" s="14" t="inlineStr">
        <is>
          <t>Example</t>
        </is>
      </c>
      <c r="D110" s="17" t="n"/>
    </row>
    <row r="111">
      <c r="A111" s="17" t="n"/>
      <c r="B111" s="15" t="inlineStr">
        <is>
          <t>relevant(field)</t>
        </is>
      </c>
      <c r="C111" s="15" t="inlineStr">
        <is>
          <t>relevant(${followup_question})</t>
        </is>
      </c>
      <c r="D111" s="17" t="n"/>
    </row>
    <row r="112" ht="17" customHeight="1">
      <c r="A112" s="17" t="n"/>
      <c r="B112" s="15" t="inlineStr">
        <is>
          <t>empty(field)</t>
        </is>
      </c>
      <c r="C112" s="31" t="inlineStr">
        <is>
          <t>empty(${consent})</t>
        </is>
      </c>
      <c r="D112" s="17" t="n"/>
    </row>
    <row r="113" ht="17" customHeight="1">
      <c r="A113" s="17" t="n"/>
      <c r="B113" s="19" t="inlineStr">
        <is>
          <t>once(expression)</t>
        </is>
      </c>
      <c r="C113" s="20" t="inlineStr">
        <is>
          <t>once(random())</t>
        </is>
      </c>
      <c r="D113" s="17" t="n"/>
    </row>
    <row r="114" ht="17" customHeight="1">
      <c r="A114" s="17" t="n"/>
      <c r="B114" s="20" t="inlineStr">
        <is>
          <t>once(random())</t>
        </is>
      </c>
      <c r="C114" s="20" t="inlineStr">
        <is>
          <t>once(random())</t>
        </is>
      </c>
      <c r="D114" s="17" t="n"/>
    </row>
    <row r="115" ht="34" customHeight="1">
      <c r="A115" s="17" t="n"/>
      <c r="B115" s="20" t="inlineStr">
        <is>
          <t>pulldata(csvname, colname, lookupcolname, lookupval)</t>
        </is>
      </c>
      <c r="C115" s="20" t="inlineStr">
        <is>
          <t>pulldata('hhplotdata', 'plot1size', 'hhid_key', ${hhid})</t>
        </is>
      </c>
      <c r="D115" s="17" t="n"/>
    </row>
    <row r="116" ht="17" customHeight="1">
      <c r="A116" s="17" t="n"/>
      <c r="B116" s="20" t="inlineStr">
        <is>
          <t>string-length(field)</t>
        </is>
      </c>
      <c r="C116" s="20" t="inlineStr">
        <is>
          <t>string-length(.) &gt; 3</t>
        </is>
      </c>
      <c r="D116" s="17" t="n"/>
    </row>
    <row r="117" ht="17" customHeight="1">
      <c r="A117" s="17" t="n"/>
      <c r="B117" s="20" t="inlineStr">
        <is>
          <t>count-selected(field)</t>
        </is>
      </c>
      <c r="C117" s="20" t="inlineStr">
        <is>
          <t>count-selected(.) &gt;= 1</t>
        </is>
      </c>
      <c r="D117" s="17" t="n"/>
    </row>
    <row r="118" ht="17" customHeight="1">
      <c r="A118" s="17" t="n"/>
      <c r="B118" s="20" t="inlineStr">
        <is>
          <t>selected(field, value)</t>
        </is>
      </c>
      <c r="C118" s="20" t="inlineStr">
        <is>
          <t>selected(${fieldname}, 'Male')</t>
        </is>
      </c>
      <c r="D118" s="17" t="n"/>
    </row>
    <row r="119" ht="17" customHeight="1">
      <c r="A119" s="17" t="n"/>
      <c r="B119" s="20" t="inlineStr">
        <is>
          <t>selected-at(field, number)</t>
        </is>
      </c>
      <c r="C119" s="20" t="inlineStr">
        <is>
          <t>selected-at(${fieldname}, 0) = 'Shona'</t>
        </is>
      </c>
      <c r="D119" s="17" t="n"/>
    </row>
    <row r="120" ht="34" customHeight="1">
      <c r="A120" s="17" t="n"/>
      <c r="B120" s="20" t="inlineStr">
        <is>
          <t>choice-label(field, value)</t>
        </is>
      </c>
      <c r="C120" s="20" t="inlineStr">
        <is>
          <t>choice-label(${selectonefield}, ${selectonefield})</t>
        </is>
      </c>
      <c r="D120" s="17" t="n"/>
    </row>
    <row r="121" ht="17" customHeight="1">
      <c r="A121" s="17" t="n"/>
      <c r="B121" s="20" t="inlineStr">
        <is>
          <t>concat(fieldorstring, fieldorstring, ...)</t>
        </is>
      </c>
      <c r="C121" s="20" t="inlineStr">
        <is>
          <t>concat(${firstname}, ' ', ${lastname})</t>
        </is>
      </c>
      <c r="D121" s="17" t="n"/>
    </row>
    <row r="122" ht="17" customHeight="1">
      <c r="A122" s="17" t="n"/>
      <c r="B122" s="20" t="inlineStr">
        <is>
          <t>index()</t>
        </is>
      </c>
      <c r="C122" s="20" t="inlineStr">
        <is>
          <t>index()</t>
        </is>
      </c>
      <c r="D122" s="17" t="n"/>
    </row>
    <row r="123" ht="17" customHeight="1">
      <c r="A123" s="17" t="n"/>
      <c r="B123" s="20" t="inlineStr">
        <is>
          <t>count(repeatgroup)</t>
        </is>
      </c>
      <c r="C123" s="20" t="inlineStr">
        <is>
          <t>count(${repeatgroupname})</t>
        </is>
      </c>
      <c r="D123" s="17" t="n"/>
    </row>
    <row r="124" ht="17" customHeight="1">
      <c r="A124" s="17" t="n"/>
      <c r="B124" s="20" t="inlineStr">
        <is>
          <t>sum(repeatedfield)</t>
        </is>
      </c>
      <c r="C124" s="20" t="inlineStr">
        <is>
          <t>sum(${loan_size})</t>
        </is>
      </c>
      <c r="D124" s="17" t="n"/>
    </row>
    <row r="125" ht="17" customHeight="1">
      <c r="A125" s="17" t="n"/>
      <c r="B125" s="20" t="inlineStr">
        <is>
          <t>join(string, repeatedfield)</t>
        </is>
      </c>
      <c r="C125" s="20" t="inlineStr">
        <is>
          <t>join(' ,', ${hh_member_name})</t>
        </is>
      </c>
      <c r="D125" s="17" t="n"/>
    </row>
    <row r="126" ht="17" customHeight="1">
      <c r="A126" s="17" t="n"/>
      <c r="B126" s="20" t="inlineStr">
        <is>
          <t>min(repeatedfield)</t>
        </is>
      </c>
      <c r="C126" s="20" t="inlineStr">
        <is>
          <t>min(${hh_member_age})</t>
        </is>
      </c>
      <c r="D126" s="17" t="n"/>
    </row>
    <row r="127" ht="17" customHeight="1">
      <c r="A127" s="17" t="n"/>
      <c r="B127" s="20" t="inlineStr">
        <is>
          <t>max(repeatedfield)</t>
        </is>
      </c>
      <c r="C127" s="20" t="inlineStr">
        <is>
          <t>max(${hh_member_age})</t>
        </is>
      </c>
      <c r="D127" s="17" t="n"/>
    </row>
    <row r="128" ht="34" customHeight="1">
      <c r="A128" s="17" t="n"/>
      <c r="B128" s="20" t="inlineStr">
        <is>
          <t>indexed-repeat(repeatedfield, repeatgroup, index)</t>
        </is>
      </c>
      <c r="C128" s="20" t="inlineStr">
        <is>
          <t>indexed-repeat(${name}, ${names}, 1)</t>
        </is>
      </c>
      <c r="D128" s="17" t="n"/>
    </row>
    <row r="129" ht="17" customHeight="1">
      <c r="A129" s="17" t="n"/>
      <c r="B129" s="20" t="inlineStr">
        <is>
          <t>substr(fieldorstring, startindex, endindex)</t>
        </is>
      </c>
      <c r="C129" s="20" t="inlineStr">
        <is>
          <t>substr(${phone}, 0, 3)</t>
        </is>
      </c>
      <c r="D129" s="17" t="n"/>
    </row>
    <row r="130" ht="17" customHeight="1">
      <c r="A130" s="17" t="n"/>
      <c r="B130" s="20" t="inlineStr">
        <is>
          <t>coalesce(field1, field2)</t>
        </is>
      </c>
      <c r="C130" s="20" t="inlineStr">
        <is>
          <t>coalesce(${id}, ${id2})</t>
        </is>
      </c>
      <c r="D130" s="17" t="n"/>
    </row>
    <row r="131" ht="17" customHeight="1">
      <c r="A131" s="17" t="n"/>
      <c r="B131" s="20" t="inlineStr">
        <is>
          <t>round(field, digits)</t>
        </is>
      </c>
      <c r="C131" s="20" t="inlineStr">
        <is>
          <t>round(${interest_rate}, 2)</t>
        </is>
      </c>
      <c r="D131" s="17" t="n"/>
    </row>
    <row r="132" ht="34" customHeight="1">
      <c r="A132" s="17" t="n"/>
      <c r="B132" s="20" t="inlineStr">
        <is>
          <t>regex(field, expression)</t>
        </is>
      </c>
      <c r="C132" s="20" t="inlineStr">
        <is>
          <t>regex(., '[A-Za-z0-9._%+-]+@[A-Za-z0-9.-]+.[A-Za-z]{2,4}')</t>
        </is>
      </c>
      <c r="D132" s="17" t="n"/>
    </row>
    <row r="133" ht="51" customHeight="1">
      <c r="A133" s="17" t="n"/>
      <c r="B133" s="20" t="inlineStr">
        <is>
          <t>if(expression, valueiftrue, valueiffalse)</t>
        </is>
      </c>
      <c r="C133" s="20" t="inlineStr">
        <is>
          <t>if(selected(${country}, 'South Africa') or selected(${country}, 'Zimbabwe'), 'SADC', 'Non-SADC')</t>
        </is>
      </c>
      <c r="D133" s="17" t="n"/>
    </row>
    <row r="134" ht="17" customHeight="1">
      <c r="A134" s="17" t="n"/>
      <c r="B134" s="21" t="inlineStr">
        <is>
          <t>today()</t>
        </is>
      </c>
      <c r="C134" s="21" t="inlineStr">
        <is>
          <t>format-date-time(today(), '%Y-%b-%e')</t>
        </is>
      </c>
      <c r="D134" s="17" t="n"/>
    </row>
    <row r="135" ht="34" customHeight="1">
      <c r="A135" s="17" t="n"/>
      <c r="B135" s="21" t="inlineStr">
        <is>
          <t>now()</t>
        </is>
      </c>
      <c r="C135" s="21" t="inlineStr">
        <is>
          <t>once(format-date-time(now(), '%Y-%b-%e %H:%M:%S'))</t>
        </is>
      </c>
      <c r="D135" s="17" t="n"/>
    </row>
    <row r="136" ht="17" customHeight="1">
      <c r="A136" s="17" t="n"/>
      <c r="B136" s="21" t="inlineStr">
        <is>
          <t>username()</t>
        </is>
      </c>
      <c r="C136" s="21" t="inlineStr">
        <is>
          <t>username()</t>
        </is>
      </c>
      <c r="D136" s="17" t="n"/>
    </row>
    <row r="137" ht="17" customHeight="1">
      <c r="A137" s="17" t="n"/>
      <c r="B137" s="21" t="inlineStr">
        <is>
          <t>duration()</t>
        </is>
      </c>
      <c r="C137" s="21" t="inlineStr">
        <is>
          <t>duration()</t>
        </is>
      </c>
      <c r="D137" s="17" t="n"/>
    </row>
    <row r="138" ht="17" customHeight="1">
      <c r="A138" s="17" t="n"/>
      <c r="B138" s="21" t="inlineStr">
        <is>
          <t>rank-index(index, repeatedfield)</t>
        </is>
      </c>
      <c r="C138" s="21" t="inlineStr">
        <is>
          <t>rank-index(1, ${random_draw})</t>
        </is>
      </c>
      <c r="D138" s="17" t="n"/>
    </row>
    <row r="139" ht="34" customHeight="1">
      <c r="A139" s="17" t="n"/>
      <c r="B139" s="21" t="inlineStr">
        <is>
          <t>rank-value(fieldorvalue, fieldorlist)</t>
        </is>
      </c>
      <c r="C139" s="21" t="inlineStr">
        <is>
          <t>rank-value(${random_draw}, ${list_of_draws})</t>
        </is>
      </c>
      <c r="D139" s="17" t="n"/>
    </row>
    <row r="140" ht="17" customHeight="1">
      <c r="A140" s="17" t="n"/>
      <c r="B140" s="21" t="inlineStr">
        <is>
          <t>de-duplicate(string, field)</t>
        </is>
      </c>
      <c r="C140" s="21" t="inlineStr">
        <is>
          <t>de-duplicate(' ', join(' ', ${repeatedfield}))</t>
        </is>
      </c>
      <c r="D140" s="17" t="n"/>
    </row>
    <row r="141" ht="34" customHeight="1">
      <c r="A141" s="17" t="n"/>
      <c r="B141" s="21" t="inlineStr">
        <is>
          <t>distance-between(geopointfield1, geopointfield2)</t>
        </is>
      </c>
      <c r="C141" s="21" t="inlineStr">
        <is>
          <t>distance-between(${start_gps}, ${end_gps})</t>
        </is>
      </c>
      <c r="D141" s="17" t="n"/>
    </row>
    <row r="142" ht="17" customHeight="1">
      <c r="A142" s="17" t="n"/>
      <c r="B142" s="21" t="inlineStr">
        <is>
          <t>area(repeatedgeopointfield)</t>
        </is>
      </c>
      <c r="C142" s="21" t="inlineStr">
        <is>
          <t>area(${gps_reading})</t>
        </is>
      </c>
      <c r="D142" s="17" t="n"/>
    </row>
    <row r="143" ht="17" customHeight="1">
      <c r="A143" s="17" t="n"/>
      <c r="B143" s="21" t="inlineStr">
        <is>
          <t>phone-call-log()</t>
        </is>
      </c>
      <c r="C143" s="21" t="inlineStr">
        <is>
          <t>phone-call-log()</t>
        </is>
      </c>
      <c r="D143" s="17" t="n"/>
    </row>
    <row r="144" ht="17" customHeight="1">
      <c r="A144" s="33" t="n"/>
      <c r="B144" s="34" t="inlineStr">
        <is>
          <t>plug-in-metadata(field)</t>
        </is>
      </c>
      <c r="C144" s="34" t="inlineStr">
        <is>
          <t>plug-in-metadata(${counter})</t>
        </is>
      </c>
      <c r="D144" s="33" t="n"/>
    </row>
    <row r="145">
      <c r="B145" s="32" t="n"/>
      <c r="C145" s="32" t="n"/>
    </row>
    <row r="146">
      <c r="B146" s="32" t="n"/>
      <c r="C146" s="32" t="n"/>
    </row>
    <row r="147">
      <c r="B147" s="32" t="n"/>
      <c r="C147" s="32" t="n"/>
    </row>
    <row r="148">
      <c r="B148" s="32" t="n"/>
      <c r="C148" s="32" t="n"/>
    </row>
    <row r="149">
      <c r="B149" s="32" t="n"/>
      <c r="C149" s="32" t="n"/>
    </row>
    <row r="150">
      <c r="B150" s="32" t="n"/>
      <c r="C150" s="32" t="n"/>
    </row>
    <row r="151">
      <c r="B151" s="32" t="n"/>
      <c r="C151" s="32" t="n"/>
    </row>
    <row r="152">
      <c r="B152" s="32" t="n"/>
      <c r="C152" s="32" t="n"/>
    </row>
    <row r="153">
      <c r="B153" s="32" t="n"/>
      <c r="C153" s="32" t="n"/>
    </row>
    <row r="154">
      <c r="B154" s="32" t="n"/>
      <c r="C154" s="32" t="n"/>
    </row>
    <row r="155">
      <c r="B155" s="32" t="n"/>
      <c r="C155" s="32" t="n"/>
    </row>
  </sheetData>
  <mergeCells count="7">
    <mergeCell ref="A4:B4"/>
    <mergeCell ref="A2:B2"/>
    <mergeCell ref="A10:B10"/>
    <mergeCell ref="A92:C92"/>
    <mergeCell ref="A1:B1"/>
    <mergeCell ref="A3:B3"/>
    <mergeCell ref="A91:B91"/>
  </mergeCells>
  <conditionalFormatting sqref="A6:J6 L6:O6 Q6:S6">
    <cfRule type="expression" priority="96" dxfId="1" stopIfTrue="1">
      <formula>$A6="end group"</formula>
    </cfRule>
    <cfRule type="expression" priority="95" dxfId="2" stopIfTrue="1">
      <formula>$A6="begin repeat"</formula>
    </cfRule>
    <cfRule type="expression" priority="98" dxfId="1" stopIfTrue="1">
      <formula>$A6="begin group"</formula>
    </cfRule>
  </conditionalFormatting>
  <conditionalFormatting sqref="A6:J6 Q6:S6">
    <cfRule type="expression" priority="75" dxfId="11" stopIfTrue="1">
      <formula>OR($A6="calculate", $A6="calculate_here")</formula>
    </cfRule>
    <cfRule type="expression" priority="77" dxfId="12" stopIfTrue="1">
      <formula>$A6="note"</formula>
    </cfRule>
    <cfRule type="expression" priority="79" dxfId="10" stopIfTrue="1">
      <formula>$A6="barcode"</formula>
    </cfRule>
    <cfRule type="expression" priority="81" dxfId="9" stopIfTrue="1">
      <formula>$A6="geopoint"</formula>
    </cfRule>
    <cfRule type="expression" priority="93" dxfId="2" stopIfTrue="1">
      <formula>$A6="end repeat"</formula>
    </cfRule>
    <cfRule type="expression" priority="92" dxfId="4" stopIfTrue="1">
      <formula>$A6="text"</formula>
    </cfRule>
    <cfRule type="expression" priority="83" dxfId="8" stopIfTrue="1">
      <formula>OR($A6="audio audit", $A6="text audit")</formula>
    </cfRule>
    <cfRule type="expression" priority="90" dxfId="5" stopIfTrue="1">
      <formula>$A6="integer"</formula>
    </cfRule>
    <cfRule type="expression" priority="84" dxfId="0" stopIfTrue="1">
      <formula>OR($A6="phonenumber", $A6="start", $A6="end", $A6="deviceid", $A6="subscriberid", $A6="simserial")</formula>
    </cfRule>
    <cfRule type="expression" priority="88" dxfId="6" stopIfTrue="1">
      <formula>$A6="decimal"</formula>
    </cfRule>
    <cfRule type="expression" priority="86" dxfId="7" stopIfTrue="1">
      <formula>OR(AND(LEFT($A6, 16)="select_multiple ", LEN($A6)&gt;16, NOT(ISNUMBER(SEARCH(" ", $A6, 17)))), AND(LEFT($A6, 11)="select_one ", LEN($A6)&gt;11, NOT(ISNUMBER(SEARCH(" ", $A6, 12)))))</formula>
    </cfRule>
  </conditionalFormatting>
  <conditionalFormatting sqref="A6:J6">
    <cfRule type="expression" priority="73" dxfId="21" stopIfTrue="1">
      <formula>OR($A6="date", $A6="datetime")</formula>
    </cfRule>
    <cfRule type="expression" priority="71" dxfId="22" stopIfTrue="1">
      <formula>$A6="image"</formula>
    </cfRule>
    <cfRule type="expression" priority="69" dxfId="23" stopIfTrue="1">
      <formula>OR($A6="audio", $A6="video")</formula>
    </cfRule>
    <cfRule type="expression" priority="67" dxfId="24" stopIfTrue="1">
      <formula>$A6="comments"</formula>
    </cfRule>
  </conditionalFormatting>
  <conditionalFormatting sqref="B6 H6">
    <cfRule type="expression" priority="82" dxfId="64" stopIfTrue="1">
      <formula>OR($A6="audio audit", $A6="text audit")</formula>
    </cfRule>
  </conditionalFormatting>
  <conditionalFormatting sqref="B6 R6">
    <cfRule type="expression" priority="74" dxfId="63" stopIfTrue="1">
      <formula>OR($A6="calculate", $A6="calculate_here")</formula>
    </cfRule>
  </conditionalFormatting>
  <conditionalFormatting sqref="B6">
    <cfRule type="expression" priority="66" dxfId="62" stopIfTrue="1">
      <formula>$A6="comments"</formula>
    </cfRule>
  </conditionalFormatting>
  <conditionalFormatting sqref="B6:C6 H6 L6">
    <cfRule type="expression" priority="97" dxfId="47" stopIfTrue="1">
      <formula>$A6="begin group"</formula>
    </cfRule>
  </conditionalFormatting>
  <conditionalFormatting sqref="B6:C6 H6">
    <cfRule type="expression" priority="72" dxfId="49" stopIfTrue="1">
      <formula>OR($A6="date", $A6="datetime")</formula>
    </cfRule>
    <cfRule type="expression" priority="70" dxfId="48" stopIfTrue="1">
      <formula>$A6="image"</formula>
    </cfRule>
    <cfRule type="expression" priority="85" dxfId="46" stopIfTrue="1">
      <formula>OR(AND(LEFT($A6, 16)="select_multiple ", LEN($A6)&gt;16, NOT(ISNUMBER(SEARCH(" ", $A6, 17)))), AND(LEFT($A6, 11)="select_one ", LEN($A6)&gt;11, NOT(ISNUMBER(SEARCH(" ", $A6, 12)))))</formula>
    </cfRule>
  </conditionalFormatting>
  <conditionalFormatting sqref="B6:C6 L6 S6">
    <cfRule type="expression" priority="94" dxfId="41" stopIfTrue="1">
      <formula>$A6="begin repeat"</formula>
    </cfRule>
  </conditionalFormatting>
  <conditionalFormatting sqref="B6:C6">
    <cfRule type="expression" priority="68" dxfId="45" stopIfTrue="1">
      <formula>OR($A6="audio", $A6="video")</formula>
    </cfRule>
    <cfRule type="expression" priority="76" dxfId="42" stopIfTrue="1">
      <formula>$A6="note"</formula>
    </cfRule>
    <cfRule type="expression" priority="78" dxfId="43" stopIfTrue="1">
      <formula>$A6="barcode"</formula>
    </cfRule>
    <cfRule type="expression" priority="80" dxfId="44" stopIfTrue="1">
      <formula>$A6="geopoint"</formula>
    </cfRule>
  </conditionalFormatting>
  <conditionalFormatting sqref="B6:F6 H6">
    <cfRule type="expression" priority="91" dxfId="52" stopIfTrue="1">
      <formula>$A6="text"</formula>
    </cfRule>
  </conditionalFormatting>
  <conditionalFormatting sqref="B6:F6 I6:J6">
    <cfRule type="expression" priority="87" dxfId="40" stopIfTrue="1">
      <formula>$A6="decimal"</formula>
    </cfRule>
    <cfRule type="expression" priority="89" dxfId="36" stopIfTrue="1">
      <formula>$A6="integer"</formula>
    </cfRule>
  </conditionalFormatting>
  <conditionalFormatting sqref="D6">
    <cfRule type="expression" priority="41" dxfId="49" stopIfTrue="1">
      <formula>OR($A6="date", $A6="datetime")</formula>
    </cfRule>
    <cfRule type="expression" priority="40" dxfId="48" stopIfTrue="1">
      <formula>$A6="image"</formula>
    </cfRule>
    <cfRule type="expression" priority="47" dxfId="47" stopIfTrue="1">
      <formula>$A6="begin group"</formula>
    </cfRule>
    <cfRule type="expression" priority="45" dxfId="46" stopIfTrue="1">
      <formula>OR(AND(LEFT($A6, 16)="select_multiple ", LEN($A6)&gt;16, NOT(ISNUMBER(SEARCH(" ", $A6, 17)))), AND(LEFT($A6, 11)="select_one ", LEN($A6)&gt;11, NOT(ISNUMBER(SEARCH(" ", $A6, 12)))))</formula>
    </cfRule>
    <cfRule type="expression" priority="39" dxfId="45" stopIfTrue="1">
      <formula>OR($A6="audio", $A6="video")</formula>
    </cfRule>
    <cfRule type="expression" priority="44" dxfId="44" stopIfTrue="1">
      <formula>$A6="geopoint"</formula>
    </cfRule>
    <cfRule type="expression" priority="43" dxfId="43" stopIfTrue="1">
      <formula>$A6="barcode"</formula>
    </cfRule>
    <cfRule type="expression" priority="42" dxfId="42" stopIfTrue="1">
      <formula>$A6="note"</formula>
    </cfRule>
    <cfRule type="expression" priority="46" dxfId="41" stopIfTrue="1">
      <formula>$A6="begin repeat"</formula>
    </cfRule>
  </conditionalFormatting>
  <conditionalFormatting sqref="K6">
    <cfRule type="expression" priority="30" dxfId="40" stopIfTrue="1">
      <formula>$A6="decimal"</formula>
    </cfRule>
    <cfRule type="expression" priority="38" dxfId="1" stopIfTrue="1">
      <formula>$A6="begin group"</formula>
    </cfRule>
    <cfRule type="expression" priority="37" dxfId="1" stopIfTrue="1">
      <formula>$A6="end group"</formula>
    </cfRule>
    <cfRule type="expression" priority="36" dxfId="2" stopIfTrue="1">
      <formula>$A6="begin repeat"</formula>
    </cfRule>
    <cfRule type="expression" priority="32" dxfId="36" stopIfTrue="1">
      <formula>$A6="integer"</formula>
    </cfRule>
  </conditionalFormatting>
  <conditionalFormatting sqref="K6:O6">
    <cfRule type="expression" priority="31" dxfId="6" stopIfTrue="1">
      <formula>$A6="decimal"</formula>
    </cfRule>
    <cfRule type="expression" priority="35" dxfId="2" stopIfTrue="1">
      <formula>$A6="end repeat"</formula>
    </cfRule>
    <cfRule type="expression" priority="34" dxfId="4" stopIfTrue="1">
      <formula>$A6="text"</formula>
    </cfRule>
    <cfRule type="expression" priority="33" dxfId="5" stopIfTrue="1">
      <formula>$A6="integer"</formula>
    </cfRule>
  </conditionalFormatting>
  <conditionalFormatting sqref="K6:P6">
    <cfRule type="expression" priority="11" dxfId="7" stopIfTrue="1">
      <formula>OR(AND(LEFT($A6, 16)="select_multiple ", LEN($A6)&gt;16, NOT(ISNUMBER(SEARCH(" ", $A6, 17)))), AND(LEFT($A6, 11)="select_one ", LEN($A6)&gt;11, NOT(ISNUMBER(SEARCH(" ", $A6, 12)))))</formula>
    </cfRule>
    <cfRule type="expression" priority="10" dxfId="0" stopIfTrue="1">
      <formula>OR($A6="phonenumber", $A6="start", $A6="end", $A6="deviceid", $A6="subscriberid", $A6="simserial")</formula>
    </cfRule>
    <cfRule type="expression" priority="9" dxfId="8" stopIfTrue="1">
      <formula>OR($A6="audio audit", $A6="text audit")</formula>
    </cfRule>
    <cfRule type="expression" priority="8" dxfId="9" stopIfTrue="1">
      <formula>$A6="geopoint"</formula>
    </cfRule>
    <cfRule type="expression" priority="7" dxfId="10" stopIfTrue="1">
      <formula>$A6="barcode"</formula>
    </cfRule>
    <cfRule type="expression" priority="6" dxfId="12" stopIfTrue="1">
      <formula>$A6="note"</formula>
    </cfRule>
    <cfRule type="expression" priority="5" dxfId="11" stopIfTrue="1">
      <formula>OR($A6="calculate", $A6="calculate_here")</formula>
    </cfRule>
  </conditionalFormatting>
  <conditionalFormatting sqref="K6:AD6">
    <cfRule type="expression" priority="1" dxfId="24" stopIfTrue="1">
      <formula>$A6="comments"</formula>
    </cfRule>
    <cfRule type="expression" priority="2" dxfId="23" stopIfTrue="1">
      <formula>OR($A6="audio", $A6="video")</formula>
    </cfRule>
    <cfRule type="expression" priority="3" dxfId="22" stopIfTrue="1">
      <formula>$A6="image"</formula>
    </cfRule>
    <cfRule type="expression" priority="4" dxfId="21" stopIfTrue="1">
      <formula>OR($A6="date", $A6="datetime")</formula>
    </cfRule>
  </conditionalFormatting>
  <conditionalFormatting sqref="P6">
    <cfRule type="expression" priority="18" dxfId="1" stopIfTrue="1">
      <formula>$A6="begin group"</formula>
    </cfRule>
    <cfRule type="expression" priority="12" dxfId="6" stopIfTrue="1">
      <formula>$A6="decimal"</formula>
    </cfRule>
    <cfRule type="expression" priority="13" dxfId="5" stopIfTrue="1">
      <formula>$A6="integer"</formula>
    </cfRule>
    <cfRule type="expression" priority="14" dxfId="4" stopIfTrue="1">
      <formula>$A6="text"</formula>
    </cfRule>
    <cfRule type="expression" priority="15" dxfId="2" stopIfTrue="1">
      <formula>$A6="end repeat"</formula>
    </cfRule>
    <cfRule type="expression" priority="16" dxfId="2" stopIfTrue="1">
      <formula>$A6="begin repeat"</formula>
    </cfRule>
    <cfRule type="expression" priority="17" dxfId="1" stopIfTrue="1">
      <formula>$A6="end group"</formula>
    </cfRule>
  </conditionalFormatting>
  <conditionalFormatting sqref="T6:AD6">
    <cfRule type="expression" priority="65" dxfId="1" stopIfTrue="1">
      <formula>$A6="begin group"</formula>
    </cfRule>
    <cfRule type="expression" priority="53" dxfId="12" stopIfTrue="1">
      <formula>$A6="note"</formula>
    </cfRule>
    <cfRule type="expression" priority="52" dxfId="11" stopIfTrue="1">
      <formula>OR($A6="calculate", $A6="calculate_here")</formula>
    </cfRule>
    <cfRule type="expression" priority="54" dxfId="10" stopIfTrue="1">
      <formula>$A6="barcode"</formula>
    </cfRule>
    <cfRule type="expression" priority="55" dxfId="9" stopIfTrue="1">
      <formula>$A6="geopoint"</formula>
    </cfRule>
    <cfRule type="expression" priority="56" dxfId="8" stopIfTrue="1">
      <formula>OR($A6="audio audit", $A6="text audit")</formula>
    </cfRule>
    <cfRule type="expression" priority="58" dxfId="7" stopIfTrue="1">
      <formula>OR(AND(LEFT($A6, 16)="select_multiple ", LEN($A6)&gt;16, NOT(ISNUMBER(SEARCH(" ", $A6, 17)))), AND(LEFT($A6, 11)="select_one ", LEN($A6)&gt;11, NOT(ISNUMBER(SEARCH(" ", $A6, 12)))))</formula>
    </cfRule>
    <cfRule type="expression" priority="59" dxfId="6" stopIfTrue="1">
      <formula>$A6="decimal"</formula>
    </cfRule>
    <cfRule type="expression" priority="60" dxfId="5" stopIfTrue="1">
      <formula>$A6="integer"</formula>
    </cfRule>
    <cfRule type="expression" priority="61" dxfId="4" stopIfTrue="1">
      <formula>$A6="text"</formula>
    </cfRule>
    <cfRule type="expression" priority="62" dxfId="2" stopIfTrue="1">
      <formula>$A6="end repeat"</formula>
    </cfRule>
    <cfRule type="expression" priority="63" dxfId="2" stopIfTrue="1">
      <formula>$A6="begin repeat"</formula>
    </cfRule>
    <cfRule type="expression" priority="64" dxfId="1" stopIfTrue="1">
      <formula>$A6="end group"</formula>
    </cfRule>
    <cfRule type="expression" priority="57" dxfId="0" stopIfTrue="1">
      <formula>OR($A6="phonenumber", $A6="start", $A6="end", $A6="deviceid", $A6="subscriberid", $A6="simserial")</formula>
    </cfRule>
  </conditionalFormatting>
  <hyperlinks>
    <hyperlink xmlns:r="http://schemas.openxmlformats.org/officeDocument/2006/relationships" ref="A4" display="Click here to learn more about form definitions and field types" r:id="rId1"/>
    <hyperlink xmlns:r="http://schemas.openxmlformats.org/officeDocument/2006/relationships" ref="D8" r:id="rId2"/>
    <hyperlink xmlns:r="http://schemas.openxmlformats.org/officeDocument/2006/relationships" ref="F8" r:id="rId3"/>
    <hyperlink xmlns:r="http://schemas.openxmlformats.org/officeDocument/2006/relationships" ref="G8" r:id="rId4"/>
    <hyperlink xmlns:r="http://schemas.openxmlformats.org/officeDocument/2006/relationships" ref="I8" r:id="rId5"/>
    <hyperlink xmlns:r="http://schemas.openxmlformats.org/officeDocument/2006/relationships" ref="J8" r:id="rId6"/>
    <hyperlink xmlns:r="http://schemas.openxmlformats.org/officeDocument/2006/relationships" ref="L8" r:id="rId7"/>
    <hyperlink xmlns:r="http://schemas.openxmlformats.org/officeDocument/2006/relationships" ref="M8" r:id="rId8"/>
    <hyperlink xmlns:r="http://schemas.openxmlformats.org/officeDocument/2006/relationships" ref="N8" r:id="rId9"/>
    <hyperlink xmlns:r="http://schemas.openxmlformats.org/officeDocument/2006/relationships" ref="O8" r:id="rId10"/>
    <hyperlink xmlns:r="http://schemas.openxmlformats.org/officeDocument/2006/relationships" ref="Q8" r:id="rId11"/>
    <hyperlink xmlns:r="http://schemas.openxmlformats.org/officeDocument/2006/relationships" ref="R8" r:id="rId12"/>
    <hyperlink xmlns:r="http://schemas.openxmlformats.org/officeDocument/2006/relationships" ref="S8" r:id="rId13"/>
    <hyperlink xmlns:r="http://schemas.openxmlformats.org/officeDocument/2006/relationships" ref="T8" r:id="rId14"/>
    <hyperlink xmlns:r="http://schemas.openxmlformats.org/officeDocument/2006/relationships" ref="U8" r:id="rId15"/>
    <hyperlink xmlns:r="http://schemas.openxmlformats.org/officeDocument/2006/relationships" ref="V8" r:id="rId16"/>
    <hyperlink xmlns:r="http://schemas.openxmlformats.org/officeDocument/2006/relationships" ref="W8" r:id="rId17"/>
    <hyperlink xmlns:r="http://schemas.openxmlformats.org/officeDocument/2006/relationships" ref="X8" r:id="rId18"/>
    <hyperlink xmlns:r="http://schemas.openxmlformats.org/officeDocument/2006/relationships" ref="Y8" r:id="rId19"/>
    <hyperlink xmlns:r="http://schemas.openxmlformats.org/officeDocument/2006/relationships" ref="Z8" r:id="rId20"/>
    <hyperlink xmlns:r="http://schemas.openxmlformats.org/officeDocument/2006/relationships" ref="AA8" r:id="rId21"/>
    <hyperlink xmlns:r="http://schemas.openxmlformats.org/officeDocument/2006/relationships" ref="AB8" r:id="rId22"/>
    <hyperlink xmlns:r="http://schemas.openxmlformats.org/officeDocument/2006/relationships" ref="AC8" r:id="rId23"/>
    <hyperlink xmlns:r="http://schemas.openxmlformats.org/officeDocument/2006/relationships" ref="AD8" r:id="rId24"/>
    <hyperlink xmlns:r="http://schemas.openxmlformats.org/officeDocument/2006/relationships" ref="A12" r:id="rId25"/>
    <hyperlink xmlns:r="http://schemas.openxmlformats.org/officeDocument/2006/relationships" ref="A13" r:id="rId26"/>
    <hyperlink xmlns:r="http://schemas.openxmlformats.org/officeDocument/2006/relationships" ref="A14" r:id="rId27"/>
    <hyperlink xmlns:r="http://schemas.openxmlformats.org/officeDocument/2006/relationships" ref="A15" r:id="rId28"/>
    <hyperlink xmlns:r="http://schemas.openxmlformats.org/officeDocument/2006/relationships" ref="A16" display="text" r:id="rId29"/>
    <hyperlink xmlns:r="http://schemas.openxmlformats.org/officeDocument/2006/relationships" ref="A17" display="text" r:id="rId30"/>
    <hyperlink xmlns:r="http://schemas.openxmlformats.org/officeDocument/2006/relationships" ref="A18" r:id="rId31"/>
    <hyperlink xmlns:r="http://schemas.openxmlformats.org/officeDocument/2006/relationships" ref="A19" r:id="rId32"/>
    <hyperlink xmlns:r="http://schemas.openxmlformats.org/officeDocument/2006/relationships" ref="A20" display="select_one listname" r:id="rId33"/>
    <hyperlink xmlns:r="http://schemas.openxmlformats.org/officeDocument/2006/relationships" ref="A21" display="select_one listname" r:id="rId34"/>
    <hyperlink xmlns:r="http://schemas.openxmlformats.org/officeDocument/2006/relationships" ref="A22" display="select_one listname" r:id="rId35"/>
    <hyperlink xmlns:r="http://schemas.openxmlformats.org/officeDocument/2006/relationships" ref="A23" display="select_one listname" r:id="rId36"/>
    <hyperlink xmlns:r="http://schemas.openxmlformats.org/officeDocument/2006/relationships" ref="A24" display="select_one listname" r:id="rId37"/>
    <hyperlink xmlns:r="http://schemas.openxmlformats.org/officeDocument/2006/relationships" ref="A25" display="select_one listname" r:id="rId38"/>
    <hyperlink xmlns:r="http://schemas.openxmlformats.org/officeDocument/2006/relationships" ref="A26" display="select_one listname" r:id="rId39"/>
    <hyperlink xmlns:r="http://schemas.openxmlformats.org/officeDocument/2006/relationships" ref="A27" display="select_one listname" r:id="rId40"/>
    <hyperlink xmlns:r="http://schemas.openxmlformats.org/officeDocument/2006/relationships" ref="A28" display="select_one listname" r:id="rId41"/>
    <hyperlink xmlns:r="http://schemas.openxmlformats.org/officeDocument/2006/relationships" ref="A29" display="select_one listname" r:id="rId42"/>
    <hyperlink xmlns:r="http://schemas.openxmlformats.org/officeDocument/2006/relationships" ref="A30" display="select_one listname" r:id="rId43"/>
    <hyperlink xmlns:r="http://schemas.openxmlformats.org/officeDocument/2006/relationships" ref="A31" display="select_one listname" r:id="rId44"/>
    <hyperlink xmlns:r="http://schemas.openxmlformats.org/officeDocument/2006/relationships" ref="A32" display="select_one listname" r:id="rId45"/>
    <hyperlink xmlns:r="http://schemas.openxmlformats.org/officeDocument/2006/relationships" ref="A33" display="select_one listname" r:id="rId46"/>
    <hyperlink xmlns:r="http://schemas.openxmlformats.org/officeDocument/2006/relationships" ref="A34" display="select_one listname" r:id="rId47"/>
    <hyperlink xmlns:r="http://schemas.openxmlformats.org/officeDocument/2006/relationships" ref="A35" display="select_multiple listname" r:id="rId48"/>
    <hyperlink xmlns:r="http://schemas.openxmlformats.org/officeDocument/2006/relationships" ref="A36" display="select_multiple listname" r:id="rId49"/>
    <hyperlink xmlns:r="http://schemas.openxmlformats.org/officeDocument/2006/relationships" ref="A37" display="select_multiple listname" r:id="rId50"/>
    <hyperlink xmlns:r="http://schemas.openxmlformats.org/officeDocument/2006/relationships" ref="A38" display="select_multiple listname" r:id="rId51"/>
    <hyperlink xmlns:r="http://schemas.openxmlformats.org/officeDocument/2006/relationships" ref="A39" display="select_multiple listname" r:id="rId52"/>
    <hyperlink xmlns:r="http://schemas.openxmlformats.org/officeDocument/2006/relationships" ref="A40" display="select_multiple listname" r:id="rId53"/>
    <hyperlink xmlns:r="http://schemas.openxmlformats.org/officeDocument/2006/relationships" ref="A41" display="select_multiple listname" r:id="rId54"/>
    <hyperlink xmlns:r="http://schemas.openxmlformats.org/officeDocument/2006/relationships" ref="A42" display="select_multiple listname" r:id="rId55"/>
    <hyperlink xmlns:r="http://schemas.openxmlformats.org/officeDocument/2006/relationships" ref="A43" display="select_multiple listname" r:id="rId56"/>
    <hyperlink xmlns:r="http://schemas.openxmlformats.org/officeDocument/2006/relationships" ref="A44" r:id="rId57"/>
    <hyperlink xmlns:r="http://schemas.openxmlformats.org/officeDocument/2006/relationships" ref="A45" r:id="rId58"/>
    <hyperlink xmlns:r="http://schemas.openxmlformats.org/officeDocument/2006/relationships" ref="A46" r:id="rId59"/>
    <hyperlink xmlns:r="http://schemas.openxmlformats.org/officeDocument/2006/relationships" ref="A47" r:id="rId60"/>
    <hyperlink xmlns:r="http://schemas.openxmlformats.org/officeDocument/2006/relationships" ref="A48" display="date" r:id="rId61"/>
    <hyperlink xmlns:r="http://schemas.openxmlformats.org/officeDocument/2006/relationships" ref="A49" display="date" r:id="rId62"/>
    <hyperlink xmlns:r="http://schemas.openxmlformats.org/officeDocument/2006/relationships" ref="A50" display="date" r:id="rId63"/>
    <hyperlink xmlns:r="http://schemas.openxmlformats.org/officeDocument/2006/relationships" ref="A51" display="date" r:id="rId64"/>
    <hyperlink xmlns:r="http://schemas.openxmlformats.org/officeDocument/2006/relationships" ref="A52" display="date" r:id="rId65"/>
    <hyperlink xmlns:r="http://schemas.openxmlformats.org/officeDocument/2006/relationships" ref="A53" display="image" r:id="rId66"/>
    <hyperlink xmlns:r="http://schemas.openxmlformats.org/officeDocument/2006/relationships" ref="A54" display="image" r:id="rId67"/>
    <hyperlink xmlns:r="http://schemas.openxmlformats.org/officeDocument/2006/relationships" ref="A55" display="image" r:id="rId68"/>
    <hyperlink xmlns:r="http://schemas.openxmlformats.org/officeDocument/2006/relationships" ref="A56" display="image" r:id="rId69"/>
    <hyperlink xmlns:r="http://schemas.openxmlformats.org/officeDocument/2006/relationships" ref="A57" r:id="rId70"/>
    <hyperlink xmlns:r="http://schemas.openxmlformats.org/officeDocument/2006/relationships" ref="A58" r:id="rId71"/>
    <hyperlink xmlns:r="http://schemas.openxmlformats.org/officeDocument/2006/relationships" ref="A59" r:id="rId72"/>
    <hyperlink xmlns:r="http://schemas.openxmlformats.org/officeDocument/2006/relationships" ref="A60" r:id="rId73"/>
    <hyperlink xmlns:r="http://schemas.openxmlformats.org/officeDocument/2006/relationships" ref="A61" r:id="rId74"/>
    <hyperlink xmlns:r="http://schemas.openxmlformats.org/officeDocument/2006/relationships" ref="A62" r:id="rId75"/>
    <hyperlink xmlns:r="http://schemas.openxmlformats.org/officeDocument/2006/relationships" ref="A63" r:id="rId76"/>
    <hyperlink xmlns:r="http://schemas.openxmlformats.org/officeDocument/2006/relationships" ref="A64" r:id="rId77"/>
    <hyperlink xmlns:r="http://schemas.openxmlformats.org/officeDocument/2006/relationships" ref="A65" r:id="rId78"/>
    <hyperlink xmlns:r="http://schemas.openxmlformats.org/officeDocument/2006/relationships" ref="A66" r:id="rId79"/>
    <hyperlink xmlns:r="http://schemas.openxmlformats.org/officeDocument/2006/relationships" ref="A67" r:id="rId80"/>
    <hyperlink xmlns:r="http://schemas.openxmlformats.org/officeDocument/2006/relationships" ref="A68" r:id="rId81"/>
    <hyperlink xmlns:r="http://schemas.openxmlformats.org/officeDocument/2006/relationships" ref="A69" display="calculate" r:id="rId82"/>
    <hyperlink xmlns:r="http://schemas.openxmlformats.org/officeDocument/2006/relationships" ref="A70" display="calculate" r:id="rId83"/>
    <hyperlink xmlns:r="http://schemas.openxmlformats.org/officeDocument/2006/relationships" ref="A71" r:id="rId84"/>
    <hyperlink xmlns:r="http://schemas.openxmlformats.org/officeDocument/2006/relationships" ref="A73" display="audio audit" r:id="rId85"/>
    <hyperlink xmlns:r="http://schemas.openxmlformats.org/officeDocument/2006/relationships" ref="A74" display="audio audit" r:id="rId86"/>
    <hyperlink xmlns:r="http://schemas.openxmlformats.org/officeDocument/2006/relationships" ref="A75" display="audio audit" r:id="rId87"/>
    <hyperlink xmlns:r="http://schemas.openxmlformats.org/officeDocument/2006/relationships" ref="A76" r:id="rId88"/>
    <hyperlink xmlns:r="http://schemas.openxmlformats.org/officeDocument/2006/relationships" ref="A79" r:id="rId89"/>
    <hyperlink xmlns:r="http://schemas.openxmlformats.org/officeDocument/2006/relationships" ref="A82" r:id="rId90"/>
    <hyperlink xmlns:r="http://schemas.openxmlformats.org/officeDocument/2006/relationships" ref="A85" display="speed violations count" r:id="rId91"/>
    <hyperlink xmlns:r="http://schemas.openxmlformats.org/officeDocument/2006/relationships" ref="A86" display="speed violations count" r:id="rId92"/>
    <hyperlink xmlns:r="http://schemas.openxmlformats.org/officeDocument/2006/relationships" ref="A87" display="speed violations count" r:id="rId93"/>
    <hyperlink xmlns:r="http://schemas.openxmlformats.org/officeDocument/2006/relationships" ref="A88" r:id="rId94"/>
    <hyperlink xmlns:r="http://schemas.openxmlformats.org/officeDocument/2006/relationships" ref="A89" r:id="rId95"/>
    <hyperlink xmlns:r="http://schemas.openxmlformats.org/officeDocument/2006/relationships" ref="A92" display="Learn about available expressions in &quot;Using expressions in your forms: a reference for all operators and functions&quot;." r:id="rId96"/>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B1"/>
    </sheetView>
  </sheetViews>
  <sheetFormatPr baseColWidth="10" defaultColWidth="11.1640625" defaultRowHeight="16"/>
  <cols>
    <col width="36" customWidth="1" min="1" max="7"/>
  </cols>
  <sheetData>
    <row r="1" ht="16" customHeight="1">
      <c r="A1" s="156" t="inlineStr">
        <is>
          <t>The choices worksheet</t>
        </is>
      </c>
      <c r="B1" s="157" t="n"/>
    </row>
    <row r="2" ht="18" customHeight="1">
      <c r="A2" s="37" t="n"/>
      <c r="B2" s="38" t="n"/>
    </row>
    <row r="3" ht="36" customHeight="1">
      <c r="A3" s="160" t="inlineStr">
        <is>
          <t>This worksheet is for the configuration of multiple-choice response options. These are stored in choice lists which are used with select_one and select_multiple type fields.</t>
        </is>
      </c>
      <c r="B3" s="159" t="n"/>
    </row>
    <row r="4" ht="19" customHeight="1">
      <c r="A4" s="167" t="inlineStr">
        <is>
          <t>Read about the select_one field type for more information</t>
        </is>
      </c>
      <c r="B4" s="159" t="n"/>
    </row>
    <row r="5" ht="19" customHeight="1">
      <c r="A5" s="167" t="inlineStr">
        <is>
          <t>Read about the select_multiple field type for more information</t>
        </is>
      </c>
      <c r="B5" s="159" t="n"/>
    </row>
    <row r="6" ht="20" customHeight="1">
      <c r="A6" s="161" t="inlineStr">
        <is>
          <t>Read about dynamically loading choice lists from external pre-loaded data</t>
        </is>
      </c>
      <c r="B6" s="162" t="n"/>
    </row>
    <row r="8" ht="18" customFormat="1" customHeight="1" s="3">
      <c r="A8" s="5" t="inlineStr">
        <is>
          <t>list_name</t>
        </is>
      </c>
      <c r="B8" s="5" t="inlineStr">
        <is>
          <t>value</t>
        </is>
      </c>
      <c r="C8" s="28" t="inlineStr">
        <is>
          <t>label</t>
        </is>
      </c>
      <c r="D8" s="28" t="inlineStr">
        <is>
          <t>label:languagename</t>
        </is>
      </c>
      <c r="E8" s="5" t="inlineStr">
        <is>
          <t>image</t>
        </is>
      </c>
      <c r="F8" s="5" t="inlineStr">
        <is>
          <t>image:languagename</t>
        </is>
      </c>
      <c r="G8" s="5" t="inlineStr">
        <is>
          <t>filter</t>
        </is>
      </c>
    </row>
    <row r="9" ht="272" customFormat="1" customHeight="1" s="54">
      <c r="A9" s="53" t="inlineStr">
        <is>
          <t>This column specifies the name of a multiple-choice question type (without any spaces or punctuation). A given list of options will involve multiple rows, each with the same list_name. Example: yesno</t>
        </is>
      </c>
      <c r="B9" s="53" t="inlineStr">
        <is>
          <t>This column specifies the internal value stored for a given choice. (It should really be called "value" rather than "name".) Example: 1
If dynamically loading from a pre-loaded .csv file, this should instead be the .csv column name from which to load option values.</t>
        </is>
      </c>
      <c r="C9" s="53"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9" s="53" t="inlineStr">
        <is>
          <t>Any label:languagename column (e.g., label:tamil) may be added in order to provide labels in an alternative language.
View the help topic below for more details.</t>
        </is>
      </c>
      <c r="E9" s="53"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is>
      </c>
      <c r="F9" s="53" t="inlineStr">
        <is>
          <t>Any label:languagename column (e.g., label:tamil) may be added in order to provide images in an alternative language.</t>
        </is>
      </c>
      <c r="G9" s="53"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9" s="53" t="n"/>
    </row>
    <row r="10" ht="34" customFormat="1" customHeight="1" s="59">
      <c r="D10" s="60" t="inlineStr">
        <is>
          <t>Help topic: Form languages</t>
        </is>
      </c>
      <c r="E10" s="61" t="inlineStr">
        <is>
          <t>Help topic: Images: Adding pictures and other graphics</t>
        </is>
      </c>
      <c r="G10" s="61" t="inlineStr">
        <is>
          <t>Help topic: Dynamically filtering lists of multiple-choice options</t>
        </is>
      </c>
    </row>
  </sheetData>
  <mergeCells count="5">
    <mergeCell ref="A4:B4"/>
    <mergeCell ref="A5:B5"/>
    <mergeCell ref="A1:B1"/>
    <mergeCell ref="A3:B3"/>
    <mergeCell ref="A6:B6"/>
  </mergeCells>
  <hyperlinks>
    <hyperlink xmlns:r="http://schemas.openxmlformats.org/officeDocument/2006/relationships" ref="A4" display="Read about the select_one field type for more information." r:id="rId1"/>
    <hyperlink xmlns:r="http://schemas.openxmlformats.org/officeDocument/2006/relationships" ref="A5" display="Read about the select_multiple field type for more information." r:id="rId2"/>
    <hyperlink xmlns:r="http://schemas.openxmlformats.org/officeDocument/2006/relationships" ref="A6" display="Read about dynamically loading choice lists from external pre-loaded data." r:id="rId3"/>
    <hyperlink xmlns:r="http://schemas.openxmlformats.org/officeDocument/2006/relationships" ref="D10" r:id="rId4"/>
    <hyperlink xmlns:r="http://schemas.openxmlformats.org/officeDocument/2006/relationships" ref="E10" r:id="rId5"/>
    <hyperlink xmlns:r="http://schemas.openxmlformats.org/officeDocument/2006/relationships" ref="G10" r:id="rId6"/>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sheetPr>
    <outlinePr summaryBelow="1" summaryRight="1"/>
    <pageSetUpPr/>
  </sheetPr>
  <dimension ref="A1:H8"/>
  <sheetViews>
    <sheetView topLeftCell="A6" workbookViewId="0">
      <selection activeCell="A1" sqref="A1:B1"/>
    </sheetView>
  </sheetViews>
  <sheetFormatPr baseColWidth="10" defaultColWidth="11.1640625" defaultRowHeight="16"/>
  <cols>
    <col width="36" customWidth="1" min="1" max="6"/>
  </cols>
  <sheetData>
    <row r="1">
      <c r="A1" s="168" t="inlineStr">
        <is>
          <t>The settings worksheet</t>
        </is>
      </c>
      <c r="B1" s="169" t="n"/>
      <c r="C1" s="29" t="n"/>
      <c r="D1" s="29" t="n"/>
      <c r="E1" s="29" t="n"/>
      <c r="F1" s="29" t="n"/>
    </row>
    <row r="2">
      <c r="A2" s="170" t="n"/>
      <c r="B2" s="171" t="n"/>
      <c r="C2" s="29" t="n"/>
      <c r="D2" s="29" t="n"/>
      <c r="E2" s="29" t="n"/>
      <c r="F2" s="29" t="n"/>
    </row>
    <row r="3" ht="55" customHeight="1">
      <c r="A3" s="172" t="inlineStr">
        <is>
          <t>This worksheet contains overall settings for your form, all specified in the second row of the worksheet. When you download a form template from your SurveyCTO server, these settings will be pre-filled for you.</t>
        </is>
      </c>
      <c r="B3" s="173" t="n"/>
      <c r="C3" s="29" t="n"/>
      <c r="D3" s="29" t="n"/>
      <c r="E3" s="29" t="n"/>
      <c r="F3" s="29" t="n"/>
    </row>
    <row r="4">
      <c r="A4" s="29" t="n"/>
      <c r="B4" s="29" t="n"/>
      <c r="C4" s="29" t="n"/>
      <c r="D4" s="29" t="n"/>
      <c r="E4" s="29" t="n"/>
      <c r="F4" s="29" t="n"/>
    </row>
    <row r="5" ht="18" customFormat="1" customHeight="1" s="42">
      <c r="A5" s="40" t="inlineStr">
        <is>
          <t>form_title</t>
        </is>
      </c>
      <c r="B5" s="40" t="inlineStr">
        <is>
          <t>form_id</t>
        </is>
      </c>
      <c r="C5" s="40" t="inlineStr">
        <is>
          <t>version</t>
        </is>
      </c>
      <c r="D5" s="40" t="inlineStr">
        <is>
          <t>public_key</t>
        </is>
      </c>
      <c r="E5" s="40" t="inlineStr">
        <is>
          <t>submission_url</t>
        </is>
      </c>
      <c r="F5" s="41" t="inlineStr">
        <is>
          <t>default_language</t>
        </is>
      </c>
      <c r="H5" s="43" t="n"/>
    </row>
    <row r="6" ht="388" customFormat="1" customHeight="1" s="45">
      <c r="A6" s="44" t="inlineStr">
        <is>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is>
      </c>
      <c r="B6" s="44" t="inlineStr">
        <is>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is>
      </c>
      <c r="C6" s="44"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is>
      </c>
      <c r="D6" s="44" t="inlineStr">
        <is>
          <t>This is the public key with which to encrypt all form submissions.
View the help topic below for more details.</t>
        </is>
      </c>
      <c r="E6" s="44" t="inlineStr">
        <is>
          <t>This is the submission URL to use when submitting encrypted forms.
View the help topic below for more details.</t>
        </is>
      </c>
      <c r="F6" s="44"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is>
      </c>
    </row>
    <row r="7" ht="34" customFormat="1" customHeight="1" s="45">
      <c r="A7" s="55" t="inlineStr">
        <is>
          <t>Help topic: Hiding forms during testing</t>
        </is>
      </c>
      <c r="B7" s="56" t="n"/>
      <c r="C7" s="55" t="inlineStr">
        <is>
          <t>Help topic: Updating an existing form</t>
        </is>
      </c>
      <c r="D7" s="55" t="inlineStr">
        <is>
          <t>Help topic: Encrypting form data (end-to-end encryption)</t>
        </is>
      </c>
      <c r="E7" s="55" t="inlineStr">
        <is>
          <t>Help topic: Encrypting form data (end-to-end encryption)</t>
        </is>
      </c>
      <c r="F7" s="55" t="inlineStr">
        <is>
          <t>Help topic: Form languages</t>
        </is>
      </c>
    </row>
    <row r="8">
      <c r="A8" s="12" t="n"/>
      <c r="B8" s="12" t="n"/>
      <c r="C8" s="12" t="n"/>
      <c r="D8" s="12" t="n"/>
      <c r="E8" s="12" t="n"/>
      <c r="F8" s="12" t="n"/>
    </row>
  </sheetData>
  <mergeCells count="3">
    <mergeCell ref="A3:B3"/>
    <mergeCell ref="A2:B2"/>
    <mergeCell ref="A1:B1"/>
  </mergeCells>
  <hyperlinks>
    <hyperlink xmlns:r="http://schemas.openxmlformats.org/officeDocument/2006/relationships" ref="A7" r:id="rId1"/>
    <hyperlink xmlns:r="http://schemas.openxmlformats.org/officeDocument/2006/relationships" ref="C7" r:id="rId2"/>
    <hyperlink xmlns:r="http://schemas.openxmlformats.org/officeDocument/2006/relationships" ref="D7" r:id="rId3"/>
    <hyperlink xmlns:r="http://schemas.openxmlformats.org/officeDocument/2006/relationships" ref="E7" r:id="rId4"/>
    <hyperlink xmlns:r="http://schemas.openxmlformats.org/officeDocument/2006/relationships" ref="F7" r:id="rId5"/>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Andrew Marder</dc:creator>
  <dcterms:created xmlns:dcterms="http://purl.org/dc/terms/" xmlns:xsi="http://www.w3.org/2001/XMLSchema-instance" xsi:type="dcterms:W3CDTF">2011-04-25T12:27:36Z</dcterms:created>
  <dcterms:modified xmlns:dcterms="http://purl.org/dc/terms/" xmlns:xsi="http://www.w3.org/2001/XMLSchema-instance" xsi:type="dcterms:W3CDTF">2026-09-07T10:08:02Z</dcterms:modified>
  <cp:lastModifiedBy>Sophie  Ochmann</cp:lastModifiedBy>
  <cp:revision>69</cp:revision>
  <cp:lastPrinted>1601-01-01T00:00:00Z</cp:lastPrinted>
</cp:coreProperties>
</file>