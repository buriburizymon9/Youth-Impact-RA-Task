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5140" windowHeight="18880" tabRatio="534"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help-survey" sheetId="4" state="visible" r:id="rId4"/>
    <sheet xmlns:r="http://schemas.openxmlformats.org/officeDocument/2006/relationships" name="help-choices" sheetId="5" state="visible" r:id="rId5"/>
    <sheet xmlns:r="http://schemas.openxmlformats.org/officeDocument/2006/relationships" name="help-settings" sheetId="6" state="visible" r:id="rId6"/>
  </sheets>
  <definedNames/>
  <calcPr calcId="191029" fullCalcOnLoad="1"/>
</workbook>
</file>

<file path=xl/styles.xml><?xml version="1.0" encoding="utf-8"?>
<styleSheet xmlns="http://schemas.openxmlformats.org/spreadsheetml/2006/main">
  <numFmts count="0"/>
  <fonts count="24">
    <font>
      <name val="Calibri"/>
      <family val="2"/>
      <color indexed="8"/>
      <sz val="12"/>
    </font>
    <font>
      <name val="Verdana"/>
      <family val="2"/>
      <sz val="8"/>
    </font>
    <font>
      <name val="Calibri"/>
      <family val="2"/>
      <color indexed="12"/>
      <sz val="12"/>
      <u val="single"/>
    </font>
    <font>
      <name val="Calibri"/>
      <family val="2"/>
      <color indexed="8"/>
      <sz val="12"/>
    </font>
    <font>
      <name val="Calibri"/>
      <charset val="129"/>
      <family val="2"/>
      <color theme="1"/>
      <sz val="12"/>
      <scheme val="minor"/>
    </font>
    <font>
      <name val="Calibri"/>
      <family val="2"/>
      <color indexed="8"/>
      <sz val="12"/>
      <scheme val="minor"/>
    </font>
    <font>
      <name val="Calibri"/>
      <family val="2"/>
      <b val="1"/>
      <color indexed="8"/>
      <sz val="12"/>
      <scheme val="minor"/>
    </font>
    <font>
      <name val="Calibri"/>
      <family val="2"/>
      <b val="1"/>
      <sz val="12"/>
      <scheme val="minor"/>
    </font>
    <font>
      <name val="Calibri"/>
      <family val="2"/>
      <color theme="11"/>
      <sz val="12"/>
      <u val="single"/>
    </font>
    <font>
      <name val="Calibri"/>
      <family val="2"/>
      <b val="1"/>
      <color indexed="8"/>
      <sz val="12"/>
    </font>
    <font>
      <name val="Calibri"/>
      <family val="2"/>
      <b val="1"/>
      <color indexed="8"/>
      <sz val="12"/>
      <u val="single"/>
    </font>
    <font>
      <name val="Calibri"/>
      <family val="2"/>
      <i val="1"/>
      <color indexed="8"/>
      <sz val="12"/>
    </font>
    <font>
      <name val="Calibri"/>
      <family val="2"/>
      <b val="1"/>
      <color rgb="FF000000"/>
      <sz val="12"/>
      <u val="single"/>
    </font>
    <font>
      <name val="Calibri"/>
      <family val="2"/>
      <color indexed="8"/>
      <sz val="12"/>
      <u val="single"/>
    </font>
    <font>
      <name val="Calibri"/>
      <family val="2"/>
      <b val="1"/>
      <color rgb="FF333333"/>
      <sz val="12"/>
      <scheme val="minor"/>
    </font>
    <font>
      <name val="Calibri"/>
      <family val="2"/>
      <color rgb="FF333333"/>
      <sz val="12"/>
      <scheme val="minor"/>
    </font>
    <font>
      <name val="Calibri"/>
      <family val="2"/>
      <color rgb="FF000000"/>
      <sz val="12"/>
    </font>
    <font>
      <name val="Calibri"/>
      <family val="2"/>
      <i val="1"/>
      <color indexed="12"/>
      <sz val="12"/>
      <u val="single"/>
    </font>
    <font>
      <name val="Calibri"/>
      <family val="2"/>
      <i val="1"/>
      <color rgb="FF000000"/>
      <sz val="12"/>
    </font>
    <font>
      <name val="Calibri"/>
      <family val="2"/>
      <b val="1"/>
      <color rgb="FF000000"/>
      <sz val="12"/>
    </font>
    <font>
      <name val="Calibri"/>
      <family val="2"/>
      <color rgb="FF000000"/>
      <sz val="12"/>
      <scheme val="minor"/>
    </font>
    <font>
      <name val="Arial"/>
      <family val="2"/>
      <color rgb="FF1D1C1D"/>
      <sz val="11.5"/>
    </font>
    <font>
      <name val="Calibri"/>
      <b val="1"/>
      <color rgb="00FFFFFF"/>
      <sz val="11"/>
    </font>
    <font>
      <name val="Calibri"/>
      <sz val="11"/>
    </font>
  </fonts>
  <fills count="13">
    <fill>
      <patternFill/>
    </fill>
    <fill>
      <patternFill patternType="gray125"/>
    </fill>
    <fill>
      <patternFill patternType="solid">
        <fgColor theme="0" tint="-0.1499984740745262"/>
        <bgColor indexed="64"/>
      </patternFill>
    </fill>
    <fill>
      <patternFill patternType="solid">
        <fgColor theme="6" tint="0.7999816888943144"/>
        <bgColor indexed="64"/>
      </patternFill>
    </fill>
    <fill>
      <patternFill patternType="solid">
        <fgColor theme="8" tint="0.7999816888943144"/>
        <bgColor indexed="64"/>
      </patternFill>
    </fill>
    <fill>
      <patternFill patternType="solid">
        <fgColor rgb="FFDAEEF3"/>
        <bgColor rgb="FF000000"/>
      </patternFill>
    </fill>
    <fill>
      <patternFill patternType="solid">
        <fgColor theme="9" tint="0.7999816888943144"/>
        <bgColor indexed="64"/>
      </patternFill>
    </fill>
    <fill>
      <patternFill patternType="solid">
        <fgColor rgb="FFFDE9D9"/>
        <bgColor rgb="FF000000"/>
      </patternFill>
    </fill>
    <fill>
      <patternFill patternType="solid">
        <fgColor rgb="FFE7D480"/>
        <bgColor rgb="FF000000"/>
      </patternFill>
    </fill>
    <fill>
      <patternFill patternType="solid">
        <fgColor rgb="FFFABF8F"/>
        <bgColor rgb="FF000000"/>
      </patternFill>
    </fill>
    <fill>
      <patternFill patternType="solid">
        <fgColor rgb="FFD8E4BC"/>
        <bgColor rgb="FF000000"/>
      </patternFill>
    </fill>
    <fill>
      <patternFill patternType="solid">
        <fgColor rgb="FFFFD44B"/>
        <bgColor rgb="FF000000"/>
      </patternFill>
    </fill>
    <fill>
      <patternFill patternType="solid">
        <fgColor rgb="004472C4"/>
      </patternFill>
    </fill>
  </fills>
  <borders count="4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right style="thin">
        <color indexed="64"/>
      </right>
      <top/>
      <bottom/>
      <diagonal/>
    </border>
    <border>
      <left style="thin">
        <color theme="0" tint="-0.499984740745262"/>
      </left>
      <right style="thin">
        <color theme="0" tint="-0.499984740745262"/>
      </right>
      <top style="thin">
        <color theme="0" tint="-0.499984740745262"/>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indexed="64"/>
      </bottom>
      <diagonal/>
    </border>
    <border>
      <left/>
      <right/>
      <top/>
      <bottom style="thin">
        <color indexed="64"/>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bottom style="thin">
        <color theme="0" tint="-0.249977111117893"/>
      </bottom>
      <diagonal/>
    </border>
    <border>
      <left/>
      <right style="thin">
        <color theme="0" tint="-0.249977111117893"/>
      </right>
      <top style="thin">
        <color indexed="64"/>
      </top>
      <bottom style="thin">
        <color indexed="64"/>
      </bottom>
      <diagonal/>
    </border>
    <border>
      <left style="thin">
        <color theme="0" tint="-0.249977111117893"/>
      </left>
      <right style="thin">
        <color theme="0" tint="-0.249977111117893"/>
      </right>
      <top style="thin">
        <color indexed="64"/>
      </top>
      <bottom style="thin">
        <color indexed="64"/>
      </bottom>
      <diagonal/>
    </border>
    <border>
      <left style="thin">
        <color theme="0" tint="-0.249977111117893"/>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style="thin">
        <color theme="0" tint="-0.249977111117893"/>
      </right>
      <top style="thin">
        <color theme="0" tint="-0.249977111117893"/>
      </top>
      <bottom style="thin">
        <color rgb="FF808080"/>
      </bottom>
      <diagonal/>
    </border>
    <border>
      <left/>
      <right/>
      <top/>
      <bottom style="thin">
        <color rgb="FF808080"/>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style="thin">
        <color theme="0" tint="-0.249977111117893"/>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indexed="64"/>
      </right>
      <top/>
      <bottom style="thin">
        <color indexed="64"/>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s>
  <cellStyleXfs count="4">
    <xf numFmtId="0" fontId="3" fillId="0" borderId="0"/>
    <xf numFmtId="0" fontId="2" fillId="0" borderId="0" applyAlignment="1" applyProtection="1">
      <alignment vertical="top"/>
      <protection locked="0" hidden="0"/>
    </xf>
    <xf numFmtId="0" fontId="4" fillId="0" borderId="0"/>
    <xf numFmtId="0" fontId="8" fillId="0" borderId="0"/>
  </cellStyleXfs>
  <cellXfs count="172">
    <xf numFmtId="0" fontId="0" fillId="0" borderId="0" pivotButton="0" quotePrefix="0" xfId="0"/>
    <xf numFmtId="0" fontId="3" fillId="0" borderId="0" pivotButton="0" quotePrefix="0" xfId="0"/>
    <xf numFmtId="0" fontId="5" fillId="0" borderId="0" pivotButton="0" quotePrefix="0" xfId="0"/>
    <xf numFmtId="0" fontId="6" fillId="2" borderId="0" pivotButton="0" quotePrefix="0" xfId="0"/>
    <xf numFmtId="0" fontId="6" fillId="2" borderId="0" applyAlignment="1" pivotButton="0" quotePrefix="0" xfId="0">
      <alignment wrapText="1"/>
    </xf>
    <xf numFmtId="0" fontId="6" fillId="2" borderId="2" pivotButton="0" quotePrefix="0" xfId="0"/>
    <xf numFmtId="49" fontId="6" fillId="2" borderId="2" applyAlignment="1" pivotButton="0" quotePrefix="0" xfId="0">
      <alignment wrapText="1"/>
    </xf>
    <xf numFmtId="0" fontId="7" fillId="2" borderId="2" applyAlignment="1" pivotButton="0" quotePrefix="0" xfId="0">
      <alignment wrapText="1"/>
    </xf>
    <xf numFmtId="0" fontId="3" fillId="0" borderId="2" pivotButton="0" quotePrefix="0" xfId="0"/>
    <xf numFmtId="0" fontId="0" fillId="0" borderId="2" pivotButton="0" quotePrefix="0" xfId="0"/>
    <xf numFmtId="0" fontId="4" fillId="0" borderId="2" pivotButton="0" quotePrefix="0" xfId="2"/>
    <xf numFmtId="0" fontId="2" fillId="0" borderId="2" pivotButton="0" quotePrefix="0" xfId="1"/>
    <xf numFmtId="49" fontId="0" fillId="0" borderId="0" applyAlignment="1" pivotButton="0" quotePrefix="0" xfId="0">
      <alignment horizontal="left" vertical="center" wrapText="1"/>
    </xf>
    <xf numFmtId="0" fontId="0" fillId="0" borderId="0" applyAlignment="1" pivotButton="0" quotePrefix="0" xfId="0">
      <alignment wrapText="1"/>
    </xf>
    <xf numFmtId="0" fontId="14" fillId="3" borderId="1" applyAlignment="1" pivotButton="0" quotePrefix="0" xfId="0">
      <alignment horizontal="center"/>
    </xf>
    <xf numFmtId="0" fontId="15" fillId="3" borderId="1" applyAlignment="1" pivotButton="0" quotePrefix="0" xfId="0">
      <alignment horizontal="center"/>
    </xf>
    <xf numFmtId="16" fontId="15" fillId="3" borderId="1" applyAlignment="1" pivotButton="0" quotePrefix="0" xfId="0">
      <alignment horizontal="center"/>
    </xf>
    <xf numFmtId="0" fontId="0" fillId="3" borderId="1" pivotButton="0" quotePrefix="0" xfId="0"/>
    <xf numFmtId="0" fontId="0" fillId="3" borderId="1" applyAlignment="1" pivotButton="0" quotePrefix="0" xfId="0">
      <alignment wrapText="1"/>
    </xf>
    <xf numFmtId="0" fontId="15"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center" wrapText="1"/>
    </xf>
    <xf numFmtId="0" fontId="0" fillId="6" borderId="1" applyAlignment="1" pivotButton="0" quotePrefix="0" xfId="0">
      <alignment wrapText="1"/>
    </xf>
    <xf numFmtId="0" fontId="0" fillId="6" borderId="1" pivotButton="0" quotePrefix="0" xfId="0"/>
    <xf numFmtId="0" fontId="0" fillId="6" borderId="0" pivotButton="0" quotePrefix="0" xfId="0"/>
    <xf numFmtId="0" fontId="0" fillId="6" borderId="1" applyAlignment="1" pivotButton="0" quotePrefix="0" xfId="0">
      <alignment horizontal="left" vertical="top"/>
    </xf>
    <xf numFmtId="0" fontId="0" fillId="6" borderId="1" applyAlignment="1" pivotButton="0" quotePrefix="0" xfId="0">
      <alignment horizontal="left" vertical="top" wrapText="1"/>
    </xf>
    <xf numFmtId="0" fontId="0" fillId="6" borderId="1" applyAlignment="1" pivotButton="0" quotePrefix="0" xfId="0">
      <alignment horizontal="center" vertical="top"/>
    </xf>
    <xf numFmtId="0" fontId="6" fillId="2" borderId="2" applyAlignment="1" pivotButton="0" quotePrefix="0" xfId="0">
      <alignment wrapText="1"/>
    </xf>
    <xf numFmtId="0" fontId="0" fillId="0" borderId="0" applyAlignment="1" pivotButton="0" quotePrefix="0" xfId="0">
      <alignment horizontal="left" vertical="center" wrapText="1"/>
    </xf>
    <xf numFmtId="0" fontId="16" fillId="7" borderId="9" applyAlignment="1" pivotButton="0" quotePrefix="0" xfId="0">
      <alignment horizontal="left" vertical="top" wrapText="1"/>
    </xf>
    <xf numFmtId="0" fontId="15" fillId="3" borderId="1" applyAlignment="1" pivotButton="0" quotePrefix="0" xfId="0">
      <alignment horizontal="center" wrapText="1"/>
    </xf>
    <xf numFmtId="0" fontId="0" fillId="0" borderId="0" applyAlignment="1" pivotButton="0" quotePrefix="0" xfId="0">
      <alignment horizontal="center" wrapText="1"/>
    </xf>
    <xf numFmtId="0" fontId="0" fillId="3" borderId="11" pivotButton="0" quotePrefix="0" xfId="0"/>
    <xf numFmtId="0" fontId="0" fillId="3" borderId="11" applyAlignment="1" pivotButton="0" quotePrefix="0" xfId="0">
      <alignment horizontal="center" wrapText="1"/>
    </xf>
    <xf numFmtId="0" fontId="0" fillId="3" borderId="12" applyAlignment="1" pivotButton="0" quotePrefix="0" xfId="0">
      <alignment wrapText="1"/>
    </xf>
    <xf numFmtId="0" fontId="0" fillId="3" borderId="12" pivotButton="0" quotePrefix="0" xfId="0"/>
    <xf numFmtId="0" fontId="12" fillId="5" borderId="15" applyAlignment="1" pivotButton="0" quotePrefix="0" xfId="0">
      <alignment horizontal="left" vertical="center" wrapText="1"/>
    </xf>
    <xf numFmtId="0" fontId="12" fillId="5" borderId="10" applyAlignment="1" pivotButton="0" quotePrefix="0" xfId="0">
      <alignment horizontal="left" vertical="center" wrapText="1"/>
    </xf>
    <xf numFmtId="0" fontId="0" fillId="4" borderId="0" applyAlignment="1" pivotButton="0" quotePrefix="0" xfId="0">
      <alignment horizontal="left" vertical="top" wrapText="1"/>
    </xf>
    <xf numFmtId="0" fontId="6" fillId="2" borderId="12" applyAlignment="1" pivotButton="0" quotePrefix="0" xfId="0">
      <alignment horizontal="left" vertical="center" wrapText="1"/>
    </xf>
    <xf numFmtId="0" fontId="7" fillId="2" borderId="12" applyAlignment="1" pivotButton="0" quotePrefix="0" xfId="0">
      <alignment horizontal="left" vertical="center" wrapText="1"/>
    </xf>
    <xf numFmtId="0" fontId="6" fillId="2" borderId="12" pivotButton="0" quotePrefix="0" xfId="0"/>
    <xf numFmtId="0" fontId="6" fillId="2" borderId="12" applyAlignment="1" pivotButton="0" quotePrefix="0" xfId="0">
      <alignment wrapText="1"/>
    </xf>
    <xf numFmtId="0" fontId="0" fillId="4" borderId="12" applyAlignment="1" pivotButton="0" quotePrefix="0" xfId="0">
      <alignment horizontal="left" vertical="top" wrapText="1"/>
    </xf>
    <xf numFmtId="0" fontId="0" fillId="4" borderId="12" applyAlignment="1" pivotButton="0" quotePrefix="0" xfId="0">
      <alignment vertical="top"/>
    </xf>
    <xf numFmtId="0" fontId="6" fillId="2" borderId="18" pivotButton="0" quotePrefix="0" xfId="0"/>
    <xf numFmtId="0" fontId="6" fillId="2" borderId="18" applyAlignment="1" pivotButton="0" quotePrefix="0" xfId="0">
      <alignment wrapText="1"/>
    </xf>
    <xf numFmtId="0" fontId="7" fillId="2" borderId="18" applyAlignment="1" pivotButton="0" quotePrefix="0" xfId="0">
      <alignment wrapText="1"/>
    </xf>
    <xf numFmtId="0" fontId="0" fillId="4" borderId="0" applyAlignment="1" pivotButton="0" quotePrefix="0" xfId="0">
      <alignment vertical="top" wrapText="1"/>
    </xf>
    <xf numFmtId="0" fontId="17" fillId="4" borderId="12" applyAlignment="1" pivotButton="0" quotePrefix="0" xfId="1">
      <alignment horizontal="left" vertical="top" wrapText="1"/>
    </xf>
    <xf numFmtId="0" fontId="2" fillId="6" borderId="1" applyAlignment="1" pivotButton="0" quotePrefix="0" xfId="1">
      <alignment horizontal="left" vertical="top"/>
    </xf>
    <xf numFmtId="0" fontId="2" fillId="6" borderId="0" pivotButton="0" quotePrefix="0" xfId="1"/>
    <xf numFmtId="0" fontId="0" fillId="4" borderId="18" applyAlignment="1" pivotButton="0" quotePrefix="0" xfId="0">
      <alignment horizontal="left" vertical="top" wrapText="1"/>
    </xf>
    <xf numFmtId="0" fontId="0" fillId="4" borderId="18" applyAlignment="1" pivotButton="0" quotePrefix="0" xfId="0">
      <alignment vertical="top"/>
    </xf>
    <xf numFmtId="49" fontId="17" fillId="4" borderId="12" applyAlignment="1" pivotButton="0" quotePrefix="0" xfId="1">
      <alignment vertical="top" wrapText="1"/>
    </xf>
    <xf numFmtId="49" fontId="0" fillId="4" borderId="12" applyAlignment="1" pivotButton="0" quotePrefix="0" xfId="0">
      <alignment vertical="top" wrapText="1"/>
    </xf>
    <xf numFmtId="0" fontId="17" fillId="4" borderId="12" applyAlignment="1" pivotButton="0" quotePrefix="0" xfId="1">
      <alignment vertical="top"/>
    </xf>
    <xf numFmtId="0" fontId="17" fillId="4" borderId="12" applyAlignment="1" pivotButton="0" quotePrefix="0" xfId="1">
      <alignment vertical="top" wrapText="1"/>
    </xf>
    <xf numFmtId="0" fontId="0" fillId="4" borderId="12" applyAlignment="1" pivotButton="0" quotePrefix="0" xfId="0">
      <alignment horizontal="left" vertical="top"/>
    </xf>
    <xf numFmtId="0" fontId="17" fillId="4" borderId="12" applyAlignment="1" pivotButton="0" quotePrefix="0" xfId="1">
      <alignment horizontal="left" vertical="top"/>
    </xf>
    <xf numFmtId="0" fontId="17" fillId="4" borderId="12" applyAlignment="1" pivotButton="0" quotePrefix="0" xfId="1">
      <alignment horizontal="left" vertical="top" wrapText="1"/>
    </xf>
    <xf numFmtId="0" fontId="0" fillId="4" borderId="12" applyAlignment="1" pivotButton="0" quotePrefix="0" xfId="0">
      <alignment vertical="top" wrapText="1"/>
    </xf>
    <xf numFmtId="0" fontId="17" fillId="4" borderId="12" applyAlignment="1" pivotButton="0" quotePrefix="0" xfId="1">
      <alignment vertical="top" wrapText="1"/>
    </xf>
    <xf numFmtId="49" fontId="5" fillId="0" borderId="0" applyAlignment="1" pivotButton="0" quotePrefix="0" xfId="0">
      <alignment wrapText="1"/>
    </xf>
    <xf numFmtId="0" fontId="0" fillId="0" borderId="22" pivotButton="0" quotePrefix="0" xfId="0"/>
    <xf numFmtId="0" fontId="0" fillId="0" borderId="23" pivotButton="0" quotePrefix="0" xfId="0"/>
    <xf numFmtId="0" fontId="3"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3" fillId="0" borderId="20" pivotButton="0" quotePrefix="0" xfId="0"/>
    <xf numFmtId="0" fontId="0" fillId="0" borderId="30" pivotButton="0" quotePrefix="0" xfId="0"/>
    <xf numFmtId="0" fontId="0" fillId="0" borderId="31" pivotButton="0" quotePrefix="0" xfId="0"/>
    <xf numFmtId="0" fontId="0" fillId="0" borderId="32" pivotButton="0" quotePrefix="0" xfId="0"/>
    <xf numFmtId="0" fontId="3" fillId="0" borderId="33" pivotButton="0" quotePrefix="0" xfId="0"/>
    <xf numFmtId="0" fontId="6" fillId="2" borderId="34" pivotButton="0" quotePrefix="0" xfId="0"/>
    <xf numFmtId="49" fontId="6" fillId="2" borderId="34" applyAlignment="1" pivotButton="0" quotePrefix="0" xfId="0">
      <alignment wrapText="1"/>
    </xf>
    <xf numFmtId="0" fontId="6" fillId="2" borderId="34" applyAlignment="1" pivotButton="0" quotePrefix="0" xfId="0">
      <alignment wrapText="1"/>
    </xf>
    <xf numFmtId="0" fontId="7" fillId="2" borderId="34" applyAlignment="1" pivotButton="0" quotePrefix="0" xfId="0">
      <alignment wrapText="1"/>
    </xf>
    <xf numFmtId="0" fontId="5" fillId="0" borderId="34" pivotButton="0" quotePrefix="0" xfId="0"/>
    <xf numFmtId="49" fontId="5" fillId="0" borderId="34" applyAlignment="1" pivotButton="0" quotePrefix="0" xfId="0">
      <alignment wrapText="1"/>
    </xf>
    <xf numFmtId="0" fontId="5" fillId="0" borderId="34" applyAlignment="1" pivotButton="0" quotePrefix="0" xfId="0">
      <alignment wrapText="1"/>
    </xf>
    <xf numFmtId="49" fontId="16" fillId="0" borderId="34" applyAlignment="1" pivotButton="0" quotePrefix="0" xfId="0">
      <alignment wrapText="1"/>
    </xf>
    <xf numFmtId="49" fontId="16" fillId="8" borderId="34" applyAlignment="1" pivotButton="0" quotePrefix="0" xfId="0">
      <alignment wrapText="1"/>
    </xf>
    <xf numFmtId="0" fontId="16" fillId="0" borderId="34" pivotButton="0" quotePrefix="0" xfId="0"/>
    <xf numFmtId="0" fontId="16" fillId="9" borderId="34" applyAlignment="1" pivotButton="0" quotePrefix="0" xfId="0">
      <alignment wrapText="1"/>
    </xf>
    <xf numFmtId="0" fontId="16" fillId="0" borderId="34" applyAlignment="1" pivotButton="0" quotePrefix="0" xfId="0">
      <alignment wrapText="1"/>
    </xf>
    <xf numFmtId="0" fontId="16" fillId="10" borderId="34" pivotButton="0" quotePrefix="0" xfId="0"/>
    <xf numFmtId="0" fontId="16" fillId="11" borderId="34" pivotButton="0" quotePrefix="0" xfId="0"/>
    <xf numFmtId="0" fontId="21" fillId="0" borderId="0" pivotButton="0" quotePrefix="0" xfId="0"/>
    <xf numFmtId="0" fontId="0" fillId="0" borderId="35" pivotButton="0" quotePrefix="0" xfId="0"/>
    <xf numFmtId="0" fontId="17" fillId="3" borderId="19" applyAlignment="1" pivotButton="0" quotePrefix="0" xfId="1">
      <alignment horizontal="left" vertical="top"/>
    </xf>
    <xf numFmtId="0" fontId="17" fillId="3" borderId="20" applyAlignment="1" pivotButton="0" quotePrefix="0" xfId="1">
      <alignment horizontal="left" vertical="top"/>
    </xf>
    <xf numFmtId="0" fontId="17" fillId="3" borderId="21" applyAlignment="1" pivotButton="0" quotePrefix="0" xfId="1">
      <alignment horizontal="left" vertical="top"/>
    </xf>
    <xf numFmtId="0" fontId="12" fillId="5" borderId="13" applyAlignment="1" pivotButton="0" quotePrefix="0" xfId="0">
      <alignment horizontal="left" vertical="center" wrapText="1"/>
    </xf>
    <xf numFmtId="0" fontId="12" fillId="5" borderId="14" applyAlignment="1" pivotButton="0" quotePrefix="0" xfId="0">
      <alignment horizontal="left" vertical="center" wrapText="1"/>
    </xf>
    <xf numFmtId="0" fontId="0" fillId="4" borderId="15" applyAlignment="1" pivotButton="0" quotePrefix="0" xfId="0">
      <alignment horizontal="center" vertical="center" wrapText="1"/>
    </xf>
    <xf numFmtId="0" fontId="0" fillId="4" borderId="10" applyAlignment="1" pivotButton="0" quotePrefix="0" xfId="0">
      <alignment horizontal="center" vertical="center" wrapText="1"/>
    </xf>
    <xf numFmtId="0" fontId="0" fillId="4" borderId="15" applyAlignment="1" pivotButton="0" quotePrefix="0" xfId="0">
      <alignment horizontal="left" vertical="center" wrapText="1"/>
    </xf>
    <xf numFmtId="0" fontId="0" fillId="4" borderId="10" applyAlignment="1" pivotButton="0" quotePrefix="0" xfId="0">
      <alignment horizontal="left" vertical="center" wrapText="1"/>
    </xf>
    <xf numFmtId="0" fontId="13" fillId="6" borderId="1" applyAlignment="1" pivotButton="0" quotePrefix="0" xfId="0">
      <alignment horizontal="left"/>
    </xf>
    <xf numFmtId="0" fontId="13" fillId="3" borderId="12" applyAlignment="1" pivotButton="0" quotePrefix="0" xfId="0">
      <alignment horizontal="left"/>
    </xf>
    <xf numFmtId="0" fontId="17" fillId="4" borderId="16" applyAlignment="1" pivotButton="0" quotePrefix="0" xfId="1">
      <alignment horizontal="left" vertical="top" wrapText="1"/>
    </xf>
    <xf numFmtId="0" fontId="17" fillId="4" borderId="17" applyAlignment="1" pivotButton="0" quotePrefix="0" xfId="1">
      <alignment horizontal="left" vertical="top" wrapText="1"/>
    </xf>
    <xf numFmtId="0" fontId="17" fillId="4" borderId="15" applyAlignment="1" pivotButton="0" quotePrefix="0" xfId="1">
      <alignment horizontal="left" vertical="top" wrapText="1"/>
    </xf>
    <xf numFmtId="0" fontId="17" fillId="4" borderId="10" applyAlignment="1" pivotButton="0" quotePrefix="0" xfId="1">
      <alignment horizontal="left" vertical="top" wrapText="1"/>
    </xf>
    <xf numFmtId="0" fontId="0" fillId="4" borderId="7" applyAlignment="1" pivotButton="0" quotePrefix="0" xfId="0">
      <alignment horizontal="left" vertical="center" wrapText="1"/>
    </xf>
    <xf numFmtId="0" fontId="0" fillId="4" borderId="8" applyAlignment="1" pivotButton="0" quotePrefix="0" xfId="0">
      <alignment horizontal="left" vertical="center" wrapText="1"/>
    </xf>
    <xf numFmtId="0" fontId="10" fillId="4" borderId="3" applyAlignment="1" pivotButton="0" quotePrefix="0" xfId="0">
      <alignment horizontal="left" vertical="center" wrapText="1"/>
    </xf>
    <xf numFmtId="0" fontId="10" fillId="4" borderId="4" applyAlignment="1" pivotButton="0" quotePrefix="0" xfId="0">
      <alignment horizontal="left" vertical="center" wrapText="1"/>
    </xf>
    <xf numFmtId="0" fontId="0" fillId="4" borderId="5" applyAlignment="1" pivotButton="0" quotePrefix="0" xfId="0">
      <alignment horizontal="center" vertical="center" wrapText="1"/>
    </xf>
    <xf numFmtId="0" fontId="0" fillId="4" borderId="6" applyAlignment="1" pivotButton="0" quotePrefix="0" xfId="0">
      <alignment horizontal="center" vertical="center" wrapText="1"/>
    </xf>
    <xf numFmtId="0" fontId="22" fillId="12" borderId="34" applyAlignment="1" pivotButton="0" quotePrefix="0" xfId="0">
      <alignment horizontal="center" vertical="center" wrapText="1"/>
    </xf>
    <xf numFmtId="49" fontId="22" fillId="12" borderId="34" applyAlignment="1" pivotButton="0" quotePrefix="0" xfId="0">
      <alignment horizontal="center" vertical="center" wrapText="1"/>
    </xf>
    <xf numFmtId="0" fontId="23" fillId="0" borderId="34" applyAlignment="1" pivotButton="0" quotePrefix="0" xfId="0">
      <alignment vertical="top"/>
    </xf>
    <xf numFmtId="0" fontId="23" fillId="0" borderId="0" applyAlignment="1" pivotButton="0" quotePrefix="0" xfId="0">
      <alignment vertical="top" wrapText="1"/>
    </xf>
    <xf numFmtId="0" fontId="23" fillId="0" borderId="0" applyAlignment="1" pivotButton="0" quotePrefix="0" xfId="0">
      <alignment vertical="top"/>
    </xf>
    <xf numFmtId="0" fontId="23" fillId="0" borderId="34" applyAlignment="1" pivotButton="0" quotePrefix="0" xfId="0">
      <alignment vertical="top" wrapText="1"/>
    </xf>
    <xf numFmtId="49" fontId="23" fillId="0" borderId="34" applyAlignment="1" pivotButton="0" quotePrefix="0" xfId="0">
      <alignment vertical="top" wrapText="1"/>
    </xf>
    <xf numFmtId="49" fontId="23" fillId="8" borderId="34" applyAlignment="1" pivotButton="0" quotePrefix="0" xfId="0">
      <alignment vertical="top" wrapText="1"/>
    </xf>
    <xf numFmtId="0" fontId="23" fillId="9" borderId="34" applyAlignment="1" pivotButton="0" quotePrefix="0" xfId="0">
      <alignment vertical="top" wrapText="1"/>
    </xf>
    <xf numFmtId="0" fontId="23" fillId="10" borderId="34" applyAlignment="1" pivotButton="0" quotePrefix="0" xfId="0">
      <alignment vertical="top"/>
    </xf>
    <xf numFmtId="0" fontId="23" fillId="11" borderId="34" applyAlignment="1" pivotButton="0" quotePrefix="0" xfId="0">
      <alignment vertical="top"/>
    </xf>
    <xf numFmtId="0" fontId="22" fillId="12" borderId="2" applyAlignment="1" pivotButton="0" quotePrefix="0" xfId="0">
      <alignment horizontal="center" vertical="center" wrapText="1"/>
    </xf>
    <xf numFmtId="49" fontId="22" fillId="12" borderId="2" applyAlignment="1" pivotButton="0" quotePrefix="0" xfId="0">
      <alignment horizontal="center" vertical="center" wrapText="1"/>
    </xf>
    <xf numFmtId="0" fontId="22" fillId="12" borderId="0" applyAlignment="1" pivotButton="0" quotePrefix="0" xfId="0">
      <alignment horizontal="center" vertical="center" wrapText="1"/>
    </xf>
    <xf numFmtId="0" fontId="23" fillId="0" borderId="23" applyAlignment="1" pivotButton="0" quotePrefix="0" xfId="0">
      <alignment vertical="top"/>
    </xf>
    <xf numFmtId="0" fontId="23" fillId="0" borderId="23" applyAlignment="1" pivotButton="0" quotePrefix="0" xfId="0">
      <alignment vertical="top" wrapText="1"/>
    </xf>
    <xf numFmtId="0" fontId="23" fillId="0" borderId="24" applyAlignment="1" pivotButton="0" quotePrefix="0" xfId="0">
      <alignment vertical="top"/>
    </xf>
    <xf numFmtId="0" fontId="23" fillId="0" borderId="28" applyAlignment="1" pivotButton="0" quotePrefix="0" xfId="0">
      <alignment vertical="top"/>
    </xf>
    <xf numFmtId="0" fontId="23" fillId="0" borderId="29" applyAlignment="1" pivotButton="0" quotePrefix="0" xfId="0">
      <alignment vertical="top"/>
    </xf>
    <xf numFmtId="0" fontId="23" fillId="0" borderId="29" applyAlignment="1" pivotButton="0" quotePrefix="0" xfId="0">
      <alignment vertical="top" wrapText="1"/>
    </xf>
    <xf numFmtId="0" fontId="23" fillId="0" borderId="20" applyAlignment="1" pivotButton="0" quotePrefix="0" xfId="0">
      <alignment vertical="top"/>
    </xf>
    <xf numFmtId="0" fontId="23" fillId="0" borderId="35" applyAlignment="1" pivotButton="0" quotePrefix="0" xfId="0">
      <alignment vertical="top"/>
    </xf>
    <xf numFmtId="0" fontId="23" fillId="0" borderId="30" applyAlignment="1" pivotButton="0" quotePrefix="0" xfId="0">
      <alignment vertical="top"/>
    </xf>
    <xf numFmtId="0" fontId="23" fillId="0" borderId="30" applyAlignment="1" pivotButton="0" quotePrefix="0" xfId="0">
      <alignment vertical="top" wrapText="1"/>
    </xf>
    <xf numFmtId="0" fontId="23" fillId="0" borderId="27" applyAlignment="1" pivotButton="0" quotePrefix="0" xfId="0">
      <alignment vertical="top"/>
    </xf>
    <xf numFmtId="0" fontId="23" fillId="0" borderId="22" applyAlignment="1" pivotButton="0" quotePrefix="0" xfId="0">
      <alignment vertical="top"/>
    </xf>
    <xf numFmtId="0" fontId="23" fillId="0" borderId="22" applyAlignment="1" pivotButton="0" quotePrefix="0" xfId="0">
      <alignment vertical="top" wrapText="1"/>
    </xf>
    <xf numFmtId="0" fontId="23" fillId="0" borderId="2" applyAlignment="1" pivotButton="0" quotePrefix="0" xfId="0">
      <alignment vertical="top"/>
    </xf>
    <xf numFmtId="0" fontId="23" fillId="0" borderId="26" applyAlignment="1" pivotButton="0" quotePrefix="0" xfId="0">
      <alignment vertical="top"/>
    </xf>
    <xf numFmtId="0" fontId="23" fillId="0" borderId="2" applyAlignment="1" pivotButton="0" quotePrefix="0" xfId="0">
      <alignment vertical="top" wrapText="1"/>
    </xf>
    <xf numFmtId="0" fontId="23" fillId="0" borderId="26" applyAlignment="1" pivotButton="0" quotePrefix="0" xfId="0">
      <alignment vertical="top" wrapText="1"/>
    </xf>
    <xf numFmtId="0" fontId="23" fillId="0" borderId="32" applyAlignment="1" pivotButton="0" quotePrefix="0" xfId="0">
      <alignment vertical="top"/>
    </xf>
    <xf numFmtId="0" fontId="23" fillId="0" borderId="32" applyAlignment="1" pivotButton="0" quotePrefix="0" xfId="0">
      <alignment vertical="top" wrapText="1"/>
    </xf>
    <xf numFmtId="0" fontId="23" fillId="0" borderId="33" applyAlignment="1" pivotButton="0" quotePrefix="0" xfId="0">
      <alignment vertical="top"/>
    </xf>
    <xf numFmtId="0" fontId="23" fillId="0" borderId="31" applyAlignment="1" pivotButton="0" quotePrefix="0" xfId="0">
      <alignment vertical="top"/>
    </xf>
    <xf numFmtId="49" fontId="23" fillId="0" borderId="0" applyAlignment="1" pivotButton="0" quotePrefix="0" xfId="0">
      <alignment vertical="top" wrapText="1"/>
    </xf>
    <xf numFmtId="0" fontId="23" fillId="0" borderId="25" applyAlignment="1" pivotButton="0" quotePrefix="0" xfId="0">
      <alignment vertical="top"/>
    </xf>
    <xf numFmtId="0" fontId="23" fillId="0" borderId="2" applyAlignment="1" pivotButton="0" quotePrefix="0" xfId="2">
      <alignment vertical="top"/>
    </xf>
    <xf numFmtId="0" fontId="23" fillId="0" borderId="2" applyAlignment="1" pivotButton="0" quotePrefix="0" xfId="1">
      <alignment vertical="top"/>
    </xf>
    <xf numFmtId="0" fontId="12" fillId="5" borderId="37" applyAlignment="1" pivotButton="0" quotePrefix="0" xfId="0">
      <alignment horizontal="left" vertical="center" wrapText="1"/>
    </xf>
    <xf numFmtId="0" fontId="0" fillId="0" borderId="14" pivotButton="0" quotePrefix="0" xfId="0"/>
    <xf numFmtId="0" fontId="0" fillId="4" borderId="38" applyAlignment="1" pivotButton="0" quotePrefix="0" xfId="0">
      <alignment horizontal="center" vertical="center" wrapText="1"/>
    </xf>
    <xf numFmtId="0" fontId="0" fillId="0" borderId="10" pivotButton="0" quotePrefix="0" xfId="0"/>
    <xf numFmtId="0" fontId="0" fillId="4" borderId="38" applyAlignment="1" pivotButton="0" quotePrefix="0" xfId="0">
      <alignment horizontal="left" vertical="center" wrapText="1"/>
    </xf>
    <xf numFmtId="0" fontId="17" fillId="4" borderId="41" applyAlignment="1" pivotButton="0" quotePrefix="0" xfId="1">
      <alignment horizontal="left" vertical="top" wrapText="1"/>
    </xf>
    <xf numFmtId="0" fontId="0" fillId="0" borderId="17" pivotButton="0" quotePrefix="0" xfId="0"/>
    <xf numFmtId="0" fontId="0" fillId="0" borderId="40" pivotButton="0" quotePrefix="0" xfId="0"/>
    <xf numFmtId="0" fontId="0" fillId="0" borderId="21" pivotButton="0" quotePrefix="0" xfId="0"/>
    <xf numFmtId="0" fontId="17" fillId="3" borderId="12" applyAlignment="1" pivotButton="0" quotePrefix="0" xfId="1">
      <alignment horizontal="left" vertical="top"/>
    </xf>
    <xf numFmtId="0" fontId="0" fillId="0" borderId="20" pivotButton="0" quotePrefix="0" xfId="0"/>
    <xf numFmtId="0" fontId="17" fillId="4" borderId="38" applyAlignment="1" pivotButton="0" quotePrefix="0" xfId="1">
      <alignment horizontal="left" vertical="top" wrapText="1"/>
    </xf>
    <xf numFmtId="0" fontId="10" fillId="4" borderId="18" applyAlignment="1" pivotButton="0" quotePrefix="0" xfId="0">
      <alignment horizontal="left" vertical="center" wrapText="1"/>
    </xf>
    <xf numFmtId="0" fontId="0" fillId="0" borderId="4" pivotButton="0" quotePrefix="0" xfId="0"/>
    <xf numFmtId="0" fontId="0" fillId="4" borderId="43" applyAlignment="1" pivotButton="0" quotePrefix="0" xfId="0">
      <alignment horizontal="center" vertical="center" wrapText="1"/>
    </xf>
    <xf numFmtId="0" fontId="0" fillId="0" borderId="6" pivotButton="0" quotePrefix="0" xfId="0"/>
    <xf numFmtId="0" fontId="0" fillId="4" borderId="42" applyAlignment="1" pivotButton="0" quotePrefix="0" xfId="0">
      <alignment horizontal="left" vertical="center" wrapText="1"/>
    </xf>
    <xf numFmtId="0" fontId="0" fillId="0" borderId="8" pivotButton="0" quotePrefix="0" xfId="0"/>
  </cellXfs>
  <cellStyles count="4">
    <cellStyle name="Normal" xfId="0" builtinId="0"/>
    <cellStyle name="Hyperlink" xfId="1" builtinId="8"/>
    <cellStyle name="Normal 2" xfId="2"/>
    <cellStyle name="Followed Hyperlink" xfId="3" builtinId="9" hidden="1"/>
  </cellStyles>
  <dxfs count="853">
    <dxf>
      <fill>
        <patternFill patternType="solid">
          <fgColor indexed="64"/>
          <bgColor theme="0" tint="-0.0499893185216834"/>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E4E300"/>
        </patternFill>
      </fill>
    </dxf>
    <dxf>
      <fill>
        <patternFill patternType="solid">
          <fgColor indexed="64"/>
          <bgColor rgb="FFDCC97A"/>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bgColor rgb="FFEEB400"/>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rgb="FFE4E300"/>
        </patternFill>
      </fill>
    </dxf>
    <dxf>
      <fill>
        <patternFill patternType="solid">
          <fgColor indexed="64"/>
          <bgColor rgb="FFDCC97A"/>
        </patternFill>
      </fill>
    </dxf>
    <dxf>
      <fill>
        <patternFill>
          <bgColor theme="6" tint="0.3999450666829432"/>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5999938962981048"/>
        </patternFill>
      </fill>
    </dxf>
    <dxf>
      <fill>
        <patternFill patternType="solid">
          <fgColor indexed="64"/>
          <bgColor theme="4" tint="0.5999938962981048"/>
        </patternFill>
      </fill>
    </dxf>
    <dxf>
      <fill>
        <patternFill>
          <bgColor theme="9" tint="0.3999450666829432"/>
        </patternFill>
      </fill>
    </dxf>
    <dxf>
      <fill>
        <patternFill>
          <bgColor rgb="FFFF9900"/>
        </patternFill>
      </fill>
    </dxf>
    <dxf>
      <fill>
        <patternFill>
          <bgColor rgb="FF4685D2"/>
        </patternFill>
      </fill>
    </dxf>
    <dxf>
      <fill>
        <patternFill patternType="solid">
          <fgColor indexed="64"/>
          <bgColor theme="4" tint="0.7999816888943144"/>
        </patternFill>
      </fill>
    </dxf>
    <dxf>
      <fill>
        <patternFill>
          <bgColor rgb="FFFF9900"/>
        </patternFill>
      </fill>
    </dxf>
    <dxf>
      <fill>
        <patternFill>
          <bgColor rgb="FFEEB400"/>
        </patternFill>
      </fill>
    </dxf>
    <dxf>
      <fill>
        <patternFill>
          <bgColor rgb="FFEEB400"/>
        </patternFill>
      </fill>
    </dxf>
    <dxf>
      <fill>
        <patternFill>
          <bgColor rgb="FF99BCE7"/>
        </patternFill>
      </fill>
    </dxf>
    <dxf>
      <fill>
        <patternFill>
          <bgColor rgb="FFFFBB57"/>
        </patternFill>
      </fill>
    </dxf>
    <dxf>
      <fill>
        <patternFill patternType="solid">
          <fgColor indexed="64"/>
          <bgColor rgb="FFE7D480"/>
        </patternFill>
      </fill>
    </dxf>
    <dxf>
      <fill>
        <patternFill>
          <bgColor rgb="FFDDE8C6"/>
        </patternFill>
      </fill>
    </dxf>
    <dxf>
      <fill>
        <patternFill>
          <bgColor rgb="FFE3E0CF"/>
        </patternFill>
      </fill>
    </dxf>
    <dxf>
      <fill>
        <patternFill patternType="solid">
          <fgColor indexed="64"/>
          <bgColor rgb="FFBA005D"/>
        </patternFill>
      </fill>
    </dxf>
    <dxf>
      <fill>
        <patternFill patternType="solid">
          <fgColor indexed="64"/>
          <bgColor theme="6" tint="0.7999816888943144"/>
        </patternFill>
      </fill>
    </dxf>
    <dxf>
      <fill>
        <patternFill>
          <bgColor rgb="FFFFD44B"/>
        </patternFill>
      </fill>
    </dxf>
    <dxf>
      <fill>
        <patternFill>
          <bgColor rgb="FFF2DBDA"/>
        </patternFill>
      </fill>
    </dxf>
    <dxf>
      <fill>
        <patternFill>
          <bgColor theme="7" tint="0.5999633777886288"/>
        </patternFill>
      </fill>
    </dxf>
    <dxf>
      <fill>
        <patternFill patternType="solid">
          <fgColor indexed="64"/>
          <bgColor theme="4" tint="0.7999816888943144"/>
        </patternFill>
      </fill>
    </dxf>
    <dxf>
      <fill>
        <patternFill>
          <bgColor rgb="FF99BCE7"/>
        </patternFill>
      </fill>
    </dxf>
    <dxf>
      <fill>
        <patternFill>
          <bgColor theme="9" tint="0.5999633777886288"/>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
        </patternFill>
      </fill>
    </dxf>
    <dxf>
      <fill>
        <patternFill>
          <bgColor rgb="FFF2DBDA"/>
        </patternFill>
      </fill>
    </dxf>
    <dxf>
      <fill>
        <patternFill>
          <bgColor theme="7" tint="0.5999633777886288"/>
        </patternFill>
      </fill>
    </dxf>
    <dxf>
      <fill>
        <patternFill>
          <bgColor rgb="FFFFD44B"/>
        </patternFill>
      </fill>
    </dxf>
    <dxf>
      <font>
        <color auto="1"/>
      </font>
      <fill>
        <patternFill patternType="solid">
          <fgColor indexed="64"/>
          <bgColor theme="0" tint="-0.1499984740745262"/>
        </patternFill>
      </fill>
    </dxf>
    <dxf>
      <fill>
        <patternFill patternType="solid">
          <fgColor indexed="64"/>
          <bgColor rgb="FFFBFB00"/>
        </patternFill>
      </fill>
    </dxf>
    <dxf>
      <fill>
        <patternFill>
          <bgColor rgb="FFFF6969"/>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
        </patternFill>
      </fill>
    </dxf>
    <dxf>
      <fill>
        <patternFill patternType="solid">
          <fgColor indexed="64"/>
          <bgColor theme="6" tint="0.5999938962981048"/>
        </patternFill>
      </fill>
    </dxf>
    <dxf>
      <fill>
        <patternFill>
          <bgColor rgb="FF4685D2"/>
        </patternFill>
      </fill>
    </dxf>
    <dxf>
      <fill>
        <patternFill patternType="solid">
          <fgColor indexed="64"/>
          <bgColor theme="0" tint="-0.0499893185216834"/>
        </patternFill>
      </fill>
    </dxf>
    <dxf>
      <fill>
        <patternFill patternType="solid">
          <fgColor indexed="64"/>
          <bgColor theme="4" tint="0.5999938962981048"/>
        </patternFill>
      </fill>
    </dxf>
    <dxf>
      <fill>
        <patternFill>
          <bgColor rgb="FFFF0000"/>
        </patternFill>
      </fill>
    </dxf>
    <dxf>
      <fill>
        <patternFill>
          <bgColor theme="9" tint="0.3999450666829432"/>
        </patternFill>
      </fill>
    </dxf>
    <dxf>
      <fill>
        <patternFill>
          <bgColor rgb="FFFF99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FF9900"/>
        </patternFill>
      </fill>
    </dxf>
    <dxf>
      <fill>
        <patternFill>
          <bgColor rgb="FFEEB400"/>
        </patternFill>
      </fill>
    </dxf>
    <dxf>
      <fill>
        <patternFill>
          <bgColor rgb="FFFF0000"/>
        </patternFill>
      </fill>
    </dxf>
    <dxf>
      <fill>
        <patternFill>
          <bgColor rgb="FFEAEB74"/>
        </patternFill>
      </fill>
    </dxf>
    <dxf>
      <fill>
        <patternFill>
          <bgColor rgb="FFBBBB59"/>
        </patternFill>
      </fill>
    </dxf>
    <dxf>
      <fill>
        <patternFill>
          <bgColor theme="8" tint="0.3999450666829432"/>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patternType="solid">
          <fgColor indexed="64"/>
          <bgColor rgb="FFBA005D"/>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ill>
        <patternFill>
          <bgColor rgb="FFE1AAA9"/>
        </patternFill>
      </fill>
    </dxf>
    <dxf>
      <fill>
        <patternFill>
          <bgColor rgb="FF4685D2"/>
        </patternFill>
      </fill>
    </dxf>
    <dxf>
      <fill>
        <patternFill patternType="solid">
          <fgColor indexed="64"/>
          <bgColor theme="6" tint="0.5999938962981048"/>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rgb="FF9E004F"/>
        </patternFill>
      </fill>
    </dxf>
    <dxf>
      <fill>
        <patternFill>
          <bgColor theme="6" tint="0.3999450666829432"/>
        </patternFill>
      </fill>
    </dxf>
    <dxf>
      <fill>
        <patternFill patternType="solid">
          <fgColor indexed="64"/>
          <bgColor rgb="FFDCC97A"/>
        </patternFill>
      </fill>
    </dxf>
    <dxf>
      <font>
        <color auto="1"/>
      </font>
      <fill>
        <patternFill patternType="solid">
          <fgColor indexed="64"/>
          <bgColor theme="0" tint="-0.249977111117893"/>
        </patternFill>
      </fill>
    </dxf>
    <dxf>
      <fill>
        <patternFill patternType="solid">
          <fgColor indexed="64"/>
          <bgColor theme="4" tint="0.5999938962981048"/>
        </patternFill>
      </fill>
    </dxf>
    <dxf>
      <font>
        <color auto="1"/>
      </font>
      <fill>
        <patternFill>
          <bgColor rgb="FFFF6D9E"/>
        </patternFill>
      </fill>
    </dxf>
    <dxf>
      <fill>
        <patternFill>
          <bgColor theme="8"/>
        </patternFill>
      </fill>
    </dxf>
    <dxf>
      <fill>
        <patternFill>
          <bgColor rgb="FFBBBB59"/>
        </patternFill>
      </fill>
    </dxf>
    <dxf>
      <fill>
        <patternFill>
          <bgColor theme="9" tint="0.399945066682943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E4E300"/>
        </patternFill>
      </fill>
    </dxf>
    <dxf>
      <fill>
        <patternFill>
          <bgColor theme="7" tint="0.3999450666829432"/>
        </patternFill>
      </fill>
    </dxf>
    <dxf>
      <fill>
        <patternFill patternType="solid">
          <fgColor indexed="64"/>
          <bgColor theme="4" tint="0.5999938962981048"/>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rgb="FFDCC97A"/>
        </patternFill>
      </fill>
    </dxf>
    <dxf>
      <fill>
        <patternFill>
          <bgColor theme="8"/>
        </patternFill>
      </fill>
    </dxf>
    <dxf>
      <fill>
        <patternFill>
          <bgColor rgb="FFBBBB59"/>
        </patternFill>
      </fill>
    </dxf>
    <dxf>
      <fill>
        <patternFill>
          <bgColor theme="6" tint="0.3999450666829432"/>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4685D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9" tint="0.3999450666829432"/>
        </patternFill>
      </fill>
    </dxf>
    <dxf>
      <fill>
        <patternFill patternType="solid">
          <fgColor indexed="64"/>
          <bgColor rgb="FFE4E300"/>
        </patternFill>
      </fill>
    </dxf>
    <dxf>
      <font>
        <color auto="1"/>
      </font>
      <fill>
        <patternFill>
          <bgColor rgb="FFFF6D9E"/>
        </patternFill>
      </fill>
    </dxf>
    <dxf>
      <fill>
        <patternFill>
          <bgColor rgb="FFFFBB57"/>
        </patternFill>
      </fill>
    </dxf>
    <dxf>
      <fill>
        <patternFill>
          <bgColor rgb="FFFFBB57"/>
        </patternFill>
      </fill>
    </dxf>
    <dxf>
      <fill>
        <patternFill>
          <bgColor rgb="FFFFBB57"/>
        </patternFill>
      </fill>
    </dxf>
    <dxf>
      <fill>
        <patternFill>
          <bgColor theme="8"/>
        </patternFill>
      </fill>
    </dxf>
    <dxf>
      <font>
        <color auto="1"/>
      </font>
      <fill>
        <patternFill patternType="solid">
          <fgColor indexed="64"/>
          <bgColor theme="0" tint="-0.249977111117893"/>
        </patternFill>
      </fill>
    </dxf>
    <dxf>
      <fill>
        <patternFill>
          <bgColor theme="8"/>
        </patternFill>
      </fill>
    </dxf>
    <dxf>
      <font>
        <color auto="1"/>
      </font>
      <fill>
        <patternFill patternType="solid">
          <fgColor indexed="64"/>
          <bgColor theme="0" tint="-0.249977111117893"/>
        </patternFill>
      </fill>
    </dxf>
    <dxf>
      <font>
        <color auto="1"/>
      </font>
      <fill>
        <patternFill>
          <bgColor rgb="FFFF6D9E"/>
        </patternFill>
      </fill>
    </dxf>
    <dxf>
      <font>
        <color auto="1"/>
      </font>
      <fill>
        <patternFill patternType="solid">
          <fgColor indexed="64"/>
          <bgColor theme="0" tint="-0.249977111117893"/>
        </patternFill>
      </fill>
    </dxf>
    <dxf>
      <fill>
        <patternFill>
          <bgColor rgb="FFE1AAA9"/>
        </patternFill>
      </fill>
    </dxf>
    <dxf>
      <fill>
        <patternFill>
          <bgColor theme="7" tint="0.3999450666829432"/>
        </patternFill>
      </fill>
    </dxf>
    <dxf>
      <fill>
        <patternFill>
          <bgColor rgb="FFFF0000"/>
        </patternFill>
      </fill>
    </dxf>
    <dxf>
      <fill>
        <patternFill>
          <bgColor rgb="FFFF9900"/>
        </patternFill>
      </fill>
    </dxf>
    <dxf>
      <fill>
        <patternFill>
          <bgColor rgb="FFEEB400"/>
        </patternFill>
      </fill>
    </dxf>
    <dxf>
      <fill>
        <patternFill patternType="solid">
          <fgColor indexed="64"/>
          <bgColor theme="6" tint="0.5999938962981048"/>
        </patternFill>
      </fill>
    </dxf>
    <dxf>
      <fill>
        <patternFill>
          <bgColor rgb="FFFF9900"/>
        </patternFill>
      </fill>
    </dxf>
    <dxf>
      <fill>
        <patternFill patternType="solid">
          <fgColor indexed="64"/>
          <bgColor theme="0" tint="-0.0499893185216834"/>
        </patternFill>
      </fill>
    </dxf>
    <dxf>
      <fill>
        <patternFill>
          <bgColor theme="9" tint="0.3999450666829432"/>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FBFB00"/>
        </patternFill>
      </fill>
    </dxf>
    <dxf>
      <fill>
        <patternFill>
          <bgColor rgb="FF4685D2"/>
        </patternFill>
      </fill>
    </dxf>
    <dxf>
      <fill>
        <patternFill patternType="solid">
          <fgColor indexed="64"/>
          <bgColor rgb="FF9E004F"/>
        </patternFill>
      </fill>
    </dxf>
    <dxf>
      <fill>
        <patternFill patternType="solid">
          <fgColor indexed="64"/>
          <bgColor theme="4" tint="0.5999938962981048"/>
        </patternFill>
      </fill>
    </dxf>
    <dxf>
      <fill>
        <patternFill>
          <bgColor rgb="FFEEB400"/>
        </patternFill>
      </fill>
    </dxf>
    <dxf>
      <fill>
        <patternFill>
          <bgColor theme="8"/>
        </patternFill>
      </fill>
    </dxf>
    <dxf>
      <fill>
        <patternFill>
          <bgColor rgb="FFFF0000"/>
        </patternFill>
      </fill>
    </dxf>
    <dxf>
      <fill>
        <patternFill patternType="solid">
          <fgColor indexed="64"/>
          <bgColor rgb="FFE4E300"/>
        </patternFill>
      </fill>
    </dxf>
    <dxf>
      <fill>
        <patternFill>
          <bgColor theme="8"/>
        </patternFill>
      </fill>
    </dxf>
    <dxf>
      <fill>
        <patternFill>
          <bgColor rgb="FFBBBB59"/>
        </patternFill>
      </fill>
    </dxf>
    <dxf>
      <font>
        <color auto="1"/>
      </font>
      <fill>
        <patternFill>
          <bgColor rgb="FFFF6D9E"/>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rgb="FF9E004F"/>
        </patternFill>
      </fill>
    </dxf>
    <dxf>
      <fill>
        <patternFill>
          <bgColor rgb="FFE1AAA9"/>
        </patternFill>
      </fill>
    </dxf>
    <dxf>
      <fill>
        <patternFill>
          <bgColor rgb="FFFF0000"/>
        </patternFill>
      </fill>
    </dxf>
    <dxf>
      <fill>
        <patternFill>
          <bgColor theme="7" tint="0.3999450666829432"/>
        </patternFill>
      </fill>
    </dxf>
    <dxf>
      <fill>
        <patternFill patternType="solid">
          <fgColor indexed="64"/>
          <bgColor rgb="FFE4E300"/>
        </patternFill>
      </fill>
    </dxf>
    <dxf>
      <font>
        <color auto="1"/>
      </font>
      <fill>
        <patternFill>
          <bgColor rgb="FFFF6D9E"/>
        </patternFill>
      </fill>
    </dxf>
    <dxf>
      <fill>
        <patternFill>
          <bgColor rgb="FFBBBB59"/>
        </patternFill>
      </fill>
    </dxf>
    <dxf>
      <font>
        <color auto="1"/>
      </font>
      <fill>
        <patternFill patternType="solid">
          <fgColor indexed="64"/>
          <bgColor theme="0" tint="-0.249977111117893"/>
        </patternFill>
      </fill>
    </dxf>
    <dxf>
      <fill>
        <patternFill>
          <bgColor rgb="FFE1AAA9"/>
        </patternFill>
      </fill>
    </dxf>
    <dxf>
      <fill>
        <patternFill>
          <bgColor rgb="FFFF0000"/>
        </patternFill>
      </fill>
    </dxf>
    <dxf>
      <fill>
        <patternFill>
          <bgColor theme="7" tint="0.3999450666829432"/>
        </patternFill>
      </fill>
    </dxf>
    <dxf>
      <fill>
        <patternFill>
          <bgColor rgb="FFBBBB59"/>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bgColor theme="2" tint="-0.249946592608417"/>
        </patternFill>
      </fill>
    </dxf>
    <dxf>
      <fill>
        <patternFill>
          <bgColor rgb="FFEEB400"/>
        </patternFill>
      </fill>
    </dxf>
    <dxf>
      <fill>
        <patternFill patternType="solid">
          <fgColor indexed="64"/>
          <bgColor theme="6" tint="0.5999938962981048"/>
        </patternFill>
      </fill>
    </dxf>
    <dxf>
      <fill>
        <patternFill patternType="solid">
          <fgColor indexed="64"/>
          <bgColor theme="4" tint="0.5999938962981048"/>
        </patternFill>
      </fill>
    </dxf>
    <dxf>
      <fill>
        <patternFill>
          <bgColor theme="6" tint="0.3999450666829432"/>
        </patternFill>
      </fill>
    </dxf>
    <dxf>
      <fill>
        <patternFill patternType="solid">
          <fgColor indexed="64"/>
          <bgColor theme="0" tint="-0.0499893185216834"/>
        </patternFill>
      </fill>
    </dxf>
    <dxf>
      <fill>
        <patternFill>
          <bgColor rgb="FFFF9900"/>
        </patternFill>
      </fill>
    </dxf>
    <dxf>
      <fill>
        <patternFill>
          <bgColor rgb="FFFF0000"/>
        </patternFill>
      </fill>
    </dxf>
    <dxf>
      <fill>
        <patternFill>
          <bgColor rgb="FFFF9900"/>
        </patternFill>
      </fill>
    </dxf>
    <dxf>
      <fill>
        <patternFill patternType="solid">
          <fgColor indexed="64"/>
          <bgColor rgb="FFDCC97A"/>
        </patternFill>
      </fill>
    </dxf>
    <dxf>
      <fill>
        <patternFill>
          <bgColor theme="9" tint="0.3999450666829432"/>
        </patternFill>
      </fill>
    </dxf>
    <dxf>
      <fill>
        <patternFill>
          <bgColor rgb="FF4685D2"/>
        </patternFill>
      </fill>
    </dxf>
    <dxf>
      <fill>
        <patternFill>
          <bgColor rgb="FFEEB400"/>
        </patternFill>
      </fill>
    </dxf>
    <dxf>
      <fill>
        <patternFill patternType="solid">
          <fgColor indexed="64"/>
          <bgColor rgb="FFE4E300"/>
        </patternFill>
      </fill>
    </dxf>
    <dxf>
      <fill>
        <patternFill patternType="solid">
          <fgColor indexed="64"/>
          <bgColor theme="4" tint="0.5999938962981048"/>
        </patternFill>
      </fill>
    </dxf>
    <dxf>
      <fill>
        <patternFill>
          <bgColor rgb="FFE1AAA9"/>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FF9900"/>
        </patternFill>
      </fill>
    </dxf>
    <dxf>
      <fill>
        <patternFill>
          <bgColor rgb="FFEEB400"/>
        </patternFill>
      </fill>
    </dxf>
    <dxf>
      <fill>
        <patternFill>
          <bgColor rgb="FFFF9900"/>
        </patternFill>
      </fill>
    </dxf>
    <dxf>
      <fill>
        <patternFill>
          <bgColor theme="6" tint="0.3999450666829432"/>
        </patternFill>
      </fill>
    </dxf>
    <dxf>
      <fill>
        <patternFill patternType="solid">
          <fgColor indexed="64"/>
          <bgColor rgb="FFDCC97A"/>
        </patternFill>
      </fill>
    </dxf>
    <dxf>
      <fill>
        <patternFill>
          <bgColor theme="7" tint="0.3999450666829432"/>
        </patternFill>
      </fill>
    </dxf>
    <dxf>
      <fill>
        <patternFill>
          <bgColor rgb="FFBBBB59"/>
        </patternFill>
      </fill>
    </dxf>
    <dxf>
      <font>
        <color auto="1"/>
      </font>
      <fill>
        <patternFill>
          <bgColor rgb="FFFF6D9E"/>
        </patternFill>
      </fill>
    </dxf>
    <dxf>
      <fill>
        <patternFill>
          <bgColor rgb="FFEEB400"/>
        </patternFill>
      </fill>
    </dxf>
    <dxf>
      <fill>
        <patternFill>
          <bgColor theme="9" tint="0.3999450666829432"/>
        </patternFill>
      </fill>
    </dxf>
    <dxf>
      <fill>
        <patternFill patternType="solid">
          <fgColor indexed="64"/>
          <bgColor rgb="FF9E004F"/>
        </patternFill>
      </fill>
    </dxf>
    <dxf>
      <fill>
        <patternFill patternType="solid">
          <fgColor indexed="64"/>
          <bgColor rgb="FFFBFB00"/>
        </patternFill>
      </fill>
    </dxf>
    <dxf>
      <font>
        <color auto="1"/>
      </font>
      <fill>
        <patternFill>
          <bgColor rgb="FFFF6D9E"/>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EEB400"/>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bgColor rgb="FFFF9900"/>
        </patternFill>
      </fill>
    </dxf>
    <dxf>
      <fill>
        <patternFill>
          <bgColor rgb="FFBBBB59"/>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rgb="FFFBFB00"/>
        </patternFill>
      </fill>
    </dxf>
    <dxf>
      <fill>
        <patternFill patternType="solid">
          <fgColor indexed="64"/>
          <bgColor rgb="FFFBFB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rgb="FFBBBB59"/>
        </patternFill>
      </fill>
    </dxf>
    <dxf>
      <fill>
        <patternFill>
          <bgColor theme="2" tint="-0.249946592608417"/>
        </patternFill>
      </fill>
    </dxf>
    <dxf>
      <fill>
        <patternFill>
          <bgColor theme="6" tint="0.3999450666829432"/>
        </patternFill>
      </fill>
    </dxf>
    <dxf>
      <fill>
        <patternFill>
          <bgColor theme="8"/>
        </patternFill>
      </fill>
    </dxf>
    <dxf>
      <fill>
        <patternFill>
          <bgColor rgb="FFFFBB57"/>
        </patternFill>
      </fill>
    </dxf>
    <dxf>
      <fill>
        <patternFill patternType="solid">
          <fgColor indexed="64"/>
          <bgColor rgb="FFDCC97A"/>
        </patternFill>
      </fill>
    </dxf>
    <dxf>
      <fill>
        <patternFill>
          <bgColor theme="7" tint="0.3999450666829432"/>
        </patternFill>
      </fill>
    </dxf>
    <dxf>
      <fill>
        <patternFill>
          <bgColor rgb="FFE1AAA9"/>
        </patternFill>
      </fill>
    </dxf>
    <dxf>
      <fill>
        <patternFill>
          <bgColor rgb="FFFFD44B"/>
        </patternFill>
      </fill>
    </dxf>
    <dxf>
      <font>
        <color auto="1"/>
      </font>
      <fill>
        <patternFill>
          <bgColor rgb="FFFF6D9E"/>
        </patternFill>
      </fill>
    </dxf>
    <dxf>
      <font>
        <color auto="1"/>
      </font>
      <fill>
        <patternFill patternType="solid">
          <fgColor indexed="64"/>
          <bgColor theme="0" tint="-0.249977111117893"/>
        </patternFill>
      </fill>
    </dxf>
    <dxf>
      <fill>
        <patternFill>
          <bgColor rgb="FFEEB400"/>
        </patternFill>
      </fill>
    </dxf>
    <dxf>
      <fill>
        <patternFill patternType="solid">
          <fgColor indexed="64"/>
          <bgColor rgb="FF9E004F"/>
        </patternFill>
      </fill>
    </dxf>
    <dxf>
      <fill>
        <patternFill>
          <bgColor rgb="FFFFBB57"/>
        </patternFill>
      </fill>
    </dxf>
    <dxf>
      <fill>
        <patternFill patternType="solid">
          <fgColor indexed="64"/>
          <bgColor rgb="FFE4E300"/>
        </patternFill>
      </fill>
    </dxf>
    <dxf>
      <font>
        <color auto="1"/>
      </font>
      <fill>
        <patternFill>
          <bgColor rgb="FFFF6D9E"/>
        </patternFill>
      </fill>
    </dxf>
    <dxf>
      <fill>
        <patternFill>
          <bgColor rgb="FFFF0000"/>
        </patternFill>
      </fill>
    </dxf>
    <dxf>
      <fill>
        <patternFill patternType="solid">
          <fgColor rgb="FFDBE5F1"/>
          <bgColor rgb="FFDBE5F1"/>
        </patternFill>
      </fill>
    </dxf>
    <dxf>
      <fill>
        <patternFill patternType="solid">
          <fgColor rgb="FFEEB400"/>
          <bgColor rgb="FFEEB400"/>
        </patternFill>
      </fill>
    </dxf>
    <dxf>
      <fill>
        <patternFill patternType="solid">
          <fgColor rgb="FFEEB400"/>
          <bgColor rgb="FFEEB400"/>
        </patternFill>
      </fill>
    </dxf>
    <dxf>
      <fill>
        <patternFill patternType="solid">
          <fgColor rgb="FF4685D2"/>
          <bgColor rgb="FF4685D2"/>
        </patternFill>
      </fill>
    </dxf>
    <dxf>
      <fill>
        <patternFill patternType="solid">
          <fgColor rgb="FFFF9900"/>
          <bgColor rgb="FFFF9900"/>
        </patternFill>
      </fill>
    </dxf>
    <dxf>
      <fill>
        <patternFill patternType="solid">
          <fgColor rgb="FFD6E3BC"/>
          <bgColor rgb="FFD6E3BC"/>
        </patternFill>
      </fill>
    </dxf>
    <dxf>
      <fill>
        <patternFill patternType="solid">
          <fgColor rgb="FFF2F2F2"/>
          <bgColor rgb="FFF2F2F2"/>
        </patternFill>
      </fill>
    </dxf>
    <dxf>
      <fill>
        <patternFill patternType="solid">
          <fgColor rgb="FFFABF8F"/>
          <bgColor rgb="FFFABF8F"/>
        </patternFill>
      </fill>
    </dxf>
    <dxf>
      <fill>
        <patternFill patternType="solid">
          <fgColor rgb="FFFF9900"/>
          <bgColor rgb="FFFF9900"/>
        </patternFill>
      </fill>
    </dxf>
    <dxf>
      <fill>
        <patternFill patternType="solid">
          <fgColor rgb="FF99BCE7"/>
          <bgColor rgb="FF99BCE7"/>
        </patternFill>
      </fill>
    </dxf>
    <dxf>
      <fill>
        <patternFill patternType="solid">
          <fgColor rgb="FFBBBB59"/>
          <bgColor rgb="FFBBBB59"/>
        </patternFill>
      </fill>
    </dxf>
    <dxf>
      <fill>
        <patternFill patternType="solid">
          <fgColor theme="8"/>
          <bgColor theme="8"/>
        </patternFill>
      </fill>
    </dxf>
    <dxf>
      <fill>
        <patternFill patternType="solid">
          <fgColor rgb="FFFF6D9E"/>
          <bgColor rgb="FFFF6D9E"/>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B8CCE4"/>
          <bgColor rgb="FFB8CCE4"/>
        </patternFill>
      </fill>
    </dxf>
    <dxf>
      <fill>
        <patternFill>
          <bgColor rgb="FFEEB400"/>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bgColor rgb="FFFF9900"/>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rgb="FFFF9900"/>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BBBB59"/>
        </patternFill>
      </fill>
    </dxf>
    <dxf>
      <fill>
        <patternFill>
          <bgColor theme="9" tint="0.3999450666829432"/>
        </patternFill>
      </fill>
    </dxf>
    <dxf>
      <fill>
        <patternFill patternType="solid">
          <fgColor indexed="64"/>
          <bgColor theme="4" tint="0.5999938962981048"/>
        </patternFill>
      </fill>
    </dxf>
    <dxf>
      <fill>
        <patternFill>
          <bgColor rgb="FFEEB400"/>
        </patternFill>
      </fill>
    </dxf>
    <dxf>
      <fill>
        <patternFill>
          <bgColor theme="8"/>
        </patternFill>
      </fill>
    </dxf>
    <dxf>
      <fill>
        <patternFill patternType="solid">
          <fgColor indexed="64"/>
          <bgColor theme="4" tint="0.7999816888943144"/>
        </patternFill>
      </fill>
    </dxf>
    <dxf>
      <fill>
        <patternFill>
          <bgColor theme="9" tint="0.5999633777886288"/>
        </patternFill>
      </fill>
    </dxf>
    <dxf>
      <fill>
        <patternFill>
          <bgColor theme="9" tint="0.5999633777886288"/>
        </patternFill>
      </fill>
    </dxf>
    <dxf>
      <fill>
        <patternFill patternType="solid">
          <fgColor indexed="64"/>
          <bgColor theme="6" tint="0.7999816888943144"/>
        </patternFill>
      </fill>
    </dxf>
    <dxf>
      <fill>
        <patternFill>
          <bgColor theme="7" tint="0.5999633777886288"/>
        </patternFill>
      </fill>
    </dxf>
    <dxf>
      <fill>
        <patternFill>
          <bgColor rgb="FFF2DBDA"/>
        </patternFill>
      </fill>
    </dxf>
    <dxf>
      <fill>
        <patternFill>
          <bgColor theme="9" tint="0.5999633777886288"/>
        </patternFill>
      </fill>
    </dxf>
    <dxf>
      <fill>
        <patternFill>
          <bgColor theme="9" tint="0.5999633777886288"/>
        </patternFill>
      </fill>
    </dxf>
    <dxf>
      <fill>
        <patternFill patternType="solid">
          <fgColor indexed="64"/>
          <bgColor rgb="FFE4E300"/>
        </patternFill>
      </fill>
    </dxf>
    <dxf>
      <fill>
        <patternFill>
          <bgColor theme="9" tint="0.3999450666829432"/>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EEB400"/>
        </patternFill>
      </fill>
    </dxf>
    <dxf>
      <fill>
        <patternFill>
          <bgColor rgb="FFFF0000"/>
        </patternFill>
      </fill>
    </dxf>
    <dxf>
      <fill>
        <patternFill patternType="solid">
          <fgColor indexed="64"/>
          <bgColor theme="6" tint="0.5999938962981048"/>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ont>
        <color auto="1"/>
      </font>
      <fill>
        <patternFill patternType="solid">
          <fgColor indexed="64"/>
          <bgColor theme="0" tint="-0.249977111117893"/>
        </patternFill>
      </fill>
    </dxf>
    <dxf>
      <fill>
        <patternFill>
          <bgColor rgb="FF4685D2"/>
        </patternFill>
      </fill>
    </dxf>
    <dxf>
      <font>
        <color auto="1"/>
      </font>
      <fill>
        <patternFill>
          <bgColor rgb="FFFF6D9E"/>
        </patternFill>
      </fill>
    </dxf>
    <dxf>
      <fill>
        <patternFill patternType="solid">
          <fgColor indexed="64"/>
          <bgColor theme="4" tint="0.5999938962981048"/>
        </patternFill>
      </fill>
    </dxf>
    <dxf>
      <fill>
        <patternFill>
          <bgColor theme="9" tint="0.3999450666829432"/>
        </patternFill>
      </fill>
    </dxf>
    <dxf>
      <fill>
        <patternFill>
          <bgColor rgb="FFFF9900"/>
        </patternFill>
      </fill>
    </dxf>
    <dxf>
      <fill>
        <patternFill>
          <bgColor rgb="FFEEB400"/>
        </patternFill>
      </fill>
    </dxf>
    <dxf>
      <fill>
        <patternFill patternType="solid">
          <fgColor indexed="64"/>
          <bgColor theme="0" tint="-0.0499893185216834"/>
        </patternFill>
      </fill>
    </dxf>
    <dxf>
      <fill>
        <patternFill>
          <bgColor rgb="FFFF9900"/>
        </patternFill>
      </fill>
    </dxf>
    <dxf>
      <fill>
        <patternFill>
          <bgColor rgb="FFEEB400"/>
        </patternFill>
      </fill>
    </dxf>
    <dxf>
      <fill>
        <patternFill>
          <bgColor rgb="FFEAEB74"/>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patternType="solid">
          <fgColor indexed="64"/>
          <bgColor rgb="FFE7D480"/>
        </patternFill>
      </fill>
    </dxf>
    <dxf>
      <fill>
        <patternFill>
          <bgColor rgb="FFDDE8C6"/>
        </patternFill>
      </fill>
    </dxf>
    <dxf>
      <fill>
        <patternFill>
          <bgColor rgb="FFE3E0CF"/>
        </patternFill>
      </fill>
    </dxf>
    <dxf>
      <fill>
        <patternFill patternType="solid">
          <fgColor indexed="64"/>
          <bgColor theme="6" tint="0.7999816888943144"/>
        </patternFill>
      </fill>
    </dxf>
    <dxf>
      <fill>
        <patternFill>
          <bgColor rgb="FFFFBB57"/>
        </patternFill>
      </fill>
    </dxf>
    <dxf>
      <fill>
        <patternFill>
          <bgColor rgb="FFFFD44B"/>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
        </patternFill>
      </fill>
    </dxf>
    <dxf>
      <fill>
        <patternFill patternType="solid">
          <fgColor indexed="64"/>
          <bgColor rgb="FFE4E300"/>
        </patternFill>
      </fill>
    </dxf>
    <dxf>
      <fill>
        <patternFill patternType="solid">
          <fgColor indexed="64"/>
          <bgColor rgb="FFDCC97A"/>
        </patternFill>
      </fill>
    </dxf>
    <dxf>
      <fill>
        <patternFill>
          <bgColor theme="6" tint="0.3999450666829432"/>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9900"/>
        </patternFill>
      </fill>
    </dxf>
    <dxf>
      <fill>
        <patternFill>
          <bgColor rgb="FFEEB400"/>
        </patternFill>
      </fill>
    </dxf>
    <dxf>
      <fill>
        <patternFill patternType="solid">
          <fgColor rgb="FFFBD4B4"/>
          <bgColor rgb="FFFBD4B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theme="8"/>
          <bgColor theme="8"/>
        </patternFill>
      </fill>
    </dxf>
    <dxf>
      <fill>
        <patternFill patternType="solid">
          <fgColor rgb="FFBBBB59"/>
          <bgColor rgb="FFBBBB59"/>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EB74"/>
          <bgColor rgb="FFEAEB74"/>
        </patternFill>
      </fill>
    </dxf>
    <dxf>
      <fill>
        <patternFill patternType="solid">
          <fgColor rgb="FFEAF1DD"/>
          <bgColor rgb="FFEAF1DD"/>
        </patternFill>
      </fill>
    </dxf>
    <dxf>
      <fill>
        <patternFill patternType="solid">
          <fgColor rgb="FF99BCE7"/>
          <bgColor rgb="FF99BCE7"/>
        </patternFill>
      </fill>
    </dxf>
    <dxf>
      <fill>
        <patternFill patternType="solid">
          <fgColor rgb="FF92CDDC"/>
          <bgColor rgb="FF92CDDC"/>
        </patternFill>
      </fill>
    </dxf>
    <dxf>
      <fill>
        <patternFill patternType="solid">
          <fgColor rgb="FFFFBB57"/>
          <bgColor rgb="FFFFBB57"/>
        </patternFill>
      </fill>
    </dxf>
    <dxf>
      <fill>
        <patternFill patternType="solid">
          <fgColor rgb="FFFFD44B"/>
          <bgColor rgb="FFFFD44B"/>
        </patternFill>
      </fill>
    </dxf>
    <dxf>
      <fill>
        <patternFill patternType="solid">
          <fgColor rgb="FFDBE5F1"/>
          <bgColor rgb="FFDBE5F1"/>
        </patternFill>
      </fill>
    </dxf>
    <dxf>
      <fill>
        <patternFill>
          <bgColor rgb="FF99BCE7"/>
        </patternFill>
      </fill>
    </dxf>
    <dxf>
      <fill>
        <patternFill patternType="solid">
          <fgColor indexed="64"/>
          <bgColor theme="4" tint="0.7999816888943144"/>
        </patternFill>
      </fill>
    </dxf>
    <dxf>
      <fill>
        <patternFill patternType="solid">
          <fgColor indexed="64"/>
          <bgColor theme="4" tint="0.7999816888943144"/>
        </patternFill>
      </fill>
    </dxf>
    <dxf>
      <fill>
        <patternFill>
          <bgColor rgb="FF99BCE7"/>
        </patternFill>
      </fill>
    </dxf>
    <dxf>
      <fill>
        <patternFill>
          <bgColor rgb="FF99BCE7"/>
        </patternFill>
      </fill>
    </dxf>
    <dxf>
      <fill>
        <patternFill patternType="solid">
          <fgColor indexed="64"/>
          <bgColor theme="4" tint="0.7999816888943144"/>
        </patternFill>
      </fill>
    </dxf>
    <dxf>
      <fill>
        <patternFill>
          <bgColor theme="8" tint="0.3999450666829432"/>
        </patternFill>
      </fill>
    </dxf>
    <dxf>
      <fill>
        <patternFill>
          <bgColor theme="9" tint="0.5999633777886288"/>
        </patternFill>
      </fill>
    </dxf>
    <dxf>
      <fill>
        <patternFill>
          <bgColor theme="8" tint="0.3999450666829432"/>
        </patternFill>
      </fill>
    </dxf>
    <dxf>
      <fill>
        <patternFill>
          <bgColor theme="9" tint="0.5999633777886288"/>
        </patternFill>
      </fill>
    </dxf>
    <dxf>
      <fill>
        <patternFill patternType="solid">
          <fgColor indexed="64"/>
          <bgColor theme="4" tint="0.7999816888943144"/>
        </patternFill>
      </fill>
    </dxf>
    <dxf>
      <fill>
        <patternFill>
          <bgColor rgb="FF99BCE7"/>
        </patternFill>
      </fill>
    </dxf>
    <dxf>
      <fill>
        <patternFill>
          <bgColor theme="8" tint="0.3999450666829432"/>
        </patternFill>
      </fill>
    </dxf>
    <dxf>
      <fill>
        <patternFill>
          <bgColor theme="9" tint="0.5999633777886288"/>
        </patternFill>
      </fill>
    </dxf>
    <dxf>
      <fill>
        <patternFill patternType="solid">
          <fgColor indexed="64"/>
          <bgColor theme="4" tint="0.7999816888943144"/>
        </patternFill>
      </fill>
    </dxf>
    <dxf>
      <fill>
        <patternFill>
          <bgColor rgb="FF99BCE7"/>
        </patternFill>
      </fill>
    </dxf>
    <dxf>
      <fill>
        <patternFill>
          <bgColor theme="8" tint="0.3999450666829432"/>
        </patternFill>
      </fill>
    </dxf>
    <dxf>
      <fill>
        <patternFill>
          <bgColor theme="9" tint="0.5999633777886288"/>
        </patternFill>
      </fill>
    </dxf>
    <dxf>
      <fill>
        <patternFill>
          <bgColor theme="9" tint="0.5999633777886288"/>
        </patternFill>
      </fill>
    </dxf>
    <dxf>
      <fill>
        <patternFill>
          <bgColor rgb="FF99BCE7"/>
        </patternFill>
      </fill>
    </dxf>
    <dxf>
      <fill>
        <patternFill patternType="solid">
          <fgColor indexed="64"/>
          <bgColor theme="4" tint="0.7999816888943144"/>
        </patternFill>
      </fill>
    </dxf>
    <dxf>
      <fill>
        <patternFill>
          <bgColor theme="8" tint="0.3999450666829432"/>
        </patternFill>
      </fill>
    </dxf>
    <dxf>
      <fill>
        <patternFill>
          <bgColor theme="9" tint="0.5999633777886288"/>
        </patternFill>
      </fill>
    </dxf>
    <dxf>
      <fill>
        <patternFill>
          <bgColor theme="8" tint="0.3999450666829432"/>
        </patternFill>
      </fill>
    </dxf>
    <dxf>
      <fill>
        <patternFill patternType="solid">
          <fgColor indexed="64"/>
          <bgColor theme="4" tint="0.7999816888943144"/>
        </patternFill>
      </fill>
    </dxf>
    <dxf>
      <fill>
        <patternFill>
          <bgColor rgb="FF99BCE7"/>
        </patternFill>
      </fill>
    </dxf>
    <dxf>
      <fill>
        <patternFill>
          <bgColor theme="8" tint="0.3999450666829432"/>
        </patternFill>
      </fill>
    </dxf>
    <dxf>
      <fill>
        <patternFill>
          <bgColor theme="9" tint="0.5999633777886288"/>
        </patternFill>
      </fill>
    </dxf>
    <dxf>
      <fill>
        <patternFill>
          <bgColor rgb="FFFFBB57"/>
        </patternFill>
      </fill>
    </dxf>
    <dxf>
      <fill>
        <patternFill>
          <bgColor rgb="FFDDE8C6"/>
        </patternFill>
      </fill>
    </dxf>
    <dxf>
      <fill>
        <patternFill patternType="solid">
          <fgColor indexed="64"/>
          <bgColor rgb="FFE7D480"/>
        </patternFill>
      </fill>
    </dxf>
    <dxf>
      <fill>
        <patternFill>
          <bgColor theme="9" tint="0.5999633777886288"/>
        </patternFill>
      </fill>
    </dxf>
    <dxf>
      <fill>
        <patternFill>
          <bgColor theme="8" tint="0.3999450666829432"/>
        </patternFill>
      </fill>
    </dxf>
    <dxf>
      <fill>
        <patternFill>
          <bgColor rgb="FFE3E0CF"/>
        </patternFill>
      </fill>
    </dxf>
    <dxf>
      <fill>
        <patternFill>
          <bgColor rgb="FFEAEB74"/>
        </patternFill>
      </fill>
    </dxf>
    <dxf>
      <fill>
        <patternFill patternType="solid">
          <fgColor indexed="64"/>
          <bgColor theme="6" tint="0.7999816888943144"/>
        </patternFill>
      </fill>
    </dxf>
    <dxf>
      <fill>
        <patternFill>
          <bgColor theme="7" tint="0.5999633777886288"/>
        </patternFill>
      </fill>
    </dxf>
    <dxf>
      <fill>
        <patternFill>
          <bgColor rgb="FFF2DBDA"/>
        </patternFill>
      </fill>
    </dxf>
    <dxf>
      <fill>
        <patternFill>
          <bgColor rgb="FFFFD44B"/>
        </patternFill>
      </fill>
    </dxf>
    <dxf>
      <fill>
        <patternFill>
          <bgColor rgb="FFEAEB74"/>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bgColor rgb="FFFFD44B"/>
        </patternFill>
      </fill>
    </dxf>
    <dxf>
      <fill>
        <patternFill>
          <bgColor rgb="FFE3E0CF"/>
        </patternFill>
      </fill>
    </dxf>
    <dxf>
      <fill>
        <patternFill>
          <bgColor rgb="FFDDE8C6"/>
        </patternFill>
      </fill>
    </dxf>
    <dxf>
      <fill>
        <patternFill patternType="solid">
          <fgColor indexed="64"/>
          <bgColor rgb="FFE7D480"/>
        </patternFill>
      </fill>
    </dxf>
    <dxf>
      <fill>
        <patternFill>
          <bgColor rgb="FFFFD44B"/>
        </patternFill>
      </fill>
    </dxf>
    <dxf>
      <fill>
        <patternFill>
          <bgColor rgb="FFE3E0CF"/>
        </patternFill>
      </fill>
    </dxf>
    <dxf>
      <fill>
        <patternFill patternType="solid">
          <fgColor indexed="64"/>
          <bgColor rgb="FFBA005D"/>
        </patternFill>
      </fill>
    </dxf>
    <dxf>
      <fill>
        <patternFill>
          <bgColor rgb="FFDDE8C6"/>
        </patternFill>
      </fill>
    </dxf>
    <dxf>
      <fill>
        <patternFill patternType="solid">
          <fgColor indexed="64"/>
          <bgColor rgb="FFE7D480"/>
        </patternFill>
      </fill>
    </dxf>
    <dxf>
      <fill>
        <patternFill patternType="solid">
          <fgColor indexed="64"/>
          <bgColor theme="6" tint="0.7999816888943144"/>
        </patternFill>
      </fill>
    </dxf>
    <dxf>
      <fill>
        <patternFill>
          <bgColor rgb="FFF2DBDA"/>
        </patternFill>
      </fill>
    </dxf>
    <dxf>
      <fill>
        <patternFill>
          <bgColor theme="7" tint="0.5999633777886288"/>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
        </patternFill>
      </fill>
    </dxf>
    <dxf>
      <fill>
        <patternFill>
          <bgColor rgb="FFF2DBDA"/>
        </patternFill>
      </fill>
    </dxf>
    <dxf>
      <fill>
        <patternFill patternType="solid">
          <fgColor indexed="64"/>
          <bgColor theme="6" tint="0.7999816888943144"/>
        </patternFill>
      </fill>
    </dxf>
    <dxf>
      <fill>
        <patternFill>
          <bgColor rgb="FFE3E0CF"/>
        </patternFill>
      </fill>
    </dxf>
    <dxf>
      <fill>
        <patternFill>
          <bgColor rgb="FFDDE8C6"/>
        </patternFill>
      </fill>
    </dxf>
    <dxf>
      <fill>
        <patternFill>
          <bgColor rgb="FFFFD44B"/>
        </patternFill>
      </fill>
    </dxf>
    <dxf>
      <fill>
        <patternFill>
          <bgColor rgb="FFEAEB74"/>
        </patternFill>
      </fill>
    </dxf>
    <dxf>
      <fill>
        <patternFill>
          <bgColor rgb="FFFFBB57"/>
        </patternFill>
      </fill>
    </dxf>
    <dxf>
      <fill>
        <patternFill patternType="solid">
          <fgColor indexed="64"/>
          <bgColor theme="6" tint="0.7999816888943144"/>
        </patternFill>
      </fill>
    </dxf>
    <dxf>
      <fill>
        <patternFill patternType="solid">
          <fgColor indexed="64"/>
          <bgColor rgb="FFFBFB00"/>
        </patternFill>
      </fill>
    </dxf>
    <dxf>
      <fill>
        <patternFill>
          <bgColor theme="9" tint="0.5999633777886288"/>
        </patternFill>
      </fill>
    </dxf>
    <dxf>
      <fill>
        <patternFill patternType="solid">
          <fgColor indexed="64"/>
          <bgColor rgb="FFE7D480"/>
        </patternFill>
      </fill>
    </dxf>
    <dxf>
      <fill>
        <patternFill>
          <bgColor rgb="FFDDE8C6"/>
        </patternFill>
      </fill>
    </dxf>
    <dxf>
      <fill>
        <patternFill>
          <bgColor rgb="FFE3E0CF"/>
        </patternFill>
      </fill>
    </dxf>
    <dxf>
      <fill>
        <patternFill>
          <bgColor theme="7" tint="0.5999633777886288"/>
        </patternFill>
      </fill>
    </dxf>
    <dxf>
      <fill>
        <patternFill>
          <bgColor theme="8" tint="0.3999450666829432"/>
        </patternFill>
      </fill>
    </dxf>
    <dxf>
      <font>
        <color auto="1"/>
      </font>
      <fill>
        <patternFill>
          <bgColor rgb="FFFFC7CE"/>
        </patternFill>
      </fill>
    </dxf>
    <dxf>
      <font>
        <color auto="1"/>
      </font>
      <fill>
        <patternFill patternType="solid">
          <fgColor indexed="64"/>
          <bgColor theme="0" tint="-0.1499984740745262"/>
        </patternFill>
      </fill>
    </dxf>
    <dxf>
      <fill>
        <patternFill>
          <bgColor rgb="FFF2DBDA"/>
        </patternFill>
      </fill>
    </dxf>
    <dxf>
      <fill>
        <patternFill>
          <bgColor rgb="FFFF6969"/>
        </patternFill>
      </fill>
    </dxf>
    <dxf>
      <fill>
        <patternFill patternType="solid">
          <fgColor indexed="64"/>
          <bgColor rgb="FFBA005D"/>
        </patternFill>
      </fill>
    </dxf>
    <dxf>
      <font>
        <color auto="1"/>
      </font>
      <fill>
        <patternFill patternType="solid">
          <fgColor indexed="64"/>
          <bgColor theme="0" tint="-0.1499984740745262"/>
        </patternFill>
      </fill>
    </dxf>
    <dxf>
      <fill>
        <patternFill>
          <bgColor rgb="FFEAEB74"/>
        </patternFill>
      </fill>
    </dxf>
    <dxf>
      <fill>
        <patternFill patternType="solid">
          <fgColor indexed="64"/>
          <bgColor rgb="FFFBFB00"/>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bgColor rgb="FFFFBB57"/>
        </patternFill>
      </fill>
    </dxf>
    <dxf>
      <fill>
        <patternFill>
          <bgColor rgb="FFFF6969"/>
        </patternFill>
      </fill>
    </dxf>
    <dxf>
      <fill>
        <patternFill>
          <bgColor rgb="FFF2DBDA"/>
        </patternFill>
      </fill>
    </dxf>
    <dxf>
      <fill>
        <patternFill>
          <bgColor theme="7" tint="0.5999633777886288"/>
        </patternFill>
      </fill>
    </dxf>
    <dxf>
      <fill>
        <patternFill patternType="solid">
          <fgColor indexed="64"/>
          <bgColor theme="6" tint="0.7999816888943144"/>
        </patternFill>
      </fill>
    </dxf>
    <dxf>
      <font>
        <color auto="1"/>
      </font>
      <fill>
        <patternFill>
          <bgColor rgb="FFFFC7CE"/>
        </patternFill>
      </fill>
    </dxf>
    <dxf>
      <fill>
        <patternFill>
          <bgColor rgb="FFFFD44B"/>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4" tint="0.7999816888943144"/>
        </patternFill>
      </fill>
    </dxf>
    <dxf>
      <fill>
        <patternFill>
          <bgColor rgb="FF99BCE7"/>
        </patternFill>
      </fill>
    </dxf>
    <dxf>
      <font>
        <color auto="1"/>
      </font>
      <fill>
        <patternFill>
          <bgColor rgb="FFFFC7CE"/>
        </patternFill>
      </fill>
    </dxf>
    <dxf>
      <fill>
        <patternFill patternType="solid">
          <fgColor indexed="64"/>
          <bgColor rgb="FFFBFB00"/>
        </patternFill>
      </fill>
    </dxf>
    <dxf>
      <fill>
        <patternFill>
          <bgColor rgb="FFFFD44B"/>
        </patternFill>
      </fill>
    </dxf>
    <dxf>
      <fill>
        <patternFill>
          <bgColor rgb="FFFFBB57"/>
        </patternFill>
      </fill>
    </dxf>
    <dxf>
      <fill>
        <patternFill>
          <bgColor rgb="FFEAEB74"/>
        </patternFill>
      </fill>
    </dxf>
    <dxf>
      <fill>
        <patternFill patternType="solid">
          <fgColor indexed="64"/>
          <bgColor theme="6" tint="0.7999816888943144"/>
        </patternFill>
      </fill>
    </dxf>
    <dxf>
      <fill>
        <patternFill>
          <bgColor rgb="FFFF6969"/>
        </patternFill>
      </fill>
    </dxf>
    <dxf>
      <fill>
        <patternFill>
          <bgColor rgb="FFF2DBDA"/>
        </patternFill>
      </fill>
    </dxf>
    <dxf>
      <fill>
        <patternFill patternType="solid">
          <fgColor indexed="64"/>
          <bgColor rgb="FFBA005D"/>
        </patternFill>
      </fill>
    </dxf>
    <dxf>
      <fill>
        <patternFill>
          <bgColor theme="7" tint="0.5999633777886288"/>
        </patternFill>
      </fill>
    </dxf>
    <dxf>
      <font>
        <color auto="1"/>
      </font>
      <fill>
        <patternFill patternType="solid">
          <fgColor indexed="64"/>
          <bgColor theme="0" tint="-0.1499984740745262"/>
        </patternFill>
      </fill>
    </dxf>
    <dxf>
      <fill>
        <patternFill>
          <bgColor rgb="FFDDE8C6"/>
        </patternFill>
      </fill>
    </dxf>
    <dxf>
      <fill>
        <patternFill patternType="solid">
          <fgColor indexed="64"/>
          <bgColor rgb="FFE7D480"/>
        </patternFill>
      </fill>
    </dxf>
    <dxf>
      <fill>
        <patternFill>
          <bgColor rgb="FFE3E0CF"/>
        </patternFill>
      </fill>
    </dxf>
    <dxf>
      <fill>
        <patternFill patternType="solid">
          <fgColor indexed="64"/>
          <bgColor rgb="FFFBFB00"/>
        </patternFill>
      </fill>
    </dxf>
    <dxf>
      <fill>
        <patternFill>
          <bgColor rgb="FFEAEB74"/>
        </patternFill>
      </fill>
    </dxf>
    <dxf>
      <fill>
        <patternFill patternType="solid">
          <fgColor indexed="64"/>
          <bgColor rgb="FFE7D480"/>
        </patternFill>
      </fill>
    </dxf>
    <dxf>
      <fill>
        <patternFill patternType="solid">
          <fgColor indexed="64"/>
          <bgColor rgb="FFBA005D"/>
        </patternFill>
      </fill>
    </dxf>
    <dxf>
      <font>
        <color auto="1"/>
      </font>
      <fill>
        <patternFill patternType="solid">
          <fgColor indexed="64"/>
          <bgColor theme="0" tint="-0.1499984740745262"/>
        </patternFill>
      </fill>
    </dxf>
    <dxf>
      <fill>
        <patternFill>
          <bgColor rgb="FFDDE8C6"/>
        </patternFill>
      </fill>
    </dxf>
    <dxf>
      <fill>
        <patternFill>
          <bgColor rgb="FFE3E0CF"/>
        </patternFill>
      </fill>
    </dxf>
    <dxf>
      <fill>
        <patternFill>
          <bgColor rgb="FFFFBB57"/>
        </patternFill>
      </fill>
    </dxf>
    <dxf>
      <fill>
        <patternFill>
          <bgColor rgb="FFFFD44B"/>
        </patternFill>
      </fill>
    </dxf>
    <dxf>
      <fill>
        <patternFill patternType="solid">
          <fgColor indexed="64"/>
          <bgColor theme="6" tint="0.7999816888943144"/>
        </patternFill>
      </fill>
    </dxf>
    <dxf>
      <fill>
        <patternFill>
          <bgColor rgb="FFFF6969"/>
        </patternFill>
      </fill>
    </dxf>
    <dxf>
      <fill>
        <patternFill>
          <bgColor rgb="FFF2DBDA"/>
        </patternFill>
      </fill>
    </dxf>
    <dxf>
      <fill>
        <patternFill>
          <bgColor theme="7" tint="0.5999633777886288"/>
        </patternFill>
      </fill>
    </dxf>
    <dxf>
      <font>
        <color auto="1"/>
      </font>
      <fill>
        <patternFill>
          <bgColor rgb="FFFFC7CE"/>
        </patternFill>
      </fill>
    </dxf>
    <dxf>
      <fill>
        <patternFill>
          <bgColor rgb="FFDDE8C6"/>
        </patternFill>
      </fill>
    </dxf>
    <dxf>
      <fill>
        <patternFill>
          <bgColor rgb="FFEAEB74"/>
        </patternFill>
      </fill>
    </dxf>
    <dxf>
      <fill>
        <patternFill patternType="solid">
          <fgColor indexed="64"/>
          <bgColor rgb="FFE7D480"/>
        </patternFill>
      </fill>
    </dxf>
    <dxf>
      <fill>
        <patternFill patternType="solid">
          <fgColor indexed="64"/>
          <bgColor rgb="FFFBFB00"/>
        </patternFill>
      </fill>
    </dxf>
    <dxf>
      <fill>
        <patternFill patternType="solid">
          <fgColor indexed="64"/>
          <bgColor rgb="FFBA005D"/>
        </patternFill>
      </fill>
    </dxf>
    <dxf>
      <font>
        <color auto="1"/>
      </font>
      <fill>
        <patternFill patternType="solid">
          <fgColor indexed="64"/>
          <bgColor theme="0" tint="-0.1499984740745262"/>
        </patternFill>
      </fill>
    </dxf>
    <dxf>
      <fill>
        <patternFill>
          <bgColor rgb="FFE3E0CF"/>
        </patternFill>
      </fill>
    </dxf>
    <dxf>
      <fill>
        <patternFill>
          <bgColor rgb="FFFFBB57"/>
        </patternFill>
      </fill>
    </dxf>
    <dxf>
      <fill>
        <patternFill>
          <bgColor rgb="FFFF6969"/>
        </patternFill>
      </fill>
    </dxf>
    <dxf>
      <fill>
        <patternFill>
          <bgColor theme="7" tint="0.5999633777886288"/>
        </patternFill>
      </fill>
    </dxf>
    <dxf>
      <fill>
        <patternFill>
          <bgColor rgb="FFF2DBDA"/>
        </patternFill>
      </fill>
    </dxf>
    <dxf>
      <fill>
        <patternFill patternType="solid">
          <fgColor indexed="64"/>
          <bgColor theme="6" tint="0.7999816888943144"/>
        </patternFill>
      </fill>
    </dxf>
    <dxf>
      <font>
        <color auto="1"/>
      </font>
      <fill>
        <patternFill>
          <bgColor rgb="FFFFC7CE"/>
        </patternFill>
      </fill>
    </dxf>
    <dxf>
      <fill>
        <patternFill patternType="solid">
          <fgColor rgb="FFFF9900"/>
          <bgColor rgb="FFFF9900"/>
        </patternFill>
      </fill>
    </dxf>
    <dxf>
      <fill>
        <patternFill patternType="solid">
          <fgColor rgb="FFBFBFBF"/>
          <bgColor rgb="FFBFBFBF"/>
        </patternFill>
      </fill>
    </dxf>
    <dxf>
      <fill>
        <patternFill patternType="solid">
          <fgColor rgb="FFE1AAA9"/>
          <bgColor rgb="FFE1AAA9"/>
        </patternFill>
      </fill>
    </dxf>
    <dxf>
      <fill>
        <patternFill patternType="solid">
          <fgColor rgb="FFFFC7CE"/>
          <bgColor rgb="FFFFC7CE"/>
        </patternFill>
      </fill>
    </dxf>
    <dxf>
      <fill>
        <patternFill patternType="solid">
          <fgColor rgb="FFB2A1C7"/>
          <bgColor rgb="FFB2A1C7"/>
        </patternFill>
      </fill>
    </dxf>
    <dxf>
      <fill>
        <patternFill patternType="solid">
          <fgColor rgb="FFE4E300"/>
          <bgColor rgb="FFE4E300"/>
        </patternFill>
      </fill>
    </dxf>
    <dxf>
      <fill>
        <patternFill patternType="solid">
          <fgColor rgb="FFFF6D9E"/>
          <bgColor rgb="FFFF6D9E"/>
        </patternFill>
      </fill>
    </dxf>
    <dxf>
      <fill>
        <patternFill patternType="solid">
          <fgColor theme="8"/>
          <bgColor theme="8"/>
        </patternFill>
      </fill>
    </dxf>
    <dxf>
      <fill>
        <patternFill patternType="solid">
          <fgColor rgb="FFBBBB59"/>
          <bgColor rgb="FFBBBB59"/>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BA005D"/>
          <bgColor rgb="FFBA005D"/>
        </patternFill>
      </fill>
    </dxf>
    <dxf>
      <fill>
        <patternFill patternType="solid">
          <fgColor rgb="FFF2DBDA"/>
          <bgColor rgb="FFF2DBDA"/>
        </patternFill>
      </fill>
    </dxf>
    <dxf>
      <fill>
        <patternFill patternType="solid">
          <fgColor rgb="FFE3E0CF"/>
          <bgColor rgb="FFE3E0CF"/>
        </patternFill>
      </fill>
    </dxf>
    <dxf>
      <fill>
        <patternFill patternType="solid">
          <fgColor rgb="FFFF0000"/>
          <bgColor rgb="FFFF0000"/>
        </patternFill>
      </fill>
    </dxf>
    <dxf>
      <fill>
        <patternFill patternType="solid">
          <fgColor rgb="FFDDE8C6"/>
          <bgColor rgb="FFDDE8C6"/>
        </patternFill>
      </fill>
    </dxf>
    <dxf>
      <fill>
        <patternFill patternType="solid">
          <fgColor rgb="FFE7D480"/>
          <bgColor rgb="FFE7D480"/>
        </patternFill>
      </fill>
    </dxf>
    <dxf>
      <fill>
        <patternFill patternType="solid">
          <fgColor rgb="FFEAF1DD"/>
          <bgColor rgb="FFEAF1DD"/>
        </patternFill>
      </fill>
    </dxf>
    <dxf>
      <fill>
        <patternFill patternType="solid">
          <fgColor rgb="FF92CDDC"/>
          <bgColor rgb="FF92CDDC"/>
        </patternFill>
      </fill>
    </dxf>
    <dxf>
      <fill>
        <patternFill patternType="solid">
          <fgColor rgb="FFF2F2F2"/>
          <bgColor rgb="FFF2F2F2"/>
        </patternFill>
      </fill>
    </dxf>
    <dxf>
      <fill>
        <patternFill patternType="solid">
          <fgColor rgb="FFFFD44B"/>
          <bgColor rgb="FFFFD44B"/>
        </patternFill>
      </fill>
    </dxf>
    <dxf>
      <fill>
        <patternFill patternType="solid">
          <fgColor rgb="FFD6E3BC"/>
          <bgColor rgb="FFD6E3BC"/>
        </patternFill>
      </fill>
    </dxf>
    <dxf>
      <fill>
        <patternFill patternType="solid">
          <fgColor rgb="FFCCC0D9"/>
          <bgColor rgb="FFCCC0D9"/>
        </patternFill>
      </fill>
    </dxf>
    <dxf>
      <fill>
        <patternFill patternType="solid">
          <fgColor rgb="FFFBFB00"/>
          <bgColor rgb="FFFBFB00"/>
        </patternFill>
      </fill>
    </dxf>
    <dxf>
      <fill>
        <patternFill patternType="solid">
          <fgColor rgb="FF4685D2"/>
          <bgColor rgb="FF4685D2"/>
        </patternFill>
      </fill>
    </dxf>
    <dxf>
      <fill>
        <patternFill patternType="solid">
          <fgColor rgb="FFEAEB74"/>
          <bgColor rgb="FFEAEB74"/>
        </patternFill>
      </fill>
    </dxf>
    <dxf>
      <fill>
        <patternFill patternType="solid">
          <fgColor rgb="FFFFBB57"/>
          <bgColor rgb="FFFFBB57"/>
        </patternFill>
      </fill>
    </dxf>
    <dxf>
      <fill>
        <patternFill patternType="solid">
          <fgColor rgb="FFB8CCE4"/>
          <bgColor rgb="FFB8CCE4"/>
        </patternFill>
      </fill>
    </dxf>
    <dxf>
      <fill>
        <patternFill patternType="solid">
          <fgColor rgb="FFFBD4B4"/>
          <bgColor rgb="FFFBD4B4"/>
        </patternFill>
      </fill>
    </dxf>
    <dxf>
      <fill>
        <patternFill patternType="solid">
          <fgColor rgb="FF99BCE7"/>
          <bgColor rgb="FF99BCE7"/>
        </patternFill>
      </fill>
    </dxf>
    <dxf>
      <fill>
        <patternFill patternType="solid">
          <fgColor rgb="FFDBE5F1"/>
          <bgColor rgb="FFDBE5F1"/>
        </patternFill>
      </fill>
    </dxf>
    <dxf>
      <fill>
        <patternFill patternType="solid">
          <fgColor rgb="FFFABF8F"/>
          <bgColor rgb="FFFABF8F"/>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D8D8D8"/>
          <bgColor rgb="FFD8D8D8"/>
        </patternFill>
      </fill>
    </dxf>
    <dxf>
      <fill>
        <patternFill patternType="solid">
          <fgColor rgb="FF9E004F"/>
          <bgColor rgb="FF9E004F"/>
        </patternFill>
      </fill>
    </dxf>
    <dxf>
      <fill>
        <patternFill patternType="solid">
          <fgColor rgb="FFFF6969"/>
          <bgColor rgb="FFFF6969"/>
        </patternFill>
      </fill>
    </dxf>
    <dxf>
      <fill>
        <patternFill>
          <bgColor rgb="FFFFD44B"/>
        </patternFill>
      </fill>
    </dxf>
    <dxf>
      <fill>
        <patternFill>
          <bgColor rgb="FFFFD44B"/>
        </patternFill>
      </fill>
    </dxf>
    <dxf>
      <fill>
        <patternFill>
          <bgColor rgb="FFEAEB74"/>
        </patternFill>
      </fill>
    </dxf>
    <dxf>
      <fill>
        <patternFill patternType="solid">
          <fgColor indexed="64"/>
          <bgColor rgb="FFBA005D"/>
        </patternFill>
      </fill>
    </dxf>
    <dxf>
      <font>
        <color auto="1"/>
      </font>
      <fill>
        <patternFill patternType="solid">
          <fgColor indexed="64"/>
          <bgColor theme="0" tint="-0.1499984740745262"/>
        </patternFill>
      </fill>
    </dxf>
    <dxf>
      <fill>
        <patternFill patternType="solid">
          <fgColor indexed="64"/>
          <bgColor rgb="FFFBFB00"/>
        </patternFill>
      </fill>
    </dxf>
    <dxf>
      <fill>
        <patternFill>
          <bgColor rgb="FFFFBB57"/>
        </patternFill>
      </fill>
    </dxf>
    <dxf>
      <fill>
        <patternFill>
          <bgColor rgb="FFFF6969"/>
        </patternFill>
      </fill>
    </dxf>
    <dxf>
      <font>
        <color auto="1"/>
      </font>
      <fill>
        <patternFill>
          <bgColor rgb="FFFFC7CE"/>
        </patternFill>
      </fill>
    </dxf>
    <dxf>
      <fill>
        <patternFill patternType="solid">
          <fgColor indexed="64"/>
          <bgColor theme="6" tint="0.7999816888943144"/>
        </patternFill>
      </fill>
    </dxf>
    <dxf>
      <fill>
        <patternFill>
          <bgColor rgb="FFF2DBDA"/>
        </patternFill>
      </fill>
    </dxf>
    <dxf>
      <fill>
        <patternFill>
          <bgColor theme="7" tint="0.5999633777886288"/>
        </patternFill>
      </fill>
    </dxf>
    <dxf>
      <fill>
        <patternFill patternType="solid">
          <fgColor indexed="64"/>
          <bgColor rgb="FFE7D480"/>
        </patternFill>
      </fill>
    </dxf>
    <dxf>
      <font>
        <color auto="1"/>
      </font>
      <fill>
        <patternFill patternType="solid">
          <fgColor indexed="64"/>
          <bgColor theme="0" tint="-0.1499984740745262"/>
        </patternFill>
      </fill>
    </dxf>
    <dxf>
      <fill>
        <patternFill>
          <bgColor rgb="FFEAEB74"/>
        </patternFill>
      </fill>
    </dxf>
    <dxf>
      <fill>
        <patternFill patternType="solid">
          <fgColor indexed="64"/>
          <bgColor rgb="FFBA005D"/>
        </patternFill>
      </fill>
    </dxf>
    <dxf>
      <fill>
        <patternFill>
          <bgColor rgb="FFFFBB57"/>
        </patternFill>
      </fill>
    </dxf>
    <dxf>
      <fill>
        <patternFill>
          <bgColor rgb="FFFFD44B"/>
        </patternFill>
      </fill>
    </dxf>
    <dxf>
      <fill>
        <patternFill>
          <bgColor rgb="FFFFBB57"/>
        </patternFill>
      </fill>
    </dxf>
    <dxf>
      <fill>
        <patternFill patternType="solid">
          <fgColor indexed="64"/>
          <bgColor theme="4" tint="0.7999816888943144"/>
        </patternFill>
      </fill>
    </dxf>
    <dxf>
      <fill>
        <patternFill>
          <bgColor rgb="FF99BCE7"/>
        </patternFill>
      </fill>
    </dxf>
    <dxf>
      <fill>
        <patternFill patternType="solid">
          <fgColor indexed="64"/>
          <bgColor rgb="FFE7D480"/>
        </patternFill>
      </fill>
    </dxf>
    <dxf>
      <fill>
        <patternFill>
          <bgColor rgb="FFDDE8C6"/>
        </patternFill>
      </fill>
    </dxf>
    <dxf>
      <fill>
        <patternFill>
          <bgColor rgb="FFE3E0CF"/>
        </patternFill>
      </fill>
    </dxf>
    <dxf>
      <font>
        <color auto="1"/>
      </font>
      <fill>
        <patternFill patternType="solid">
          <fgColor indexed="64"/>
          <bgColor theme="0" tint="-0.1499984740745262"/>
        </patternFill>
      </fill>
    </dxf>
    <dxf>
      <fill>
        <patternFill patternType="solid">
          <fgColor indexed="64"/>
          <bgColor rgb="FFFBFB00"/>
        </patternFill>
      </fill>
    </dxf>
    <dxf>
      <font>
        <color auto="1"/>
      </font>
      <fill>
        <patternFill>
          <bgColor rgb="FFFFC7CE"/>
        </patternFill>
      </fill>
    </dxf>
    <dxf>
      <fill>
        <patternFill>
          <bgColor rgb="FFFF6969"/>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patternType="solid">
          <fgColor indexed="64"/>
          <bgColor rgb="FFE4E300"/>
        </patternFill>
      </fill>
    </dxf>
    <dxf>
      <fill>
        <patternFill>
          <bgColor rgb="FFE1AAA9"/>
        </patternFill>
      </fill>
    </dxf>
    <dxf>
      <fill>
        <patternFill>
          <bgColor theme="7" tint="0.3999450666829432"/>
        </patternFill>
      </fill>
    </dxf>
    <dxf>
      <fill>
        <patternFill>
          <bgColor rgb="FFBBBB59"/>
        </patternFill>
      </fill>
    </dxf>
    <dxf>
      <fill>
        <patternFill>
          <bgColor theme="8"/>
        </patternFill>
      </fill>
    </dxf>
    <dxf>
      <fill>
        <patternFill>
          <bgColor theme="8"/>
        </patternFill>
      </fill>
    </dxf>
    <dxf>
      <font>
        <color auto="1"/>
      </font>
      <fill>
        <patternFill>
          <bgColor rgb="FFFF6D9E"/>
        </patternFill>
      </fill>
    </dxf>
    <dxf>
      <fill>
        <patternFill patternType="solid">
          <fgColor indexed="64"/>
          <bgColor rgb="FF9E004F"/>
        </patternFill>
      </fill>
    </dxf>
    <dxf>
      <fill>
        <patternFill patternType="solid">
          <fgColor indexed="64"/>
          <bgColor theme="6" tint="0.5999938962981048"/>
        </patternFill>
      </fill>
    </dxf>
    <dxf>
      <fill>
        <patternFill>
          <bgColor rgb="FFFF0000"/>
        </patternFill>
      </fill>
    </dxf>
    <dxf>
      <fill>
        <patternFill patternType="solid">
          <fgColor indexed="64"/>
          <bgColor rgb="FFE4E300"/>
        </patternFill>
      </fill>
    </dxf>
    <dxf>
      <fill>
        <patternFill>
          <bgColor theme="7" tint="0.3999450666829432"/>
        </patternFill>
      </fill>
    </dxf>
    <dxf>
      <fill>
        <patternFill>
          <bgColor rgb="FFE1AAA9"/>
        </patternFill>
      </fill>
    </dxf>
    <dxf>
      <font>
        <color auto="1"/>
      </font>
      <fill>
        <patternFill patternType="solid">
          <fgColor indexed="64"/>
          <bgColor theme="0" tint="-0.249977111117893"/>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rgb="FFBBBB59"/>
        </patternFill>
      </fill>
    </dxf>
    <dxf>
      <fill>
        <patternFill>
          <bgColor theme="7" tint="0.3999450666829432"/>
        </patternFill>
      </fill>
    </dxf>
    <dxf>
      <fill>
        <patternFill patternType="solid">
          <fgColor indexed="64"/>
          <bgColor theme="6" tint="0.5999938962981048"/>
        </patternFill>
      </fill>
    </dxf>
    <dxf>
      <fill>
        <patternFill>
          <bgColor rgb="FFFF0000"/>
        </patternFill>
      </fill>
    </dxf>
    <dxf>
      <fill>
        <patternFill>
          <bgColor rgb="FFE1AAA9"/>
        </patternFill>
      </fill>
    </dxf>
    <dxf>
      <fill>
        <patternFill patternType="solid">
          <fgColor indexed="64"/>
          <bgColor theme="4" tint="0.5999938962981048"/>
        </patternFill>
      </fill>
    </dxf>
    <dxf>
      <fill>
        <patternFill patternType="solid">
          <fgColor indexed="64"/>
          <bgColor rgb="FF9E004F"/>
        </patternFill>
      </fill>
    </dxf>
    <dxf>
      <fill>
        <patternFill>
          <bgColor theme="2" tint="-0.249946592608417"/>
        </patternFill>
      </fill>
    </dxf>
    <dxf>
      <font>
        <color auto="1"/>
      </font>
      <fill>
        <patternFill>
          <bgColor rgb="FFFF6D9E"/>
        </patternFill>
      </fill>
    </dxf>
    <dxf>
      <fill>
        <patternFill patternType="solid">
          <fgColor indexed="64"/>
          <bgColor theme="0" tint="-0.0499893185216834"/>
        </patternFill>
      </fill>
    </dxf>
    <dxf>
      <fill>
        <patternFill>
          <bgColor rgb="FFBBBB59"/>
        </patternFill>
      </fill>
    </dxf>
    <dxf>
      <font>
        <color auto="1"/>
      </font>
      <fill>
        <patternFill patternType="solid">
          <fgColor indexed="64"/>
          <bgColor theme="0" tint="-0.249977111117893"/>
        </patternFill>
      </fill>
    </dxf>
    <dxf>
      <fill>
        <patternFill>
          <bgColor theme="8"/>
        </patternFill>
      </fill>
    </dxf>
    <dxf>
      <fill>
        <patternFill>
          <bgColor rgb="FF4685D2"/>
        </patternFill>
      </fill>
    </dxf>
    <dxf>
      <fill>
        <patternFill>
          <bgColor theme="6" tint="0.3999450666829432"/>
        </patternFill>
      </fill>
    </dxf>
    <dxf>
      <fill>
        <patternFill>
          <bgColor rgb="FFEEB400"/>
        </patternFill>
      </fill>
    </dxf>
    <dxf>
      <fill>
        <patternFill patternType="solid">
          <fgColor indexed="64"/>
          <bgColor rgb="FFDCC97A"/>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rgb="FFE4E300"/>
        </patternFill>
      </fill>
    </dxf>
    <dxf>
      <fill>
        <patternFill patternType="solid">
          <fgColor indexed="64"/>
          <bgColor rgb="FFE4E300"/>
        </patternFill>
      </fill>
    </dxf>
    <dxf>
      <fill>
        <patternFill>
          <bgColor theme="7" tint="0.3999450666829432"/>
        </patternFill>
      </fill>
    </dxf>
    <dxf>
      <fill>
        <patternFill>
          <bgColor theme="8"/>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ont>
        <color auto="1"/>
      </font>
      <fill>
        <patternFill patternType="solid">
          <fgColor indexed="64"/>
          <bgColor theme="0" tint="-0.249977111117893"/>
        </patternFill>
      </fill>
    </dxf>
    <dxf>
      <fill>
        <patternFill patternType="solid">
          <fgColor indexed="64"/>
          <bgColor theme="6" tint="0.5999938962981048"/>
        </patternFill>
      </fill>
    </dxf>
    <dxf>
      <fill>
        <patternFill>
          <bgColor rgb="FFBBBB59"/>
        </patternFill>
      </fill>
    </dxf>
    <dxf>
      <fill>
        <patternFill patternType="solid">
          <fgColor indexed="64"/>
          <bgColor theme="4" tint="0.5999938962981048"/>
        </patternFill>
      </fill>
    </dxf>
    <dxf>
      <fill>
        <patternFill>
          <bgColor theme="9" tint="0.399945066682943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6" tint="0.3999450666829432"/>
        </patternFill>
      </fill>
    </dxf>
    <dxf>
      <fill>
        <patternFill patternType="solid">
          <fgColor indexed="64"/>
          <bgColor rgb="FFDCC97A"/>
        </patternFill>
      </fill>
    </dxf>
    <dxf>
      <font>
        <color auto="1"/>
      </font>
      <fill>
        <patternFill>
          <bgColor rgb="FFFF6D9E"/>
        </patternFill>
      </fill>
    </dxf>
    <dxf>
      <fill>
        <patternFill patternType="solid">
          <fgColor indexed="64"/>
          <bgColor rgb="FF9E004F"/>
        </patternFill>
      </fill>
    </dxf>
    <dxf>
      <fill>
        <patternFill>
          <bgColor rgb="FFE1AAA9"/>
        </patternFill>
      </fill>
    </dxf>
    <dxf>
      <fill>
        <patternFill>
          <bgColor rgb="FF4685D2"/>
        </patternFill>
      </fill>
    </dxf>
    <dxf>
      <fill>
        <patternFill patternType="solid">
          <fgColor indexed="64"/>
          <bgColor rgb="FFE4E300"/>
        </patternFill>
      </fill>
    </dxf>
    <dxf>
      <fill>
        <patternFill patternType="solid">
          <fgColor indexed="64"/>
          <bgColor rgb="FFE4E300"/>
        </patternFill>
      </fill>
    </dxf>
    <dxf>
      <fill>
        <patternFill>
          <bgColor theme="9" tint="0.3999450666829432"/>
        </patternFill>
      </fill>
    </dxf>
    <dxf>
      <fill>
        <patternFill>
          <bgColor theme="8"/>
        </patternFill>
      </fill>
    </dxf>
    <dxf>
      <fill>
        <patternFill patternType="solid">
          <fgColor indexed="64"/>
          <bgColor rgb="FF9E004F"/>
        </patternFill>
      </fill>
    </dxf>
    <dxf>
      <fill>
        <patternFill>
          <bgColor rgb="FFE1AAA9"/>
        </patternFill>
      </fill>
    </dxf>
    <dxf>
      <fill>
        <patternFill>
          <bgColor theme="7" tint="0.3999450666829432"/>
        </patternFill>
      </fill>
    </dxf>
    <dxf>
      <fill>
        <patternFill>
          <bgColor rgb="FFFF0000"/>
        </patternFill>
      </fill>
    </dxf>
    <dxf>
      <fill>
        <patternFill patternType="solid">
          <fgColor indexed="64"/>
          <bgColor theme="6" tint="0.5999938962981048"/>
        </patternFill>
      </fill>
    </dxf>
    <dxf>
      <fill>
        <patternFill>
          <bgColor rgb="FFBBBB59"/>
        </patternFill>
      </fill>
    </dxf>
    <dxf>
      <fill>
        <patternFill>
          <bgColor rgb="FFFF9900"/>
        </patternFill>
      </fill>
    </dxf>
    <dxf>
      <fill>
        <patternFill patternType="solid">
          <fgColor indexed="64"/>
          <bgColor theme="4" tint="0.5999938962981048"/>
        </patternFill>
      </fill>
    </dxf>
    <dxf>
      <fill>
        <patternFill>
          <bgColor rgb="FFEEB400"/>
        </patternFill>
      </fill>
    </dxf>
    <dxf>
      <fill>
        <patternFill>
          <bgColor rgb="FFEEB400"/>
        </patternFill>
      </fill>
    </dxf>
    <dxf>
      <fill>
        <patternFill>
          <bgColor rgb="FFFF9900"/>
        </patternFill>
      </fill>
    </dxf>
    <dxf>
      <fill>
        <patternFill>
          <bgColor rgb="FF4685D2"/>
        </patternFill>
      </fill>
    </dxf>
    <dxf>
      <fill>
        <patternFill patternType="solid">
          <fgColor indexed="64"/>
          <bgColor theme="0" tint="-0.0499893185216834"/>
        </patternFill>
      </fill>
    </dxf>
    <dxf>
      <fill>
        <patternFill>
          <bgColor theme="6" tint="0.3999450666829432"/>
        </patternFill>
      </fill>
    </dxf>
    <dxf>
      <fill>
        <patternFill>
          <bgColor theme="2" tint="-0.249946592608417"/>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rgb="FFDCC97A"/>
        </patternFill>
      </fill>
    </dxf>
    <dxf>
      <font>
        <color auto="1"/>
      </font>
      <fill>
        <patternFill patternType="solid">
          <fgColor indexed="64"/>
          <bgColor theme="0" tint="-0.249977111117893"/>
        </patternFill>
      </fill>
    </dxf>
    <dxf>
      <fill>
        <patternFill patternType="solid">
          <fgColor indexed="64"/>
          <bgColor rgb="FFE4E300"/>
        </patternFill>
      </fill>
    </dxf>
    <dxf>
      <fill>
        <patternFill>
          <bgColor theme="9" tint="0.3999450666829432"/>
        </patternFill>
      </fill>
    </dxf>
    <dxf>
      <fill>
        <patternFill patternType="solid">
          <fgColor indexed="64"/>
          <bgColor rgb="FFDCC97A"/>
        </patternFill>
      </fill>
    </dxf>
    <dxf>
      <fill>
        <patternFill>
          <bgColor theme="2" tint="-0.249946592608417"/>
        </patternFill>
      </fill>
    </dxf>
    <dxf>
      <fill>
        <patternFill>
          <bgColor theme="6" tint="0.3999450666829432"/>
        </patternFill>
      </fill>
    </dxf>
    <dxf>
      <font>
        <color auto="1"/>
      </font>
      <fill>
        <patternFill>
          <bgColor rgb="FFFF6D9E"/>
        </patternFill>
      </fill>
    </dxf>
    <dxf>
      <fill>
        <patternFill>
          <bgColor rgb="FFFF0000"/>
        </patternFill>
      </fill>
    </dxf>
    <dxf>
      <fill>
        <patternFill patternType="solid">
          <fgColor indexed="64"/>
          <bgColor theme="0" tint="-0.0499893185216834"/>
        </patternFill>
      </fill>
    </dxf>
    <dxf>
      <fill>
        <patternFill>
          <bgColor rgb="FFFF0000"/>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E4E300"/>
        </patternFill>
      </fill>
    </dxf>
    <dxf>
      <fill>
        <patternFill>
          <bgColor rgb="FFE1AAA9"/>
        </patternFill>
      </fill>
    </dxf>
    <dxf>
      <fill>
        <patternFill>
          <bgColor theme="7" tint="0.3999450666829432"/>
        </patternFill>
      </fill>
    </dxf>
    <dxf>
      <fill>
        <patternFill patternType="solid">
          <fgColor indexed="64"/>
          <bgColor theme="6" tint="0.5999938962981048"/>
        </patternFill>
      </fill>
    </dxf>
    <dxf>
      <fill>
        <patternFill>
          <bgColor rgb="FFFF9900"/>
        </patternFill>
      </fill>
    </dxf>
    <dxf>
      <fill>
        <patternFill>
          <bgColor rgb="FF4685D2"/>
        </patternFill>
      </fill>
    </dxf>
    <dxf>
      <fill>
        <patternFill patternType="solid">
          <fgColor indexed="64"/>
          <bgColor theme="4" tint="0.5999938962981048"/>
        </patternFill>
      </fill>
    </dxf>
    <dxf>
      <fill>
        <patternFill>
          <bgColor rgb="FFEEB400"/>
        </patternFill>
      </fill>
    </dxf>
    <dxf>
      <fill>
        <patternFill>
          <bgColor rgb="FFFF9900"/>
        </patternFill>
      </fill>
    </dxf>
    <dxf>
      <fill>
        <patternFill>
          <bgColor rgb="FFEEB400"/>
        </patternFill>
      </fill>
    </dxf>
    <dxf>
      <fill>
        <patternFill patternType="solid">
          <fgColor indexed="64"/>
          <bgColor rgb="FF9E004F"/>
        </patternFill>
      </fill>
    </dxf>
    <dxf>
      <fill>
        <patternFill>
          <bgColor rgb="FFBBBB59"/>
        </patternFill>
      </fill>
    </dxf>
    <dxf>
      <fill>
        <patternFill patternType="solid">
          <fgColor indexed="64"/>
          <bgColor theme="6" tint="0.599993896298104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6" tint="0.3999450666829432"/>
        </patternFill>
      </fill>
    </dxf>
    <dxf>
      <fill>
        <patternFill patternType="solid">
          <fgColor indexed="64"/>
          <bgColor rgb="FFE4E300"/>
        </patternFill>
      </fill>
    </dxf>
    <dxf>
      <fill>
        <patternFill>
          <bgColor theme="9" tint="0.3999450666829432"/>
        </patternFill>
      </fill>
    </dxf>
    <dxf>
      <fill>
        <patternFill>
          <bgColor rgb="FFFF9900"/>
        </patternFill>
      </fill>
    </dxf>
    <dxf>
      <fill>
        <patternFill>
          <bgColor rgb="FFEEB400"/>
        </patternFill>
      </fill>
    </dxf>
    <dxf>
      <fill>
        <patternFill>
          <bgColor rgb="FFEEB400"/>
        </patternFill>
      </fill>
    </dxf>
    <dxf>
      <font>
        <color auto="1"/>
      </font>
      <fill>
        <patternFill patternType="solid">
          <fgColor indexed="64"/>
          <bgColor theme="0" tint="-0.249977111117893"/>
        </patternFill>
      </fill>
    </dxf>
    <dxf>
      <fill>
        <patternFill>
          <bgColor theme="6" tint="0.3999450666829432"/>
        </patternFill>
      </fill>
    </dxf>
    <dxf>
      <fill>
        <patternFill>
          <bgColor rgb="FFFF0000"/>
        </patternFill>
      </fill>
    </dxf>
    <dxf>
      <fill>
        <patternFill patternType="solid">
          <fgColor indexed="64"/>
          <bgColor theme="4" tint="0.5999938962981048"/>
        </patternFill>
      </fill>
    </dxf>
    <dxf>
      <fill>
        <patternFill>
          <bgColor theme="2" tint="-0.249946592608417"/>
        </patternFill>
      </fill>
    </dxf>
    <dxf>
      <font>
        <color auto="1"/>
      </font>
      <fill>
        <patternFill>
          <bgColor rgb="FFFF6D9E"/>
        </patternFill>
      </fill>
    </dxf>
    <dxf>
      <fill>
        <patternFill patternType="solid">
          <fgColor indexed="64"/>
          <bgColor rgb="FFDCC97A"/>
        </patternFill>
      </fill>
    </dxf>
    <dxf>
      <fill>
        <patternFill>
          <bgColor rgb="FF4685D2"/>
        </patternFill>
      </fill>
    </dxf>
    <dxf>
      <fill>
        <patternFill patternType="solid">
          <fgColor indexed="64"/>
          <bgColor theme="0" tint="-0.0499893185216834"/>
        </patternFill>
      </fill>
    </dxf>
    <dxf>
      <fill>
        <patternFill>
          <bgColor rgb="FFFF9900"/>
        </patternFill>
      </fill>
    </dxf>
    <dxf>
      <fill>
        <patternFill>
          <bgColor theme="8"/>
        </patternFill>
      </fill>
    </dxf>
    <dxf>
      <fill>
        <patternFill patternType="solid">
          <fgColor indexed="64"/>
          <bgColor theme="6" tint="0.5999938962981048"/>
        </patternFill>
      </fill>
    </dxf>
    <dxf>
      <fill>
        <patternFill>
          <bgColor rgb="FFBBBB59"/>
        </patternFill>
      </fill>
    </dxf>
    <dxf>
      <fill>
        <patternFill patternType="solid">
          <fgColor indexed="64"/>
          <bgColor rgb="FF9E004F"/>
        </patternFill>
      </fill>
    </dxf>
    <dxf>
      <fill>
        <patternFill patternType="solid">
          <fgColor indexed="64"/>
          <bgColor rgb="FFE4E300"/>
        </patternFill>
      </fill>
    </dxf>
    <dxf>
      <fill>
        <patternFill>
          <bgColor rgb="FFEEB400"/>
        </patternFill>
      </fill>
    </dxf>
    <dxf>
      <fill>
        <patternFill>
          <bgColor theme="7" tint="0.3999450666829432"/>
        </patternFill>
      </fill>
    </dxf>
    <dxf>
      <fill>
        <patternFill>
          <bgColor rgb="FFE1AAA9"/>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4685D2"/>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BBBB59"/>
        </patternFill>
      </fill>
    </dxf>
    <dxf>
      <fill>
        <patternFill>
          <bgColor rgb="FFFF0000"/>
        </patternFill>
      </fill>
    </dxf>
    <dxf>
      <fill>
        <patternFill>
          <bgColor theme="8"/>
        </patternFill>
      </fill>
    </dxf>
    <dxf>
      <font>
        <color auto="1"/>
      </font>
      <fill>
        <patternFill patternType="solid">
          <fgColor indexed="64"/>
          <bgColor theme="0" tint="-0.249977111117893"/>
        </patternFill>
      </fill>
    </dxf>
    <dxf>
      <font>
        <color auto="1"/>
      </font>
      <fill>
        <patternFill>
          <bgColor rgb="FFFF6D9E"/>
        </patternFill>
      </fill>
    </dxf>
    <dxf>
      <fill>
        <patternFill>
          <bgColor rgb="FFBBBB59"/>
        </patternFill>
      </fill>
    </dxf>
    <dxf>
      <fill>
        <patternFill>
          <bgColor theme="8"/>
        </patternFill>
      </fill>
    </dxf>
    <dxf>
      <font>
        <color auto="1"/>
      </font>
      <fill>
        <patternFill patternType="solid">
          <fgColor indexed="64"/>
          <bgColor theme="0" tint="-0.249977111117893"/>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bgColor rgb="FFEEB400"/>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bgColor rgb="FFFF9900"/>
        </patternFill>
      </fill>
    </dxf>
    <dxf>
      <fill>
        <patternFill patternType="solid">
          <fgColor indexed="64"/>
          <bgColor rgb="FFDCC97A"/>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bgColor theme="8"/>
        </patternFill>
      </fill>
    </dxf>
    <dxf>
      <fill>
        <patternFill>
          <bgColor rgb="FFBBBB59"/>
        </patternFill>
      </fill>
    </dxf>
    <dxf>
      <font>
        <color auto="1"/>
      </font>
      <fill>
        <patternFill>
          <bgColor rgb="FFFF6D9E"/>
        </patternFill>
      </fill>
    </dxf>
    <dxf>
      <fill>
        <patternFill>
          <bgColor rgb="FFFF9900"/>
        </patternFill>
      </fill>
    </dxf>
    <dxf>
      <fill>
        <patternFill>
          <bgColor rgb="FFEEB400"/>
        </patternFill>
      </fill>
    </dxf>
    <dxf>
      <fill>
        <patternFill>
          <bgColor rgb="FFBBBB59"/>
        </patternFill>
      </fill>
    </dxf>
    <dxf>
      <fill>
        <patternFill>
          <bgColor theme="8"/>
        </patternFill>
      </fill>
    </dxf>
    <dxf>
      <fill>
        <patternFill patternType="solid">
          <fgColor indexed="64"/>
          <bgColor theme="0" tint="-0.0499893185216834"/>
        </patternFill>
      </fill>
    </dxf>
    <dxf>
      <fill>
        <patternFill>
          <bgColor rgb="FF4685D2"/>
        </patternFill>
      </fill>
    </dxf>
    <dxf>
      <fill>
        <patternFill patternType="solid">
          <fgColor indexed="64"/>
          <bgColor theme="4" tint="0.5999938962981048"/>
        </patternFill>
      </fill>
    </dxf>
    <dxf>
      <fill>
        <patternFill>
          <bgColor rgb="FFFF9900"/>
        </patternFill>
      </fill>
    </dxf>
    <dxf>
      <fill>
        <patternFill>
          <bgColor rgb="FFFF9900"/>
        </patternFill>
      </fill>
    </dxf>
    <dxf>
      <fill>
        <patternFill>
          <bgColor rgb="FFEEB400"/>
        </patternFill>
      </fill>
    </dxf>
    <dxf>
      <fill>
        <patternFill>
          <bgColor rgb="FFEEB400"/>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tc={0D8C0B2D-4BE7-4E4D-96F0-2AF320E7A92B}</author>
    <author>tc={A7721605-971E-4945-9D63-93330CB04AE8}</author>
    <author>tc={3ADEF18E-5F3C-024C-B43C-76509BD9EEE5}</author>
    <author>tc={7E6E649C-BEE1-9948-A51B-43B69E2ADAD9}</author>
    <author>tc={FCA0AE43-56C2-D345-8335-99EE1C95EAD4}</author>
    <author>tc={68D46834-408E-0845-BC72-E65A3791D57C}</author>
    <author>tc={29D3AC89-D866-A94C-A94A-7E3AF0956C2B}</author>
    <author>tc={A98083C7-B262-E642-89A5-871069B1003B}</author>
    <author>tc={0FF1D855-EF27-8749-9D0F-D508BCB12A91}</author>
    <author>tc={1A04833C-C756-DB4B-82F2-A6B7E3167DC3}</author>
    <author>tc={7572C379-B843-3A47-8398-34D7F92C588A}</author>
    <author>tc={1B387929-0AEF-8649-A7DD-DFC1D6B7A444}</author>
    <author>tc={2FDD3021-157E-2F4E-8D8E-ACC518BBC10C}</author>
    <author>tc={7E87D776-139E-694D-894D-2E086FE3466E}</author>
    <author>tc={74DEE8DE-2411-234E-82CA-DC076DD418A6}</author>
    <author>tc={205B2ACF-1D75-4A45-AB6C-650916D4E6D1}</author>
    <author>tc={0E9FAE46-C3A5-3540-84B4-6D9ACB592AF9}</author>
    <author>tc={7F0F3E13-9195-ED46-942C-E3873D6A5D17}</author>
    <author>tc={48452E9C-B6E7-5D48-8CFB-3FC2594A058A}</author>
    <author>tc={AD3927D5-15D3-3442-9972-7C3182019731}</author>
    <author>tc={98340458-5D0F-FF4E-90EE-713F934D608E}</author>
    <author>tc={2F592FC2-0B57-EE48-9D70-AD8AD9703143}</author>
    <author>tc={9FF391A5-0437-CB41-AD22-42FE43D27300}</author>
    <author>tc={B4207C53-B776-4844-83DB-4F3B9EA94435}</author>
    <author>tc={B634251D-5147-784D-ABA9-7F9DEF4168EA}</author>
    <author>tc={F06FE521-B857-3646-85E4-A9432CA16174}</author>
    <author>tc={F602BD47-C2AF-C042-BEB8-4575C9141B55}</author>
    <author>tc={FAAD6B51-821C-DB4E-9545-3757D4A2A4B4}</author>
    <author>tc={9646D8C9-8BB3-EB42-9659-EDB1DF8DDE72}</author>
    <author>tc={47B60F40-D0AC-2848-911A-37F5ABB99FFF}</author>
    <author>tc={080DE113-8001-F443-B545-9F9FA431E6D4}</author>
    <author>tc={16EA0762-37D9-2448-B903-A713CEA35FE0}</author>
    <author>tc={9FB83646-2577-5442-B0C1-7BBFC1E410ED}</author>
    <author>tc={9DDCAE59-CB53-AB47-ACF3-F1B45E731BD6}</author>
    <author>tc={EE73A02C-2803-E447-A68F-51FAD3DD279D}</author>
    <author>tc={992CCED8-C90A-DC43-9A80-7D85D58D297A}</author>
    <author>tc={9C16F8C4-3578-DA49-92AA-CBDCC1CA43A4}</author>
    <author>tc={D2A14959-17F0-9844-B69B-70BA3324169E}</author>
    <author>tc={E982ED10-71DA-0042-BF7A-948E63A8A870}</author>
    <author>tc={E3150C39-02A0-4B46-B78D-D24E0ECD7036}</author>
    <author>tc={0067BFB6-12CD-E840-9560-079C62E1659E}</author>
    <author>tc={A88BF907-358E-5C4B-BC14-13F366136BD6}</author>
    <author>tc={5841E5AF-E5EC-224D-A29C-976A4CF0FB84}</author>
    <author>tc={51F0EEE2-2852-5243-A00B-D57EA2C9E9BA}</author>
    <author>tc={99A07742-6FEC-704D-AE07-D1612696FB7B}</author>
    <author>tc={5487740C-6295-5944-BF66-CA817E436AF9}</author>
    <author>tc={4BF6730F-AC78-5946-86E0-E530937EE28D}</author>
    <author>tc={4098A39F-2AC4-FF4F-A057-86B15877FABF}</author>
    <author>tc={B5B57B29-DBAE-4246-B02F-F07950277B89}</author>
    <author>tc={B509EAB5-7992-7F4E-A5E0-F68DAC211949}</author>
  </authors>
  <commentList>
    <comment ref="F13" authorId="0" shapeId="0">
      <text>
        <t>[Threaded comment]
Your version of Excel allows you to read this threaded comment; however, any edits to it will get removed if the file is opened in a newer version of Excel. Learn more: https://go.microsoft.com/fwlink/?linkid=870924
Comment:
    Update based on start and end question of interest.</t>
      </text>
    </comment>
    <comment ref="C16" authorId="1" shapeId="0">
      <text>
        <t>[Threaded comment]
Your version of Excel allows you to read this threaded comment; however, any edits to it will get removed if the file is opened in a newer version of Excel. Learn more: https://go.microsoft.com/fwlink/?linkid=870924
Comment:
    PHILIPPINES ONLY:
Change “ConnectEd” to “mEducation”</t>
      </text>
    </comment>
    <comment ref="D20" authorId="2" shapeId="0">
      <text>
        <t>[Threaded comment]
Your version of Excel allows you to read this threaded comment; however, any edits to it will get removed if the file is opened in a newer version of Excel. Learn more: https://go.microsoft.com/fwlink/?linkid=870924
Comment:
    Change to “facilitator” if direct delivery.</t>
      </text>
    </comment>
    <comment ref="F21" authorId="3" shapeId="0">
      <text>
        <t>[Threaded comment]
Your version of Excel allows you to read this threaded comment; however, any edits to it will get removed if the file is opened in a newer version of Excel. Learn more: https://go.microsoft.com/fwlink/?linkid=870924
Comment:
    Change to reflect the country-specific facilitator database.</t>
      </text>
    </comment>
    <comment ref="F27" authorId="4" shapeId="0">
      <text>
        <t>[Threaded comment]
Your version of Excel allows you to read this threaded comment; however, any edits to it will get removed if the file is opened in a newer version of Excel. Learn more: https://go.microsoft.com/fwlink/?linkid=870924
Comment:
    Remove “enrolled_this_term” identifier if no. of students registered are the same as no. of students tutored.</t>
      </text>
    </comment>
    <comment ref="F28" authorId="5" shapeId="0">
      <text>
        <t>[Threaded comment]
Your version of Excel allows you to read this threaded comment; however, any edits to it will get removed if the file is opened in a newer version of Excel. Learn more: https://go.microsoft.com/fwlink/?linkid=870924
Comment:
    Remove “enrolled_this_term” identifier if no. of students registered are the same as no. of students tutored.</t>
      </text>
    </comment>
    <comment ref="N34" authorId="6" shapeId="0">
      <text>
        <t>[Threaded comment]
Your version of Excel allows you to read this threaded comment; however, any edits to it will get removed if the file is opened in a newer version of Excel. Learn more: https://go.microsoft.com/fwlink/?linkid=870924
Comment:
    Change to reflect the country-specific facilitator database.</t>
      </text>
    </comment>
    <comment ref="J35" authorId="7" shapeId="0">
      <text>
        <t>[Threaded comment]
Your version of Excel allows you to read this threaded comment; however, any edits to it will get removed if the file is opened in a newer version of Excel. Learn more: https://go.microsoft.com/fwlink/?linkid=870924
Comment:
    Input “yes” if there is NO national/employee ID to disable the calculation.</t>
      </text>
    </comment>
    <comment ref="N35" authorId="8" shapeId="0">
      <text>
        <t>[Threaded comment]
Your version of Excel allows you to read this threaded comment; however, any edits to it will get removed if the file is opened in a newer version of Excel. Learn more: https://go.microsoft.com/fwlink/?linkid=870924
Comment:
    Change to reflect the: 
1. Country-specific facilitator database
2. National/employee ID variable (for example: fac_EMIS for Philippines, fac_omang for Botswana)
*DISABLE* if there is no national/employee ID.</t>
      </text>
    </comment>
    <comment ref="N36" authorId="9" shapeId="0">
      <text>
        <t>[Threaded comment]
Your version of Excel allows you to read this threaded comment; however, any edits to it will get removed if the file is opened in a newer version of Excel. Learn more: https://go.microsoft.com/fwlink/?linkid=870924
Comment:
    Change to reflect the country-specific facilitator database.</t>
      </text>
    </comment>
    <comment ref="N37" authorId="10" shapeId="0">
      <text>
        <t>[Threaded comment]
Your version of Excel allows you to read this threaded comment; however, any edits to it will get removed if the file is opened in a newer version of Excel. Learn more: https://go.microsoft.com/fwlink/?linkid=870924
Comment:
    Change to reflect the country-specific facilitator database.</t>
      </text>
    </comment>
    <comment ref="N41" authorId="11" shapeId="0">
      <text>
        <t>[Threaded comment]
Your version of Excel allows you to read this threaded comment; however, any edits to it will get removed if the file is opened in a newer version of Excel. Learn more: https://go.microsoft.com/fwlink/?linkid=870924
Comment:
    Starting from here until before the group “phonecall”:
Change to reflect the country-specific server/cases dataset</t>
      </text>
    </comment>
    <comment ref="N42" authorId="12" shapeId="0">
      <text>
        <t>[Threaded comment]
Your version of Excel allows you to read this threaded comment; however, any edits to it will get removed if the file is opened in a newer version of Excel. Learn more: https://go.microsoft.com/fwlink/?linkid=870924
Comment:
    Starting from here until before the group “phonecall”:
Change to reflect the country-specific server/cases dataset</t>
      </text>
    </comment>
    <comment ref="J43" authorId="13" shapeId="0">
      <text>
        <t>[Threaded comment]
Your version of Excel allows you to read this threaded comment; however, any edits to it will get removed if the file is opened in a newer version of Excel. Learn more: https://go.microsoft.com/fwlink/?linkid=870924
Comment:
    Disable if there is NO government-issued student ID.</t>
      </text>
    </comment>
    <comment ref="C72" authorId="14" shapeId="0">
      <text>
        <t>[Threaded comment]
Your version of Excel allows you to read this threaded comment; however, any edits to it will get removed if the file is opened in a newer version of Excel. Learn more: https://go.microsoft.com/fwlink/?linkid=870924
Comment:
    Replace ID: ${hhid} if there is NO got-issued student ID.</t>
      </text>
    </comment>
    <comment ref="C73" authorId="15" shapeId="0">
      <text>
        <t>[Threaded comment]
Your version of Excel allows you to read this threaded comment; however, any edits to it will get removed if the file is opened in a newer version of Excel. Learn more: https://go.microsoft.com/fwlink/?linkid=870924
Comment:
    In the script: replace “Youth Impact” with relevant organization.
For example, in the Philippines: it’s “DepEd.”</t>
      </text>
    </comment>
    <comment ref="J76" authorId="16" shapeId="0">
      <text>
        <t>[Threaded comment]
Your version of Excel allows you to read this threaded comment; however, any edits to it will get removed if the file is opened in a newer version of Excel. Learn more: https://go.microsoft.com/fwlink/?linkid=870924
Comment:
    Input “yes” if not interested in why call is not answered.
NOTE: Ethiopia asked this q in previous pilot due to widespread network issues (has implications on # of attempts and which areas to support).</t>
      </text>
    </comment>
    <comment ref="J77" authorId="17" shapeId="0">
      <text>
        <t>[Threaded comment]
Your version of Excel allows you to read this threaded comment; however, any edits to it will get removed if the file is opened in a newer version of Excel. Learn more: https://go.microsoft.com/fwlink/?linkid=870924
Comment:
    Input “yes” if “phone_call_notanswered” is disabled.</t>
      </text>
    </comment>
    <comment ref="C85" authorId="18" shapeId="0">
      <text>
        <t>[Threaded comment]
Your version of Excel allows you to read this threaded comment; however, any edits to it will get removed if the file is opened in a newer version of Excel. Learn more: https://go.microsoft.com/fwlink/?linkid=870924
Comment:
    FOR PHILIPPINES:
Change ConnectEd to mEducation</t>
      </text>
    </comment>
    <comment ref="C104" authorId="19" shapeId="0">
      <text>
        <t>[Threaded comment]
Your version of Excel allows you to read this threaded comment; however, any edits to it will get removed if the file is opened in a newer version of Excel. Learn more: https://go.microsoft.com/fwlink/?linkid=870924
Comment:
    Adjust no. of weeks of implementation if needed.</t>
      </text>
    </comment>
    <comment ref="J119" authorId="20" shapeId="0">
      <text>
        <t>[Threaded comment]
Your version of Excel allows you to read this threaded comment; however, any edits to it will get removed if the file is opened in a newer version of Excel. Learn more: https://go.microsoft.com/fwlink/?linkid=870924
Comment:
    ENABLE if question is not in *student registration survey*</t>
      </text>
    </comment>
    <comment ref="J120" authorId="21" shapeId="0">
      <text>
        <t>[Threaded comment]
Your version of Excel allows you to read this threaded comment; however, any edits to it will get removed if the file is opened in a newer version of Excel. Learn more: https://go.microsoft.com/fwlink/?linkid=870924
Comment:
    ENABLE if question is not in *student registration survey*</t>
      </text>
    </comment>
    <comment ref="J123" authorId="22" shapeId="0">
      <text>
        <t>[Threaded comment]
Your version of Excel allows you to read this threaded comment; however, any edits to it will get removed if the file is opened in a newer version of Excel. Learn more: https://go.microsoft.com/fwlink/?linkid=870924
Comment:
    Extra question — ENABLE if partner wants to include.</t>
      </text>
    </comment>
    <comment ref="J124" authorId="23" shapeId="0">
      <text>
        <t>[Threaded comment]
Your version of Excel allows you to read this threaded comment; however, any edits to it will get removed if the file is opened in a newer version of Excel. Learn more: https://go.microsoft.com/fwlink/?linkid=870924
Comment:
    Extra question — ENABLE if partner wants to include.</t>
      </text>
    </comment>
    <comment ref="J125" authorId="24" shapeId="0">
      <text>
        <t>[Threaded comment]
Your version of Excel allows you to read this threaded comment; however, any edits to it will get removed if the file is opened in a newer version of Excel. Learn more: https://go.microsoft.com/fwlink/?linkid=870924
Comment:
    Extra question — ENABLE if partner wants to include.</t>
      </text>
    </comment>
    <comment ref="J126" authorId="25" shapeId="0">
      <text>
        <t>[Threaded comment]
Your version of Excel allows you to read this threaded comment; however, any edits to it will get removed if the file is opened in a newer version of Excel. Learn more: https://go.microsoft.com/fwlink/?linkid=870924
Comment:
    Extra question — ENABLE if partner wants to include.</t>
      </text>
    </comment>
    <comment ref="J127" authorId="26" shapeId="0">
      <text>
        <t>[Threaded comment]
Your version of Excel allows you to read this threaded comment; however, any edits to it will get removed if the file is opened in a newer version of Excel. Learn more: https://go.microsoft.com/fwlink/?linkid=870924
Comment:
    Extra question — ENABLE if partner wants to include.</t>
      </text>
    </comment>
    <comment ref="J128" authorId="27" shapeId="0">
      <text>
        <t>[Threaded comment]
Your version of Excel allows you to read this threaded comment; however, any edits to it will get removed if the file is opened in a newer version of Excel. Learn more: https://go.microsoft.com/fwlink/?linkid=870924
Comment:
    Extra question — ENABLE if partner wants to include.</t>
      </text>
    </comment>
    <comment ref="J129" authorId="28" shapeId="0">
      <text>
        <t>[Threaded comment]
Your version of Excel allows you to read this threaded comment; however, any edits to it will get removed if the file is opened in a newer version of Excel. Learn more: https://go.microsoft.com/fwlink/?linkid=870924
Comment:
    ENABLE if question is not in *student registration survey*</t>
      </text>
    </comment>
    <comment ref="J130" authorId="29" shapeId="0">
      <text>
        <t>[Threaded comment]
Your version of Excel allows you to read this threaded comment; however, any edits to it will get removed if the file is opened in a newer version of Excel. Learn more: https://go.microsoft.com/fwlink/?linkid=870924
Comment:
    ENABLE if question is not in *student registration survey*</t>
      </text>
    </comment>
    <comment ref="J131" authorId="30" shapeId="0">
      <text>
        <t>[Threaded comment]
Your version of Excel allows you to read this threaded comment; however, any edits to it will get removed if the file is opened in a newer version of Excel. Learn more: https://go.microsoft.com/fwlink/?linkid=870924
Comment:
    ENABLE if question is not in *student registration survey*</t>
      </text>
    </comment>
    <comment ref="J132" authorId="31" shapeId="0">
      <text>
        <t>[Threaded comment]
Your version of Excel allows you to read this threaded comment; however, any edits to it will get removed if the file is opened in a newer version of Excel. Learn more: https://go.microsoft.com/fwlink/?linkid=870924
Comment:
    Extra question — ENABLE if partner wants to include.</t>
      </text>
    </comment>
    <comment ref="J133" authorId="32" shapeId="0">
      <text>
        <t>[Threaded comment]
Your version of Excel allows you to read this threaded comment; however, any edits to it will get removed if the file is opened in a newer version of Excel. Learn more: https://go.microsoft.com/fwlink/?linkid=870924
Comment:
    ENABLE if question is not in *student registration survey* or in *teacher/facilitator registration/entry survey*</t>
      </text>
    </comment>
    <comment ref="F134" authorId="33" shapeId="0">
      <text>
        <t>[Threaded comment]
Your version of Excel allows you to read this threaded comment; however, any edits to it will get removed if the file is opened in a newer version of Excel. Learn more: https://go.microsoft.com/fwlink/?linkid=870924
Comment:
    Update with the correct country-specific preload.</t>
      </text>
    </comment>
    <comment ref="J134" authorId="34" shapeId="0">
      <text>
        <t>[Threaded comment]
Your version of Excel allows you to read this threaded comment; however, any edits to it will get removed if the file is opened in a newer version of Excel. Learn more: https://go.microsoft.com/fwlink/?linkid=870924
Comment:
    ENABLE if question is not in *student registration survey* or in *teacher/facilitator registration/entry survey*</t>
      </text>
    </comment>
    <comment ref="J135" authorId="35" shapeId="0">
      <text>
        <t>[Threaded comment]
Your version of Excel allows you to read this threaded comment; however, any edits to it will get removed if the file is opened in a newer version of Excel. Learn more: https://go.microsoft.com/fwlink/?linkid=870924
Comment:
    ENABLE if question is not in *student registration survey* or in *teacher/facilitator registration/entry survey*</t>
      </text>
    </comment>
    <comment ref="N135" authorId="36" shapeId="0">
      <text>
        <t>[Threaded comment]
Your version of Excel allows you to read this threaded comment; however, any edits to it will get removed if the file is opened in a newer version of Excel. Learn more: https://go.microsoft.com/fwlink/?linkid=870924
Comment:
    Update with the correct country-specific preload.</t>
      </text>
    </comment>
    <comment ref="J136" authorId="37" shapeId="0">
      <text>
        <t>[Threaded comment]
Your version of Excel allows you to read this threaded comment; however, any edits to it will get removed if the file is opened in a newer version of Excel. Learn more: https://go.microsoft.com/fwlink/?linkid=870924
Comment:
    Extra question — DISABLE if partner does not want to include.</t>
      </text>
    </comment>
    <comment ref="N184" authorId="38" shapeId="0">
      <text>
        <t>[Threaded comment]
Your version of Excel allows you to read this threaded comment; however, any edits to it will get removed if the file is opened in a newer version of Excel. Learn more: https://go.microsoft.com/fwlink/?linkid=870924
Comment:
    Starting from here:
Update all the important vars we want carried over to the next call (because caregiver can be interviewed first, then student leveled at a later call).</t>
      </text>
    </comment>
    <comment ref="J185" authorId="39" shapeId="0">
      <text>
        <t>[Threaded comment]
Your version of Excel allows you to read this threaded comment; however, any edits to it will get removed if the file is opened in a newer version of Excel. Learn more: https://go.microsoft.com/fwlink/?linkid=870924
Comment:
    ENABLE if not in student registration survey.</t>
      </text>
    </comment>
    <comment ref="J186" authorId="40" shapeId="0">
      <text>
        <t>[Threaded comment]
Your version of Excel allows you to read this threaded comment; however, any edits to it will get removed if the file is opened in a newer version of Excel. Learn more: https://go.microsoft.com/fwlink/?linkid=870924
Comment:
    ENABLE if not in student registration survey.</t>
      </text>
    </comment>
    <comment ref="J188" authorId="41" shapeId="0">
      <text>
        <t>[Threaded comment]
Your version of Excel allows you to read this threaded comment; however, any edits to it will get removed if the file is opened in a newer version of Excel. Learn more: https://go.microsoft.com/fwlink/?linkid=870924
Comment:
    Extra question, ENABLE if partner wants to include.</t>
      </text>
    </comment>
    <comment ref="J189" authorId="42" shapeId="0">
      <text>
        <t>[Threaded comment]
Your version of Excel allows you to read this threaded comment; however, any edits to it will get removed if the file is opened in a newer version of Excel. Learn more: https://go.microsoft.com/fwlink/?linkid=870924
Comment:
    ENABLE if not in student registration survey.</t>
      </text>
    </comment>
    <comment ref="J190" authorId="43" shapeId="0">
      <text>
        <t>[Threaded comment]
Your version of Excel allows you to read this threaded comment; however, any edits to it will get removed if the file is opened in a newer version of Excel. Learn more: https://go.microsoft.com/fwlink/?linkid=870924
Comment:
    ENABLE if not in student registration survey.</t>
      </text>
    </comment>
    <comment ref="J191" authorId="44" shapeId="0">
      <text>
        <t>[Threaded comment]
Your version of Excel allows you to read this threaded comment; however, any edits to it will get removed if the file is opened in a newer version of Excel. Learn more: https://go.microsoft.com/fwlink/?linkid=870924
Comment:
    ENABLE if not in student registration survey.</t>
      </text>
    </comment>
    <comment ref="J193" authorId="45" shapeId="0">
      <text>
        <t>[Threaded comment]
Your version of Excel allows you to read this threaded comment; however, any edits to it will get removed if the file is opened in a newer version of Excel. Learn more: https://go.microsoft.com/fwlink/?linkid=870924
Comment:
    ENABLE if not in student registration survey or facilitator database.</t>
      </text>
    </comment>
    <comment ref="J194" authorId="46" shapeId="0">
      <text>
        <t>[Threaded comment]
Your version of Excel allows you to read this threaded comment; however, any edits to it will get removed if the file is opened in a newer version of Excel. Learn more: https://go.microsoft.com/fwlink/?linkid=870924
Comment:
    ENABLE if not in student registration survey or facilitator database.</t>
      </text>
    </comment>
    <comment ref="C208" authorId="47" shapeId="0">
      <text>
        <t>[Threaded comment]
Your version of Excel allows you to read this threaded comment; however, any edits to it will get removed if the file is opened in a newer version of Excel. Learn more: https://go.microsoft.com/fwlink/?linkid=870924
Comment:
    FOR PHILIPPINES:
Change ConnectEd to mEducation</t>
      </text>
    </comment>
    <comment ref="C228" authorId="48" shapeId="0">
      <text>
        <t>[Threaded comment]
Your version of Excel allows you to read this threaded comment; however, any edits to it will get removed if the file is opened in a newer version of Excel. Learn more: https://go.microsoft.com/fwlink/?linkid=870924
Comment:
    Remove “Teacher” if direct delivery.</t>
      </text>
    </comment>
    <comment ref="C283" authorId="49" shapeId="0">
      <text>
        <t>[Threaded comment]
Your version of Excel allows you to read this threaded comment; however, any edits to it will get removed if the file is opened in a newer version of Excel. Learn more: https://go.microsoft.com/fwlink/?linkid=870924
Comment:
    FOR PHILIPPINES:
Change ConnectEd to mEducation</t>
      </text>
    </comment>
  </commentList>
</comments>
</file>

<file path=xl/comments/comment2.xml><?xml version="1.0" encoding="utf-8"?>
<comments xmlns="http://schemas.openxmlformats.org/spreadsheetml/2006/main">
  <authors>
    <author>tc={7F2B029E-BE98-F74C-9500-093CBAB36735}</author>
    <author>tc={1BF858E5-44BB-A24C-BCAC-602E9DD8F910}</author>
  </authors>
  <commentList>
    <comment ref="A2" authorId="0" shapeId="0">
      <text>
        <t>[Threaded comment]
Your version of Excel allows you to read this threaded comment; however, any edits to it will get removed if the file is opened in a newer version of Excel. Learn more: https://go.microsoft.com/fwlink/?linkid=870924
Comment:
    Specify 2-digit country code here.
For example:
*Sensitization: ConnectEd GOV, ET 2025*
***
PHILIPPINES ONLY:
Change program name to “mEduc”
For example:
*Sensitization: mEduc GOV, PH 2025*</t>
      </text>
    </comment>
    <comment ref="B2" authorId="1" shapeId="0">
      <text>
        <t>[Threaded comment]
Your version of Excel allows you to read this threaded comment; however, any edits to it will get removed if the file is opened in a newer version of Excel. Learn more: https://go.microsoft.com/fwlink/?linkid=870924
Comment:
    Edit:
- term and year (ttyyyy = t12025)
- country code (cc = ph)
***
PHILIPPINES ONLY:
Change program name to “mEduc”
For example:
*mEduc_sens_t12025_ph*</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https://docs.surveycto.com/02-designing-forms/01-core-concepts/" TargetMode="External" Id="rId1"/><Relationship Type="http://schemas.openxmlformats.org/officeDocument/2006/relationships/hyperlink" Target="https://docs.surveycto.com/02-designing-forms/02-additional-topics/07.translating.html" TargetMode="External" Id="rId2"/><Relationship Type="http://schemas.openxmlformats.org/officeDocument/2006/relationships/hyperlink" Target="https://docs.surveycto.com/02-designing-forms/02-additional-topics/07.translating.html" TargetMode="External" Id="rId3"/><Relationship Type="http://schemas.openxmlformats.org/officeDocument/2006/relationships/hyperlink" Target="https://docs.surveycto.com/02-designing-forms/03-advanced-topics/03.preloading.html" TargetMode="External" Id="rId4"/><Relationship Type="http://schemas.openxmlformats.org/officeDocument/2006/relationships/hyperlink" Target="https://docs.surveycto.com/02-designing-forms/01-core-concepts/07.constraints.html" TargetMode="External" Id="rId5"/><Relationship Type="http://schemas.openxmlformats.org/officeDocument/2006/relationships/hyperlink" Target="https://docs.surveycto.com/02-designing-forms/01-core-concepts/07.constraints.html" TargetMode="External" Id="rId6"/><Relationship Type="http://schemas.openxmlformats.org/officeDocument/2006/relationships/hyperlink" Target="https://docs.surveycto.com/02-designing-forms/01-core-concepts/08.relevance.html" TargetMode="External" Id="rId7"/><Relationship Type="http://schemas.openxmlformats.org/officeDocument/2006/relationships/hyperlink" Target="https://docs.surveycto.com/02-designing-forms/01-core-concepts/05.other-columns.html" TargetMode="External" Id="rId8"/><Relationship Type="http://schemas.openxmlformats.org/officeDocument/2006/relationships/hyperlink" Target="https://docs.surveycto.com/02-designing-forms/01-core-concepts/05.other-columns.html" TargetMode="External" Id="rId9"/><Relationship Type="http://schemas.openxmlformats.org/officeDocument/2006/relationships/hyperlink" Target="https://docs.surveycto.com/02-designing-forms/01-core-concepts/05.other-columns.html" TargetMode="External" Id="rId10"/><Relationship Type="http://schemas.openxmlformats.org/officeDocument/2006/relationships/hyperlink" Target="https://docs.surveycto.com/02-designing-forms/01-core-concepts/05.other-columns.html" TargetMode="External" Id="rId11"/><Relationship Type="http://schemas.openxmlformats.org/officeDocument/2006/relationships/hyperlink" Target="https://docs.surveycto.com/02-designing-forms/01-core-concepts/03zb.field-types-calculate.html" TargetMode="External" Id="rId12"/><Relationship Type="http://schemas.openxmlformats.org/officeDocument/2006/relationships/hyperlink" Target="https://docs.surveycto.com/02-designing-forms/01-core-concepts/06.groups.html" TargetMode="External" Id="rId13"/><Relationship Type="http://schemas.openxmlformats.org/officeDocument/2006/relationships/hyperlink" Target="https://docs.surveycto.com/02-designing-forms/04-sample-forms/04.images.html" TargetMode="External" Id="rId14"/><Relationship Type="http://schemas.openxmlformats.org/officeDocument/2006/relationships/hyperlink" Target="https://docs.surveycto.com/02-designing-forms/01-core-concepts/05.other-columns.html" TargetMode="External" Id="rId15"/><Relationship Type="http://schemas.openxmlformats.org/officeDocument/2006/relationships/hyperlink" Target="https://docs.surveycto.com/02-designing-forms/01-core-concepts/05.other-columns.html" TargetMode="External" Id="rId16"/><Relationship Type="http://schemas.openxmlformats.org/officeDocument/2006/relationships/hyperlink" Target="https://docs.surveycto.com/02-designing-forms/02-additional-topics/07.translating.html" TargetMode="External" Id="rId17"/><Relationship Type="http://schemas.openxmlformats.org/officeDocument/2006/relationships/hyperlink" Target="https://docs.surveycto.com/02-designing-forms/02-additional-topics/07.translating.html" TargetMode="External" Id="rId18"/><Relationship Type="http://schemas.openxmlformats.org/officeDocument/2006/relationships/hyperlink" Target="https://docs.surveycto.com/02-designing-forms/02-additional-topics/07.translating.html" TargetMode="External" Id="rId19"/><Relationship Type="http://schemas.openxmlformats.org/officeDocument/2006/relationships/hyperlink" Target="https://docs.surveycto.com/02-designing-forms/03-advanced-topics/02.cascading-selects.html" TargetMode="External" Id="rId20"/><Relationship Type="http://schemas.openxmlformats.org/officeDocument/2006/relationships/hyperlink" Target="https://docs.surveycto.com/02-designing-forms/02-additional-topics/04.printable-copies.html" TargetMode="External" Id="rId21"/><Relationship Type="http://schemas.openxmlformats.org/officeDocument/2006/relationships/hyperlink" Target="https://docs.surveycto.com/02-designing-forms/02-additional-topics/04.printable-copies.html" TargetMode="External" Id="rId22"/><Relationship Type="http://schemas.openxmlformats.org/officeDocument/2006/relationships/hyperlink" Target="https://docs.surveycto.com/02-designing-forms/02-additional-topics/06.encrypting.html" TargetMode="External" Id="rId23"/><Relationship Type="http://schemas.openxmlformats.org/officeDocument/2006/relationships/hyperlink" Target="https://docs.surveycto.com/04-monitoring-and-management/02-managing-for-quality/01.collecting-high-quality-data.html" TargetMode="External" Id="rId24"/><Relationship Type="http://schemas.openxmlformats.org/officeDocument/2006/relationships/hyperlink" Target="https://docs.surveycto.com/02-designing-forms/01-core-concepts/03zh.field-types-enumerator.html" TargetMode="External" Id="rId25"/><Relationship Type="http://schemas.openxmlformats.org/officeDocument/2006/relationships/hyperlink" Target="https://docs.surveycto.com/02-designing-forms/01-core-concepts/03zh.field-types-enumerator.html" TargetMode="External" Id="rId26"/><Relationship Type="http://schemas.openxmlformats.org/officeDocument/2006/relationships/hyperlink" Target="https://docs.surveycto.com/02-designing-forms/01-core-concepts/03zh.field-types-enumerator.html" TargetMode="External" Id="rId27"/><Relationship Type="http://schemas.openxmlformats.org/officeDocument/2006/relationships/hyperlink" Target="https://docs.surveycto.com/02-designing-forms/01-core-concepts/03zh.field-types-enumerator.html" TargetMode="External" Id="rId28"/><Relationship Type="http://schemas.openxmlformats.org/officeDocument/2006/relationships/hyperlink" Target="https://docs.surveycto.com/02-designing-forms/01-core-concepts/03a.field-types-text.html" TargetMode="External" Id="rId29"/><Relationship Type="http://schemas.openxmlformats.org/officeDocument/2006/relationships/hyperlink" Target="https://docs.surveycto.com/02-designing-forms/01-core-concepts/03a.field-types-text.html" TargetMode="External" Id="rId30"/><Relationship Type="http://schemas.openxmlformats.org/officeDocument/2006/relationships/hyperlink" Target="https://docs.surveycto.com/02-designing-forms/01-core-concepts/03f.field-types-integer.html" TargetMode="External" Id="rId31"/><Relationship Type="http://schemas.openxmlformats.org/officeDocument/2006/relationships/hyperlink" Target="https://docs.surveycto.com/02-designing-forms/01-core-concepts/03g.field-types-decimal.html" TargetMode="External" Id="rId32"/><Relationship Type="http://schemas.openxmlformats.org/officeDocument/2006/relationships/hyperlink" Target="https://docs.surveycto.com/02-designing-forms/01-core-concepts/03h.field-types-select-one.html" TargetMode="External" Id="rId33"/><Relationship Type="http://schemas.openxmlformats.org/officeDocument/2006/relationships/hyperlink" Target="https://docs.surveycto.com/02-designing-forms/01-core-concepts/03h.field-types-select-one.html" TargetMode="External" Id="rId34"/><Relationship Type="http://schemas.openxmlformats.org/officeDocument/2006/relationships/hyperlink" Target="https://docs.surveycto.com/02-designing-forms/01-core-concepts/03h.field-types-select-one.html" TargetMode="External" Id="rId35"/><Relationship Type="http://schemas.openxmlformats.org/officeDocument/2006/relationships/hyperlink" Target="https://docs.surveycto.com/02-designing-forms/01-core-concepts/03h.field-types-select-one.html" TargetMode="External" Id="rId36"/><Relationship Type="http://schemas.openxmlformats.org/officeDocument/2006/relationships/hyperlink" Target="https://docs.surveycto.com/02-designing-forms/01-core-concepts/03h.field-types-select-one.html" TargetMode="External" Id="rId37"/><Relationship Type="http://schemas.openxmlformats.org/officeDocument/2006/relationships/hyperlink" Target="https://docs.surveycto.com/02-designing-forms/01-core-concepts/03h.field-types-select-one.html" TargetMode="External" Id="rId38"/><Relationship Type="http://schemas.openxmlformats.org/officeDocument/2006/relationships/hyperlink" Target="https://docs.surveycto.com/02-designing-forms/01-core-concepts/03h.field-types-select-one.html" TargetMode="External" Id="rId39"/><Relationship Type="http://schemas.openxmlformats.org/officeDocument/2006/relationships/hyperlink" Target="https://docs.surveycto.com/02-designing-forms/01-core-concepts/03h.field-types-select-one.html" TargetMode="External" Id="rId40"/><Relationship Type="http://schemas.openxmlformats.org/officeDocument/2006/relationships/hyperlink" Target="https://docs.surveycto.com/02-designing-forms/01-core-concepts/03h.field-types-select-one.html" TargetMode="External" Id="rId41"/><Relationship Type="http://schemas.openxmlformats.org/officeDocument/2006/relationships/hyperlink" Target="https://docs.surveycto.com/02-designing-forms/01-core-concepts/03h.field-types-select-one.html" TargetMode="External" Id="rId42"/><Relationship Type="http://schemas.openxmlformats.org/officeDocument/2006/relationships/hyperlink" Target="https://docs.surveycto.com/02-designing-forms/01-core-concepts/03h.field-types-select-one.html" TargetMode="External" Id="rId43"/><Relationship Type="http://schemas.openxmlformats.org/officeDocument/2006/relationships/hyperlink" Target="https://docs.surveycto.com/02-designing-forms/01-core-concepts/03h.field-types-select-one.html" TargetMode="External" Id="rId44"/><Relationship Type="http://schemas.openxmlformats.org/officeDocument/2006/relationships/hyperlink" Target="https://docs.surveycto.com/02-designing-forms/01-core-concepts/03h.field-types-select-one.html" TargetMode="External" Id="rId45"/><Relationship Type="http://schemas.openxmlformats.org/officeDocument/2006/relationships/hyperlink" Target="https://docs.surveycto.com/02-designing-forms/01-core-concepts/03h.field-types-select-one.html" TargetMode="External" Id="rId46"/><Relationship Type="http://schemas.openxmlformats.org/officeDocument/2006/relationships/hyperlink" Target="https://docs.surveycto.com/02-designing-forms/01-core-concepts/03h.field-types-select-one.html" TargetMode="External" Id="rId47"/><Relationship Type="http://schemas.openxmlformats.org/officeDocument/2006/relationships/hyperlink" Target="https://docs.surveycto.com/02-designing-forms/01-core-concepts/03i.field-types-select-multiple.html" TargetMode="External" Id="rId48"/><Relationship Type="http://schemas.openxmlformats.org/officeDocument/2006/relationships/hyperlink" Target="https://docs.surveycto.com/02-designing-forms/01-core-concepts/03i.field-types-select-multiple.html" TargetMode="External" Id="rId49"/><Relationship Type="http://schemas.openxmlformats.org/officeDocument/2006/relationships/hyperlink" Target="https://docs.surveycto.com/02-designing-forms/01-core-concepts/03i.field-types-select-multiple.html" TargetMode="External" Id="rId50"/><Relationship Type="http://schemas.openxmlformats.org/officeDocument/2006/relationships/hyperlink" Target="https://docs.surveycto.com/02-designing-forms/01-core-concepts/03i.field-types-select-multiple.html" TargetMode="External" Id="rId51"/><Relationship Type="http://schemas.openxmlformats.org/officeDocument/2006/relationships/hyperlink" Target="https://docs.surveycto.com/02-designing-forms/01-core-concepts/03i.field-types-select-multiple.html" TargetMode="External" Id="rId52"/><Relationship Type="http://schemas.openxmlformats.org/officeDocument/2006/relationships/hyperlink" Target="https://docs.surveycto.com/02-designing-forms/01-core-concepts/03i.field-types-select-multiple.html" TargetMode="External" Id="rId53"/><Relationship Type="http://schemas.openxmlformats.org/officeDocument/2006/relationships/hyperlink" Target="https://docs.surveycto.com/02-designing-forms/01-core-concepts/03i.field-types-select-multiple.html" TargetMode="External" Id="rId54"/><Relationship Type="http://schemas.openxmlformats.org/officeDocument/2006/relationships/hyperlink" Target="https://docs.surveycto.com/02-designing-forms/01-core-concepts/03i.field-types-select-multiple.html" TargetMode="External" Id="rId55"/><Relationship Type="http://schemas.openxmlformats.org/officeDocument/2006/relationships/hyperlink" Target="https://docs.surveycto.com/02-designing-forms/01-core-concepts/03i.field-types-select-multiple.html" TargetMode="External" Id="rId56"/><Relationship Type="http://schemas.openxmlformats.org/officeDocument/2006/relationships/hyperlink" Target="https://docs.surveycto.com/02-designing-forms/01-core-concepts/03j.field-types-geopoint.html" TargetMode="External" Id="rId57"/><Relationship Type="http://schemas.openxmlformats.org/officeDocument/2006/relationships/hyperlink" Target="https://docs.surveycto.com/02-designing-forms/01-core-concepts/03j2.field-types-geoshape.html" TargetMode="External" Id="rId58"/><Relationship Type="http://schemas.openxmlformats.org/officeDocument/2006/relationships/hyperlink" Target="https://docs.surveycto.com/02-designing-forms/01-core-concepts/03j3.field-types-geotrace.html" TargetMode="External" Id="rId59"/><Relationship Type="http://schemas.openxmlformats.org/officeDocument/2006/relationships/hyperlink" Target="https://docs.surveycto.com/02-designing-forms/01-core-concepts/03k.field-types-barcode.html" TargetMode="External" Id="rId60"/><Relationship Type="http://schemas.openxmlformats.org/officeDocument/2006/relationships/hyperlink" Target="https://docs.surveycto.com/02-designing-forms/01-core-concepts/03l.field-types-datetime.html" TargetMode="External" Id="rId61"/><Relationship Type="http://schemas.openxmlformats.org/officeDocument/2006/relationships/hyperlink" Target="https://docs.surveycto.com/02-designing-forms/01-core-concepts/03l.field-types-datetime.html" TargetMode="External" Id="rId62"/><Relationship Type="http://schemas.openxmlformats.org/officeDocument/2006/relationships/hyperlink" Target="https://docs.surveycto.com/02-designing-forms/01-core-concepts/03l.field-types-datetime.html" TargetMode="External" Id="rId63"/><Relationship Type="http://schemas.openxmlformats.org/officeDocument/2006/relationships/hyperlink" Target="https://docs.surveycto.com/02-designing-forms/01-core-concepts/03l.field-types-datetime.html" TargetMode="External" Id="rId64"/><Relationship Type="http://schemas.openxmlformats.org/officeDocument/2006/relationships/hyperlink" Target="https://docs.surveycto.com/02-designing-forms/01-core-concepts/03l.field-types-datetime.html" TargetMode="External" Id="rId65"/><Relationship Type="http://schemas.openxmlformats.org/officeDocument/2006/relationships/hyperlink" Target="https://docs.surveycto.com/02-designing-forms/01-core-concepts/03m.field-types-image.html" TargetMode="External" Id="rId66"/><Relationship Type="http://schemas.openxmlformats.org/officeDocument/2006/relationships/hyperlink" Target="https://docs.surveycto.com/02-designing-forms/01-core-concepts/03m.field-types-image.html" TargetMode="External" Id="rId67"/><Relationship Type="http://schemas.openxmlformats.org/officeDocument/2006/relationships/hyperlink" Target="https://docs.surveycto.com/02-designing-forms/01-core-concepts/03m.field-types-image.html" TargetMode="External" Id="rId68"/><Relationship Type="http://schemas.openxmlformats.org/officeDocument/2006/relationships/hyperlink" Target="https://docs.surveycto.com/02-designing-forms/01-core-concepts/03m.field-types-image.html" TargetMode="External" Id="rId69"/><Relationship Type="http://schemas.openxmlformats.org/officeDocument/2006/relationships/hyperlink" Target="https://docs.surveycto.com/02-designing-forms/01-core-concepts/03n.field-types-audio.html" TargetMode="External" Id="rId70"/><Relationship Type="http://schemas.openxmlformats.org/officeDocument/2006/relationships/hyperlink" Target="https://docs.surveycto.com/02-designing-forms/01-core-concepts/03o.field-types-video.html" TargetMode="External" Id="rId71"/><Relationship Type="http://schemas.openxmlformats.org/officeDocument/2006/relationships/hyperlink" Target="https://docs.surveycto.com/02-designing-forms/01-core-concepts/03o2.field-types-file.html" TargetMode="External" Id="rId72"/><Relationship Type="http://schemas.openxmlformats.org/officeDocument/2006/relationships/hyperlink" Target="https://docs.surveycto.com/02-designing-forms/01-core-concepts/03p.field-types-note.html" TargetMode="External" Id="rId73"/><Relationship Type="http://schemas.openxmlformats.org/officeDocument/2006/relationships/hyperlink" Target="https://docs.surveycto.com/02-designing-forms/01-core-concepts/03q.field-types-start.html" TargetMode="External" Id="rId74"/><Relationship Type="http://schemas.openxmlformats.org/officeDocument/2006/relationships/hyperlink" Target="https://docs.surveycto.com/02-designing-forms/01-core-concepts/03r.field-types-end.html" TargetMode="External" Id="rId75"/><Relationship Type="http://schemas.openxmlformats.org/officeDocument/2006/relationships/hyperlink" Target="https://docs.surveycto.com/02-designing-forms/01-core-concepts/03s.field-types-deviceid.html" TargetMode="External" Id="rId76"/><Relationship Type="http://schemas.openxmlformats.org/officeDocument/2006/relationships/hyperlink" Target="https://docs.surveycto.com/02-designing-forms/01-core-concepts/03u.field-types-subscriberid.html" TargetMode="External" Id="rId77"/><Relationship Type="http://schemas.openxmlformats.org/officeDocument/2006/relationships/hyperlink" Target="https://docs.surveycto.com/02-designing-forms/01-core-concepts/03v.field-types-simserial.html" TargetMode="External" Id="rId78"/><Relationship Type="http://schemas.openxmlformats.org/officeDocument/2006/relationships/hyperlink" Target="https://docs.surveycto.com/02-designing-forms/01-core-concepts/03y.field-types-caseid.html" TargetMode="External" Id="rId79"/><Relationship Type="http://schemas.openxmlformats.org/officeDocument/2006/relationships/hyperlink" Target="https://docs.surveycto.com/02-designing-forms/01-core-concepts/03w.field-types-phonenumber.html" TargetMode="External" Id="rId80"/><Relationship Type="http://schemas.openxmlformats.org/officeDocument/2006/relationships/hyperlink" Target="https://docs.surveycto.com/02-designing-forms/01-core-concepts/03za.field-types-comments.html" TargetMode="External" Id="rId81"/><Relationship Type="http://schemas.openxmlformats.org/officeDocument/2006/relationships/hyperlink" Target="https://docs.surveycto.com/02-designing-forms/01-core-concepts/03zb.field-types-calculate.html" TargetMode="External" Id="rId82"/><Relationship Type="http://schemas.openxmlformats.org/officeDocument/2006/relationships/hyperlink" Target="https://docs.surveycto.com/02-designing-forms/01-core-concepts/03zb.field-types-calculate.html" TargetMode="External" Id="rId83"/><Relationship Type="http://schemas.openxmlformats.org/officeDocument/2006/relationships/hyperlink" Target="https://docs.surveycto.com/02-designing-forms/01-core-concepts/03zd.field-types-text-audit.html" TargetMode="External" Id="rId84"/><Relationship Type="http://schemas.openxmlformats.org/officeDocument/2006/relationships/hyperlink" Target="https://docs.surveycto.com/02-designing-forms/01-core-concepts/03ze.field-types-audio-audit.html" TargetMode="External" Id="rId85"/><Relationship Type="http://schemas.openxmlformats.org/officeDocument/2006/relationships/hyperlink" Target="https://docs.surveycto.com/02-designing-forms/01-core-concepts/03ze.field-types-audio-audit.html" TargetMode="External" Id="rId86"/><Relationship Type="http://schemas.openxmlformats.org/officeDocument/2006/relationships/hyperlink" Target="https://docs.surveycto.com/02-designing-forms/01-core-concepts/03ze.field-types-audio-audit.html" TargetMode="External" Id="rId87"/><Relationship Type="http://schemas.openxmlformats.org/officeDocument/2006/relationships/hyperlink" Target="https://docs.surveycto.com/02-designing-forms/01-core-concepts/06.groups.html" TargetMode="External" Id="rId88"/><Relationship Type="http://schemas.openxmlformats.org/officeDocument/2006/relationships/hyperlink" Target="https://docs.surveycto.com/02-designing-forms/01-core-concepts/06.groups.html" TargetMode="External" Id="rId89"/><Relationship Type="http://schemas.openxmlformats.org/officeDocument/2006/relationships/hyperlink" Target="https://docs.surveycto.com/02-designing-forms/01-core-concepts/06.groups.html" TargetMode="External" Id="rId90"/><Relationship Type="http://schemas.openxmlformats.org/officeDocument/2006/relationships/hyperlink" Target="https://docs.surveycto.com/02-designing-forms/01-core-concepts/03zc.field-types-speed-violations.html" TargetMode="External" Id="rId91"/><Relationship Type="http://schemas.openxmlformats.org/officeDocument/2006/relationships/hyperlink" Target="https://docs.surveycto.com/02-designing-forms/01-core-concepts/03zc.field-types-speed-violations.html" TargetMode="External" Id="rId92"/><Relationship Type="http://schemas.openxmlformats.org/officeDocument/2006/relationships/hyperlink" Target="https://docs.surveycto.com/02-designing-forms/01-core-concepts/03zc.field-types-speed-violations.html" TargetMode="External" Id="rId93"/><Relationship Type="http://schemas.openxmlformats.org/officeDocument/2006/relationships/hyperlink" Target="https://docs.surveycto.com/02-designing-forms/01-core-concepts/03zg.field-types-sensor-stream.html" TargetMode="External" Id="rId94"/><Relationship Type="http://schemas.openxmlformats.org/officeDocument/2006/relationships/hyperlink" Target="https://docs.surveycto.com/02-designing-forms/01-core-concepts/03zf.field-types-sensor-statistic.html" TargetMode="External" Id="rId95"/><Relationship Type="http://schemas.openxmlformats.org/officeDocument/2006/relationships/hyperlink" Target="https://docs.surveycto.com/02-designing-forms/01-core-concepts/09.expressions.html" TargetMode="External" Id="rId96"/></Relationships>
</file>

<file path=xl/worksheets/_rels/sheet5.xml.rels><Relationships xmlns="http://schemas.openxmlformats.org/package/2006/relationships"><Relationship Type="http://schemas.openxmlformats.org/officeDocument/2006/relationships/hyperlink" Target="https://docs.surveycto.com/02-designing-forms/01-core-concepts/03h.field-types-select-one.html" TargetMode="External" Id="rId1"/><Relationship Type="http://schemas.openxmlformats.org/officeDocument/2006/relationships/hyperlink" Target="https://docs.surveycto.com/02-designing-forms/01-core-concepts/03i.field-types-select-multiple.html" TargetMode="External" Id="rId2"/><Relationship Type="http://schemas.openxmlformats.org/officeDocument/2006/relationships/hyperlink" Target="https://docs.surveycto.com/02-designing-forms/04-sample-forms/12.search-and-select.html" TargetMode="External" Id="rId3"/><Relationship Type="http://schemas.openxmlformats.org/officeDocument/2006/relationships/hyperlink" Target="https://docs.surveycto.com/02-designing-forms/02-additional-topics/07.translating.html" TargetMode="External" Id="rId4"/><Relationship Type="http://schemas.openxmlformats.org/officeDocument/2006/relationships/hyperlink" Target="https://docs.surveycto.com/02-designing-forms/04-sample-forms/04.images.html" TargetMode="External" Id="rId5"/><Relationship Type="http://schemas.openxmlformats.org/officeDocument/2006/relationships/hyperlink" Target="https://docs.surveycto.com/02-designing-forms/03-advanced-topics/02.cascading-selects.html" TargetMode="External" Id="rId6"/></Relationships>
</file>

<file path=xl/worksheets/_rels/sheet6.xml.rels><Relationships xmlns="http://schemas.openxmlformats.org/package/2006/relationships"><Relationship Type="http://schemas.openxmlformats.org/officeDocument/2006/relationships/hyperlink" Target="https://docs.surveycto.com/02-designing-forms/02-additional-topics/08.hiding-test-forms.html" TargetMode="External" Id="rId1"/><Relationship Type="http://schemas.openxmlformats.org/officeDocument/2006/relationships/hyperlink" Target="https://docs.surveycto.com/02-designing-forms/01-core-concepts/10.updating.html" TargetMode="External" Id="rId2"/><Relationship Type="http://schemas.openxmlformats.org/officeDocument/2006/relationships/hyperlink" Target="https://docs.surveycto.com/02-designing-forms/02-additional-topics/06.encrypting.html" TargetMode="External" Id="rId3"/><Relationship Type="http://schemas.openxmlformats.org/officeDocument/2006/relationships/hyperlink" Target="https://docs.surveycto.com/02-designing-forms/02-additional-topics/06.encrypting.html" TargetMode="External" Id="rId4"/><Relationship Type="http://schemas.openxmlformats.org/officeDocument/2006/relationships/hyperlink" Target="https://docs.surveycto.com/02-designing-forms/02-additional-topics/07.translating.html" TargetMode="External" Id="rId5"/></Relationships>
</file>

<file path=xl/worksheets/sheet1.xml><?xml version="1.0" encoding="utf-8"?>
<worksheet xmlns="http://schemas.openxmlformats.org/spreadsheetml/2006/main">
  <sheetPr>
    <outlinePr summaryBelow="1" summaryRight="1"/>
    <pageSetUpPr/>
  </sheetPr>
  <dimension ref="A1:X285"/>
  <sheetViews>
    <sheetView tabSelected="1" zoomScale="110" zoomScaleNormal="110" workbookViewId="0">
      <pane ySplit="1" topLeftCell="A2" activePane="bottomLeft" state="frozen"/>
      <selection pane="bottomLeft" activeCell="C1" sqref="C1"/>
      <selection pane="bottomLeft" activeCell="A2" sqref="A2"/>
      <selection pane="bottomRight" activeCell="F22" sqref="F22"/>
    </sheetView>
  </sheetViews>
  <sheetFormatPr baseColWidth="10" defaultColWidth="11" defaultRowHeight="16"/>
  <cols>
    <col width="16" customWidth="1" style="82" min="1" max="1"/>
    <col width="26" customWidth="1" style="82" min="2" max="2"/>
    <col width="42" bestFit="1" customWidth="1" style="83" min="3" max="3"/>
    <col width="42" bestFit="1" customWidth="1" style="84" min="4" max="4"/>
    <col width="12" bestFit="1" customWidth="1" style="82" min="5" max="5"/>
    <col width="18" bestFit="1" customWidth="1" style="84" min="6" max="6"/>
    <col width="42" bestFit="1" customWidth="1" style="84" min="7" max="7"/>
    <col width="42" customWidth="1" style="84" min="8" max="8"/>
    <col width="42" bestFit="1" customWidth="1" style="82" min="9" max="9"/>
    <col width="10" bestFit="1" customWidth="1" style="82" min="10" max="10"/>
    <col width="10" bestFit="1" customWidth="1" style="82" min="11" max="11"/>
    <col width="42" customWidth="1" style="82" min="12" max="12"/>
    <col width="10" bestFit="1" customWidth="1" style="82" min="13" max="13"/>
    <col width="42" customWidth="1" style="82" min="14" max="14"/>
    <col width="12" customWidth="1" style="82" min="15" max="15"/>
    <col width="14" bestFit="1" customWidth="1" style="82" min="16" max="16"/>
    <col width="14" bestFit="1" customWidth="1" style="82" min="17" max="17"/>
    <col width="14" bestFit="1" customWidth="1" style="82" min="18" max="18"/>
    <col width="42" customWidth="1" style="82" min="19" max="19"/>
    <col width="20" customWidth="1" style="82" min="20" max="20"/>
    <col width="42" customWidth="1" style="82" min="21" max="22"/>
    <col width="42" customWidth="1" min="22" max="22"/>
    <col width="12" bestFit="1" customWidth="1" style="82" min="23" max="23"/>
    <col width="14" bestFit="1" customWidth="1" style="82" min="24" max="24"/>
    <col width="11" customWidth="1" style="2" min="25" max="16384"/>
  </cols>
  <sheetData>
    <row r="1" ht="20" customFormat="1" customHeight="1" s="3">
      <c r="A1" s="115" t="inlineStr">
        <is>
          <t>type</t>
        </is>
      </c>
      <c r="B1" s="115" t="inlineStr">
        <is>
          <t>name</t>
        </is>
      </c>
      <c r="C1" s="116" t="inlineStr">
        <is>
          <t>label</t>
        </is>
      </c>
      <c r="D1" s="115" t="inlineStr">
        <is>
          <t>hint</t>
        </is>
      </c>
      <c r="E1" s="115" t="inlineStr">
        <is>
          <t>default</t>
        </is>
      </c>
      <c r="F1" s="115" t="inlineStr">
        <is>
          <t>appearance</t>
        </is>
      </c>
      <c r="G1" s="115" t="inlineStr">
        <is>
          <t>constraint</t>
        </is>
      </c>
      <c r="H1" s="115" t="inlineStr">
        <is>
          <t>constraint message</t>
        </is>
      </c>
      <c r="I1" s="115" t="inlineStr">
        <is>
          <t>relevance</t>
        </is>
      </c>
      <c r="J1" s="115" t="inlineStr">
        <is>
          <t>disabled</t>
        </is>
      </c>
      <c r="K1" s="115" t="inlineStr">
        <is>
          <t>required</t>
        </is>
      </c>
      <c r="L1" s="115" t="inlineStr">
        <is>
          <t>required message</t>
        </is>
      </c>
      <c r="M1" s="115" t="inlineStr">
        <is>
          <t>read only</t>
        </is>
      </c>
      <c r="N1" s="115" t="inlineStr">
        <is>
          <t>calculation</t>
        </is>
      </c>
      <c r="O1" s="115" t="inlineStr">
        <is>
          <t>repeat_count</t>
        </is>
      </c>
      <c r="P1" s="115" t="inlineStr">
        <is>
          <t>media:image</t>
        </is>
      </c>
      <c r="Q1" s="115" t="inlineStr">
        <is>
          <t>media:audio</t>
        </is>
      </c>
      <c r="R1" s="115" t="inlineStr">
        <is>
          <t>media:video</t>
        </is>
      </c>
      <c r="S1" s="115" t="inlineStr">
        <is>
          <t>label_stata</t>
        </is>
      </c>
      <c r="T1" s="115" t="inlineStr">
        <is>
          <t>choice_filter</t>
        </is>
      </c>
      <c r="U1" s="115" t="inlineStr">
        <is>
          <t>note</t>
        </is>
      </c>
      <c r="V1" s="115" t="inlineStr">
        <is>
          <t>response_note</t>
        </is>
      </c>
      <c r="W1" s="115" t="inlineStr">
        <is>
          <t>publishable</t>
        </is>
      </c>
      <c r="X1" s="115" t="inlineStr">
        <is>
          <t>minimum_seconds</t>
        </is>
      </c>
    </row>
    <row r="2">
      <c r="A2" s="117" t="inlineStr">
        <is>
          <t>start</t>
        </is>
      </c>
      <c r="B2" s="117" t="inlineStr">
        <is>
          <t>starttime</t>
        </is>
      </c>
      <c r="C2" s="118" t="n"/>
      <c r="D2" s="118" t="n"/>
      <c r="E2" s="119" t="n"/>
      <c r="F2" s="119" t="n"/>
      <c r="G2" s="118" t="n"/>
      <c r="H2" s="118" t="n"/>
      <c r="I2" s="120" t="n"/>
      <c r="J2" s="117" t="n"/>
      <c r="K2" s="119" t="n"/>
      <c r="L2" s="118" t="n"/>
      <c r="M2" s="119" t="n"/>
      <c r="N2" s="118" t="n"/>
      <c r="O2" s="119" t="n"/>
      <c r="P2" s="119" t="n"/>
      <c r="Q2" s="119" t="n"/>
      <c r="R2" s="119" t="n"/>
      <c r="S2" s="118" t="n"/>
      <c r="T2" s="119" t="n"/>
      <c r="U2" s="118" t="n"/>
      <c r="V2" s="118" t="n"/>
      <c r="W2" s="119" t="n"/>
      <c r="X2" s="119" t="n"/>
    </row>
    <row r="3" ht="16" customHeight="1">
      <c r="A3" s="117" t="inlineStr">
        <is>
          <t>end</t>
        </is>
      </c>
      <c r="B3" s="117" t="inlineStr">
        <is>
          <t>endtime</t>
        </is>
      </c>
      <c r="C3" s="118" t="n"/>
      <c r="D3" s="118" t="n"/>
      <c r="E3" s="119" t="n"/>
      <c r="F3" s="119" t="n"/>
      <c r="G3" s="118" t="n"/>
      <c r="H3" s="118" t="n"/>
      <c r="I3" s="118" t="n"/>
      <c r="J3" s="119" t="n"/>
      <c r="K3" s="119" t="n"/>
      <c r="L3" s="118" t="n"/>
      <c r="M3" s="119" t="n"/>
      <c r="N3" s="118" t="n"/>
      <c r="O3" s="119" t="n"/>
      <c r="P3" s="119" t="n"/>
      <c r="Q3" s="119" t="n"/>
      <c r="R3" s="119" t="n"/>
      <c r="S3" s="118" t="n"/>
      <c r="T3" s="119" t="n"/>
      <c r="U3" s="118" t="n"/>
      <c r="V3" s="118" t="n"/>
      <c r="W3" s="119" t="n"/>
      <c r="X3" s="119" t="n"/>
    </row>
    <row r="4">
      <c r="A4" s="117" t="inlineStr">
        <is>
          <t>deviceid</t>
        </is>
      </c>
      <c r="B4" s="117" t="inlineStr">
        <is>
          <t>deviceid</t>
        </is>
      </c>
      <c r="C4" s="118" t="n"/>
      <c r="D4" s="118" t="n"/>
      <c r="E4" s="119" t="n"/>
      <c r="F4" s="119" t="n"/>
      <c r="G4" s="118" t="n"/>
      <c r="H4" s="118" t="n"/>
      <c r="I4" s="120" t="n"/>
      <c r="J4" s="117" t="n"/>
      <c r="K4" s="119" t="n"/>
      <c r="L4" s="118" t="n"/>
      <c r="M4" s="119" t="n"/>
      <c r="N4" s="118" t="n"/>
      <c r="O4" s="119" t="n"/>
      <c r="P4" s="119" t="n"/>
      <c r="Q4" s="119" t="n"/>
      <c r="R4" s="119" t="n"/>
      <c r="S4" s="118" t="n"/>
      <c r="T4" s="119" t="n"/>
      <c r="U4" s="118" t="n"/>
      <c r="V4" s="118" t="n"/>
      <c r="W4" s="119" t="n"/>
      <c r="X4" s="119" t="n"/>
    </row>
    <row r="5">
      <c r="A5" s="117" t="inlineStr">
        <is>
          <t>phonenumber</t>
        </is>
      </c>
      <c r="B5" s="117" t="inlineStr">
        <is>
          <t>devicephonenum</t>
        </is>
      </c>
      <c r="C5" s="118" t="n"/>
      <c r="D5" s="118" t="n"/>
      <c r="E5" s="119" t="n"/>
      <c r="F5" s="119" t="n"/>
      <c r="G5" s="118" t="n"/>
      <c r="H5" s="118" t="n"/>
      <c r="I5" s="120" t="n"/>
      <c r="J5" s="117" t="n"/>
      <c r="K5" s="119" t="n"/>
      <c r="L5" s="118" t="n"/>
      <c r="M5" s="119" t="n"/>
      <c r="N5" s="118" t="n"/>
      <c r="O5" s="119" t="n"/>
      <c r="P5" s="119" t="n"/>
      <c r="Q5" s="119" t="n"/>
      <c r="R5" s="119" t="n"/>
      <c r="S5" s="118" t="n"/>
      <c r="T5" s="119" t="n"/>
      <c r="U5" s="118" t="n"/>
      <c r="V5" s="118" t="n"/>
      <c r="W5" s="119" t="n"/>
      <c r="X5" s="119" t="n"/>
    </row>
    <row r="6">
      <c r="A6" s="117" t="inlineStr">
        <is>
          <t>username</t>
        </is>
      </c>
      <c r="B6" s="117" t="inlineStr">
        <is>
          <t>username</t>
        </is>
      </c>
      <c r="C6" s="118" t="n"/>
      <c r="D6" s="118" t="n"/>
      <c r="E6" s="119" t="n"/>
      <c r="F6" s="119" t="n"/>
      <c r="G6" s="118" t="n"/>
      <c r="H6" s="118" t="n"/>
      <c r="I6" s="120" t="n"/>
      <c r="J6" s="117" t="n"/>
      <c r="K6" s="119" t="n"/>
      <c r="L6" s="118" t="n"/>
      <c r="M6" s="119" t="n"/>
      <c r="N6" s="118" t="n"/>
      <c r="O6" s="119" t="n"/>
      <c r="P6" s="119" t="n"/>
      <c r="Q6" s="119" t="n"/>
      <c r="R6" s="119" t="n"/>
      <c r="S6" s="118" t="n"/>
      <c r="T6" s="119" t="n"/>
      <c r="U6" s="118" t="n"/>
      <c r="V6" s="118" t="n"/>
      <c r="W6" s="119" t="n"/>
      <c r="X6" s="119" t="n"/>
    </row>
    <row r="7">
      <c r="A7" s="117" t="inlineStr">
        <is>
          <t>calculate</t>
        </is>
      </c>
      <c r="B7" s="117" t="inlineStr">
        <is>
          <t>device_info</t>
        </is>
      </c>
      <c r="C7" s="118" t="n"/>
      <c r="D7" s="118" t="n"/>
      <c r="E7" s="119" t="n"/>
      <c r="F7" s="119" t="n"/>
      <c r="G7" s="118" t="n"/>
      <c r="H7" s="118" t="n"/>
      <c r="I7" s="120" t="n"/>
      <c r="J7" s="117" t="n"/>
      <c r="K7" s="119" t="n"/>
      <c r="L7" s="118" t="n"/>
      <c r="M7" s="119" t="n"/>
      <c r="N7" s="120" t="inlineStr">
        <is>
          <t>device-info()</t>
        </is>
      </c>
      <c r="O7" s="119" t="n"/>
      <c r="P7" s="119" t="n"/>
      <c r="Q7" s="119" t="n"/>
      <c r="R7" s="119" t="n"/>
      <c r="S7" s="118" t="n"/>
      <c r="T7" s="119" t="n"/>
      <c r="U7" s="118" t="n"/>
      <c r="V7" s="118" t="n"/>
      <c r="W7" s="119" t="n"/>
      <c r="X7" s="119" t="n"/>
    </row>
    <row r="8" ht="17" customHeight="1">
      <c r="A8" s="117" t="inlineStr">
        <is>
          <t>calculate</t>
        </is>
      </c>
      <c r="B8" s="117" t="inlineStr">
        <is>
          <t>instance_time_b</t>
        </is>
      </c>
      <c r="C8" s="121" t="inlineStr">
        <is>
          <t>The time and date of the current call attempt for use as the instance_name.</t>
        </is>
      </c>
      <c r="D8" s="118" t="n"/>
      <c r="E8" s="119" t="n"/>
      <c r="F8" s="119" t="n"/>
      <c r="G8" s="118" t="n"/>
      <c r="H8" s="118" t="n"/>
      <c r="I8" s="120" t="n"/>
      <c r="J8" s="117" t="n"/>
      <c r="K8" s="119" t="n"/>
      <c r="L8" s="118" t="n"/>
      <c r="M8" s="119" t="n"/>
      <c r="N8" s="120" t="inlineStr">
        <is>
          <t xml:space="preserve">once(format-date-time(now(), '%Y-%m-%d %H:%M'))	 	 </t>
        </is>
      </c>
      <c r="O8" s="119" t="n"/>
      <c r="P8" s="119" t="n"/>
      <c r="Q8" s="119" t="n"/>
      <c r="R8" s="119" t="n"/>
      <c r="S8" s="118" t="n"/>
      <c r="T8" s="119" t="n"/>
      <c r="U8" s="118" t="n"/>
      <c r="V8" s="118" t="n"/>
      <c r="W8" s="119" t="n"/>
      <c r="X8" s="119" t="n"/>
    </row>
    <row r="9" ht="17" customHeight="1">
      <c r="A9" s="117" t="inlineStr">
        <is>
          <t>calculate</t>
        </is>
      </c>
      <c r="B9" s="117" t="inlineStr">
        <is>
          <t>duration_b</t>
        </is>
      </c>
      <c r="C9" s="121" t="inlineStr">
        <is>
          <t>Returns the total amount of time spent, in seconds, filling or editing the current form submission.</t>
        </is>
      </c>
      <c r="D9" s="118" t="n"/>
      <c r="E9" s="119" t="n"/>
      <c r="F9" s="119" t="n"/>
      <c r="G9" s="118" t="n"/>
      <c r="H9" s="118" t="n"/>
      <c r="I9" s="120" t="n"/>
      <c r="J9" s="117" t="n"/>
      <c r="K9" s="119" t="n"/>
      <c r="L9" s="118" t="n"/>
      <c r="M9" s="119" t="n"/>
      <c r="N9" s="120" t="inlineStr">
        <is>
          <t>duration()</t>
        </is>
      </c>
      <c r="O9" s="119" t="n"/>
      <c r="P9" s="119" t="n"/>
      <c r="Q9" s="119" t="n"/>
      <c r="R9" s="119" t="n"/>
      <c r="S9" s="118" t="n"/>
      <c r="T9" s="119" t="n"/>
      <c r="U9" s="118" t="n"/>
      <c r="V9" s="118" t="n"/>
      <c r="W9" s="119" t="n"/>
      <c r="X9" s="119" t="n"/>
    </row>
    <row r="10" ht="17" customHeight="1">
      <c r="A10" s="117" t="inlineStr">
        <is>
          <t>calculate</t>
        </is>
      </c>
      <c r="B10" s="117" t="inlineStr">
        <is>
          <t>duration_call_b</t>
        </is>
      </c>
      <c r="C10" s="121" t="inlineStr">
        <is>
          <t>Returns the total number of seconds spent on a phone call during the form.</t>
        </is>
      </c>
      <c r="D10" s="118" t="n"/>
      <c r="E10" s="119" t="n"/>
      <c r="F10" s="119" t="n"/>
      <c r="G10" s="118" t="n"/>
      <c r="H10" s="118" t="n"/>
      <c r="I10" s="120" t="n"/>
      <c r="J10" s="117" t="n"/>
      <c r="K10" s="119" t="n"/>
      <c r="L10" s="118" t="n"/>
      <c r="M10" s="119" t="n"/>
      <c r="N10" s="120" t="inlineStr">
        <is>
          <t>phone-call-duration()</t>
        </is>
      </c>
      <c r="O10" s="119" t="n"/>
      <c r="P10" s="119" t="n"/>
      <c r="Q10" s="119" t="n"/>
      <c r="R10" s="119" t="n"/>
      <c r="S10" s="118" t="n"/>
      <c r="T10" s="119" t="n"/>
      <c r="U10" s="118" t="n"/>
      <c r="V10" s="118" t="n"/>
      <c r="W10" s="119" t="n"/>
      <c r="X10" s="119" t="n"/>
    </row>
    <row r="11" ht="17" customHeight="1">
      <c r="A11" s="117" t="inlineStr">
        <is>
          <t>calculate</t>
        </is>
      </c>
      <c r="B11" s="117" t="inlineStr">
        <is>
          <t>duration_true_b</t>
        </is>
      </c>
      <c r="C11" s="121" t="inlineStr">
        <is>
          <t>Returns the total amount of time spent, in seconds, to complete the survey.</t>
        </is>
      </c>
      <c r="D11" s="118" t="n"/>
      <c r="E11" s="119" t="n"/>
      <c r="F11" s="119" t="n"/>
      <c r="G11" s="118" t="n"/>
      <c r="H11" s="118" t="n"/>
      <c r="I11" s="120" t="n"/>
      <c r="J11" s="117" t="n"/>
      <c r="K11" s="119" t="n"/>
      <c r="L11" s="118" t="n"/>
      <c r="M11" s="119" t="n"/>
      <c r="N11" s="120" t="inlineStr">
        <is>
          <t>${survey_end_ts} - ${survey_start_ts}</t>
        </is>
      </c>
      <c r="O11" s="119" t="n"/>
      <c r="P11" s="119" t="n"/>
      <c r="Q11" s="119" t="n"/>
      <c r="R11" s="119" t="n"/>
      <c r="S11" s="118" t="n"/>
      <c r="T11" s="119" t="n"/>
      <c r="U11" s="118" t="n"/>
      <c r="V11" s="118" t="n"/>
      <c r="W11" s="119" t="n"/>
      <c r="X11" s="119" t="n"/>
    </row>
    <row r="12">
      <c r="A12" s="119" t="n"/>
      <c r="B12" s="119" t="n"/>
      <c r="C12" s="118" t="n"/>
      <c r="D12" s="118" t="n"/>
      <c r="E12" s="119" t="n"/>
      <c r="F12" s="119" t="n"/>
      <c r="G12" s="118" t="n"/>
      <c r="H12" s="118" t="n"/>
      <c r="I12" s="120" t="n"/>
      <c r="J12" s="117" t="n"/>
      <c r="K12" s="119" t="n"/>
      <c r="L12" s="118" t="n"/>
      <c r="M12" s="119" t="n"/>
      <c r="N12" s="118" t="n"/>
      <c r="O12" s="119" t="n"/>
      <c r="P12" s="119" t="n"/>
      <c r="Q12" s="119" t="n"/>
      <c r="R12" s="119" t="n"/>
      <c r="S12" s="118" t="n"/>
      <c r="T12" s="119" t="n"/>
      <c r="U12" s="118" t="n"/>
      <c r="V12" s="118" t="n"/>
      <c r="W12" s="119" t="n"/>
      <c r="X12" s="119" t="n"/>
    </row>
    <row r="13">
      <c r="A13" s="117" t="inlineStr">
        <is>
          <t>audio audit</t>
        </is>
      </c>
      <c r="B13" s="117" t="inlineStr">
        <is>
          <t>audio_audit_b</t>
        </is>
      </c>
      <c r="C13" s="118" t="n"/>
      <c r="D13" s="118" t="n"/>
      <c r="E13" s="119" t="n"/>
      <c r="F13" s="117" t="inlineStr">
        <is>
          <t>p=100;s=phone_select;d=call_status_b</t>
        </is>
      </c>
      <c r="G13" s="118" t="n"/>
      <c r="H13" s="118" t="n"/>
      <c r="I13" s="120" t="n"/>
      <c r="J13" s="117" t="n"/>
      <c r="K13" s="119" t="n"/>
      <c r="L13" s="118" t="n"/>
      <c r="M13" s="119" t="n"/>
      <c r="N13" s="118" t="n"/>
      <c r="O13" s="119" t="n"/>
      <c r="P13" s="119" t="n"/>
      <c r="Q13" s="119" t="n"/>
      <c r="R13" s="119" t="n"/>
      <c r="S13" s="118" t="n"/>
      <c r="T13" s="119" t="n"/>
      <c r="U13" s="118" t="n"/>
      <c r="V13" s="118" t="n"/>
      <c r="W13" s="119" t="n"/>
      <c r="X13" s="119" t="n"/>
    </row>
    <row r="14">
      <c r="A14" s="117" t="inlineStr">
        <is>
          <t>text audit</t>
        </is>
      </c>
      <c r="B14" s="117" t="inlineStr">
        <is>
          <t>text_audit_b</t>
        </is>
      </c>
      <c r="C14" s="118" t="n"/>
      <c r="D14" s="118" t="n"/>
      <c r="E14" s="119" t="n"/>
      <c r="F14" s="117" t="inlineStr">
        <is>
          <t>p=100</t>
        </is>
      </c>
      <c r="G14" s="118" t="n"/>
      <c r="H14" s="118" t="n"/>
      <c r="I14" s="120" t="n"/>
      <c r="J14" s="117" t="n"/>
      <c r="K14" s="119" t="n"/>
      <c r="L14" s="118" t="n"/>
      <c r="M14" s="119" t="n"/>
      <c r="N14" s="118" t="n"/>
      <c r="O14" s="119" t="n"/>
      <c r="P14" s="119" t="n"/>
      <c r="Q14" s="119" t="n"/>
      <c r="R14" s="119" t="n"/>
      <c r="S14" s="118" t="n"/>
      <c r="T14" s="119" t="n"/>
      <c r="U14" s="118" t="n"/>
      <c r="V14" s="118" t="n"/>
      <c r="W14" s="119" t="n"/>
      <c r="X14" s="119" t="n"/>
    </row>
    <row r="15">
      <c r="A15" s="119" t="n"/>
      <c r="B15" s="119" t="n"/>
      <c r="C15" s="118" t="n"/>
      <c r="D15" s="118" t="n"/>
      <c r="E15" s="119" t="n"/>
      <c r="F15" s="119" t="n"/>
      <c r="G15" s="118" t="n"/>
      <c r="H15" s="118" t="n"/>
      <c r="I15" s="120" t="n"/>
      <c r="J15" s="117" t="n"/>
      <c r="K15" s="119" t="n"/>
      <c r="L15" s="118" t="n"/>
      <c r="M15" s="119" t="n"/>
      <c r="N15" s="118" t="n"/>
      <c r="O15" s="119" t="n"/>
      <c r="P15" s="119" t="n"/>
      <c r="Q15" s="119" t="n"/>
      <c r="R15" s="119" t="n"/>
      <c r="S15" s="118" t="n"/>
      <c r="T15" s="119" t="n"/>
      <c r="U15" s="118" t="n"/>
      <c r="V15" s="118" t="n"/>
      <c r="W15" s="119" t="n"/>
      <c r="X15" s="119" t="n"/>
    </row>
    <row r="16" ht="388" customHeight="1">
      <c r="A16" s="117" t="inlineStr">
        <is>
          <t>note</t>
        </is>
      </c>
      <c r="B16" s="117" t="inlineStr">
        <is>
          <t>note_intro</t>
        </is>
      </c>
      <c r="C16" s="121" t="inlineStr">
        <is>
          <t>&lt;p style="font-weight:bold;"&gt;Welcome to the mEducation Sensitization Form!&lt;/p&gt;
&lt;br&gt;
Before you begin your call, please read the following instructions carefully:
&lt;br&gt;&lt;br&gt;
&lt;ol&gt;
&lt;li&gt;Unless explicitly stated, read all the questions out loud.&lt;/li&gt;
&lt;li&gt;Unless explicitly stated, do &lt;b&gt;&lt;u&gt;not&lt;/u&gt;&lt;/b&gt; read choices/answer options out loud.&lt;/li&gt;
&lt;li&gt;Surveys are considered completed when one of the following happens:&lt;/li&gt;
&lt;ul&gt;
&lt;li&gt;You have successfully reached a household &lt;b&gt;&lt;u&gt;and&lt;/u&gt;&lt;/b&gt; assessed/levelled the enrolled child.&lt;/li&gt;
&lt;li&gt;The household withdraws consent to be surveyed.&lt;/li&gt;
&lt;li&gt;You have made &lt;font color="red"&gt;&lt;b&gt;&lt;u&gt;SEVEN (7) CALL ATTEMPTS&lt;/u&gt;&lt;/b&gt;&lt;/font&gt; over a few days and at different times per day.&lt;/li&gt;
&lt;/ul&gt;
&lt;/ol&gt;
&lt;br&gt;&lt;br&gt;
When you're ready, swipe left on the screen to move forward.</t>
        </is>
      </c>
      <c r="D16" s="118" t="n"/>
      <c r="E16" s="119" t="n"/>
      <c r="F16" s="117" t="inlineStr">
        <is>
          <t>intro</t>
        </is>
      </c>
      <c r="G16" s="118" t="n"/>
      <c r="H16" s="118" t="n"/>
      <c r="I16" s="120" t="n"/>
      <c r="J16" s="117" t="n"/>
      <c r="K16" s="119" t="n"/>
      <c r="L16" s="118" t="n"/>
      <c r="M16" s="119" t="n"/>
      <c r="N16" s="118" t="n"/>
      <c r="O16" s="119" t="n"/>
      <c r="P16" s="119" t="n"/>
      <c r="Q16" s="119" t="n"/>
      <c r="R16" s="119" t="n"/>
      <c r="S16" s="118" t="n"/>
      <c r="T16" s="119" t="n"/>
      <c r="U16" s="118" t="n"/>
      <c r="V16" s="118" t="n"/>
      <c r="W16" s="119" t="n"/>
      <c r="X16" s="119" t="n"/>
    </row>
    <row r="17" ht="187" customHeight="1">
      <c r="A17" s="117" t="inlineStr">
        <is>
          <t>note</t>
        </is>
      </c>
      <c r="B17" s="117" t="inlineStr">
        <is>
          <t>warning_notweb</t>
        </is>
      </c>
      <c r="C17" s="121" t="inlineStr">
        <is>
          <t>&lt;p&gt;&lt;span style="color: #ff0000;"&gt;&lt;strong&gt;WARNING!&lt;/strong&gt;&lt;/span&gt;&lt;br /&gt; &lt;br /&gt;&lt;span style="color: #ff0000;"&gt;&lt;/p&gt;
&lt;p&gt;&lt;span style="color: #ff0000;"&gt;Please use the SurveyCTO Collect app to submit data.&lt;/span&gt;&lt;br /&gt; &lt;br /&gt;&lt;span style="color: #ff0000;"&gt;&lt;/p&gt;
&lt;p&gt;&lt;span style="color: #ff0000;"&gt;If you do not have it yet, go to the Google Play Store (or Apple App Store) and search for the &lt;b&gt;Collect&lt;/b&gt; app.&lt;/span&gt;&lt;br /&gt; &lt;br /&gt;&lt;span style="color: #ff0000;"&gt;&lt;/p&gt;
&lt;p&gt;&lt;span style="color: #ff0000;"&gt;Only if you have a Huawei phone, please proceed with this web survey.&lt;/span&gt;&lt;br /&gt; &lt;br /&gt;&lt;span style="color: #ff0000;"&gt;&lt;/p&gt;</t>
        </is>
      </c>
      <c r="D17" s="118" t="n"/>
      <c r="E17" s="119" t="n"/>
      <c r="F17" s="117" t="n"/>
      <c r="G17" s="118" t="n"/>
      <c r="H17" s="118" t="n"/>
      <c r="I17" s="120" t="inlineStr">
        <is>
          <t>${deviceid} = '(web)'</t>
        </is>
      </c>
      <c r="J17" s="117" t="n"/>
      <c r="K17" s="119" t="n"/>
      <c r="L17" s="118" t="n"/>
      <c r="M17" s="119" t="n"/>
      <c r="N17" s="118" t="n"/>
      <c r="O17" s="119" t="n"/>
      <c r="P17" s="119" t="n"/>
      <c r="Q17" s="119" t="n"/>
      <c r="R17" s="119" t="n"/>
      <c r="S17" s="118" t="n"/>
      <c r="T17" s="119" t="n"/>
      <c r="U17" s="118" t="n"/>
      <c r="V17" s="118" t="n"/>
      <c r="W17" s="119" t="n"/>
      <c r="X17" s="119" t="n"/>
    </row>
    <row r="18">
      <c r="A18" s="119" t="n"/>
      <c r="B18" s="119" t="n"/>
      <c r="C18" s="118" t="n"/>
      <c r="D18" s="118" t="n"/>
      <c r="E18" s="119" t="n"/>
      <c r="F18" s="117" t="n"/>
      <c r="G18" s="118" t="n"/>
      <c r="H18" s="118" t="n"/>
      <c r="I18" s="120" t="n"/>
      <c r="J18" s="117" t="n"/>
      <c r="K18" s="119" t="n"/>
      <c r="L18" s="118" t="n"/>
      <c r="M18" s="119" t="n"/>
      <c r="N18" s="118" t="n"/>
      <c r="O18" s="119" t="n"/>
      <c r="P18" s="119" t="n"/>
      <c r="Q18" s="119" t="n"/>
      <c r="R18" s="119" t="n"/>
      <c r="S18" s="118" t="n"/>
      <c r="T18" s="119" t="n"/>
      <c r="U18" s="118" t="n"/>
      <c r="V18" s="118" t="n"/>
      <c r="W18" s="119" t="n"/>
      <c r="X18" s="119" t="n"/>
    </row>
    <row r="19" ht="17" customHeight="1">
      <c r="A19" s="117" t="inlineStr">
        <is>
          <t>begin group</t>
        </is>
      </c>
      <c r="B19" s="117" t="inlineStr">
        <is>
          <t>identification</t>
        </is>
      </c>
      <c r="C19" s="120" t="inlineStr">
        <is>
          <t>Identification</t>
        </is>
      </c>
      <c r="D19" s="118" t="n"/>
      <c r="E19" s="119" t="n"/>
      <c r="F19" s="119" t="n"/>
      <c r="G19" s="118" t="n"/>
      <c r="H19" s="118" t="n"/>
      <c r="I19" s="120" t="n"/>
      <c r="J19" s="117" t="n"/>
      <c r="K19" s="119" t="n"/>
      <c r="L19" s="118" t="n"/>
      <c r="M19" s="119" t="n"/>
      <c r="N19" s="118" t="n"/>
      <c r="O19" s="119" t="n"/>
      <c r="P19" s="119" t="n"/>
      <c r="Q19" s="119" t="n"/>
      <c r="R19" s="119" t="n"/>
      <c r="S19" s="118" t="n"/>
      <c r="T19" s="119" t="n"/>
      <c r="U19" s="118" t="n"/>
      <c r="V19" s="118" t="n"/>
      <c r="W19" s="119" t="n"/>
      <c r="X19" s="119" t="n"/>
    </row>
    <row r="20" ht="68" customHeight="1">
      <c r="A20" s="117" t="inlineStr">
        <is>
          <t>text</t>
        </is>
      </c>
      <c r="B20" s="117" t="inlineStr">
        <is>
          <t>temp_search_fac</t>
        </is>
      </c>
      <c r="C20" s="120" t="inlineStr">
        <is>
          <t>Please search for your name here:</t>
        </is>
      </c>
      <c r="D20" s="120" t="inlineStr">
        <is>
          <t>To see a list of ALL teacher names, leave the search bar blank and continue to the next screen.</t>
        </is>
      </c>
      <c r="E20" s="119" t="n"/>
      <c r="F20" s="119" t="n"/>
      <c r="G20" s="118" t="n"/>
      <c r="H20" s="118" t="n"/>
      <c r="I20" s="120" t="n"/>
      <c r="J20" s="117" t="n"/>
      <c r="K20" s="119" t="n"/>
      <c r="L20" s="118" t="n"/>
      <c r="M20" s="119" t="n"/>
      <c r="N20" s="118" t="n"/>
      <c r="O20" s="119" t="n"/>
      <c r="P20" s="119" t="n"/>
      <c r="Q20" s="119" t="n"/>
      <c r="R20" s="119" t="n"/>
      <c r="S20" s="118" t="n"/>
      <c r="T20" s="119" t="n"/>
      <c r="U20" s="118" t="n"/>
      <c r="V20" s="118" t="n"/>
      <c r="W20" s="119" t="n"/>
      <c r="X20" s="119" t="n"/>
    </row>
    <row r="21" ht="34" customHeight="1">
      <c r="A21" s="117" t="inlineStr">
        <is>
          <t>select_one facilitator</t>
        </is>
      </c>
      <c r="B21" s="117" t="inlineStr">
        <is>
          <t>facilitator_id_b</t>
        </is>
      </c>
      <c r="C21" s="120" t="inlineStr">
        <is>
          <t>Please select your name:</t>
        </is>
      </c>
      <c r="D21" s="118" t="n"/>
      <c r="E21" s="119" t="n"/>
      <c r="F21" s="117" t="inlineStr">
        <is>
          <t>search('cases_facilitator_database_ph', 'contains', 'label', ${temp_search_fac}, 'mEducation', '1')</t>
        </is>
      </c>
      <c r="G21" s="118" t="n"/>
      <c r="H21" s="118" t="n"/>
      <c r="I21" s="120" t="n"/>
      <c r="J21" s="117" t="n"/>
      <c r="K21" s="117" t="inlineStr">
        <is>
          <t>yes</t>
        </is>
      </c>
      <c r="L21" s="118" t="n"/>
      <c r="M21" s="119" t="n"/>
      <c r="N21" s="118" t="n"/>
      <c r="O21" s="119" t="n"/>
      <c r="P21" s="119" t="n"/>
      <c r="Q21" s="119" t="n"/>
      <c r="R21" s="119" t="n"/>
      <c r="S21" s="118" t="n"/>
      <c r="T21" s="119" t="n"/>
      <c r="U21" s="118" t="n"/>
      <c r="V21" s="118" t="n"/>
      <c r="W21" s="119" t="n"/>
      <c r="X21" s="119" t="n"/>
    </row>
    <row r="22" ht="17" customHeight="1">
      <c r="A22" s="117" t="inlineStr">
        <is>
          <t>calculate</t>
        </is>
      </c>
      <c r="B22" s="117" t="inlineStr">
        <is>
          <t>fac_sens_hh_count</t>
        </is>
      </c>
      <c r="C22" s="120" t="inlineStr">
        <is>
          <t>Counts how many households a teacher has already sensitized</t>
        </is>
      </c>
      <c r="D22" s="118" t="n"/>
      <c r="E22" s="119" t="n"/>
      <c r="F22" s="119" t="n"/>
      <c r="G22" s="118" t="n"/>
      <c r="H22" s="118" t="n"/>
      <c r="I22" s="120" t="n"/>
      <c r="J22" s="117" t="n"/>
      <c r="K22" s="119" t="n"/>
      <c r="L22" s="118" t="n"/>
      <c r="M22" s="119" t="n"/>
      <c r="N22" s="120" t="inlineStr">
        <is>
          <t>coalesce(pulldata('cases_connected_teachers_ph', 'sens_hh_count', 'facilitator_id_b', ${facilitator_id_b}), 0)</t>
        </is>
      </c>
      <c r="O22" s="119" t="n"/>
      <c r="P22" s="119" t="n"/>
      <c r="Q22" s="119" t="n"/>
      <c r="R22" s="119" t="n"/>
      <c r="S22" s="118" t="n"/>
      <c r="T22" s="119" t="n"/>
      <c r="U22" s="118" t="n"/>
      <c r="V22" s="118" t="n"/>
      <c r="W22" s="119" t="n"/>
      <c r="X22" s="119" t="n"/>
    </row>
    <row r="23" ht="17" customHeight="1">
      <c r="A23" s="117" t="inlineStr">
        <is>
          <t>calculate</t>
        </is>
      </c>
      <c r="B23" s="117" t="inlineStr">
        <is>
          <t>volunteer_region</t>
        </is>
      </c>
      <c r="C23" s="120" t="inlineStr">
        <is>
          <t>Pulls the preferred region of the volunteer from the server dataset cases_connected_teachers_ph</t>
        </is>
      </c>
      <c r="D23" s="118" t="n"/>
      <c r="E23" s="119" t="n"/>
      <c r="F23" s="119" t="n"/>
      <c r="G23" s="118" t="n"/>
      <c r="H23" s="118" t="n"/>
      <c r="I23" s="120" t="n"/>
      <c r="J23" s="117" t="n"/>
      <c r="K23" s="119" t="n"/>
      <c r="L23" s="118" t="n"/>
      <c r="M23" s="119" t="n"/>
      <c r="N23" s="120" t="inlineStr">
        <is>
          <t>pulldata('cases_connected_teachers_ph', 'pref_region', 'facilitator_id_b', ${facilitator_id_b})</t>
        </is>
      </c>
      <c r="O23" s="119" t="n"/>
      <c r="P23" s="119" t="n"/>
      <c r="Q23" s="119" t="n"/>
      <c r="R23" s="119" t="n"/>
      <c r="S23" s="118" t="n"/>
      <c r="T23" s="119" t="n"/>
      <c r="U23" s="118" t="n"/>
      <c r="V23" s="118" t="n"/>
      <c r="W23" s="119" t="n"/>
      <c r="X23" s="119" t="n"/>
    </row>
    <row r="24" ht="102" customHeight="1">
      <c r="A24" s="117" t="inlineStr">
        <is>
          <t>note</t>
        </is>
      </c>
      <c r="B24" s="117" t="inlineStr">
        <is>
          <t>note_fac_sens_hh_count</t>
        </is>
      </c>
      <c r="C24" s="120" t="inlineStr">
        <is>
          <t>DISABLE AFTER TESTING:
&lt;br&gt;
&lt;br&gt;
fac_sens_hh_count: ${fac_sens_hh_count} &lt;br&gt;&lt;br&gt;
fac_position_b: ${fac_position_b} &lt;br&gt;&lt;br&gt;
volunteer_region: ${volunteer_region}</t>
        </is>
      </c>
      <c r="D24" s="118" t="n"/>
      <c r="E24" s="119" t="n"/>
      <c r="F24" s="119" t="n"/>
      <c r="G24" s="118" t="n"/>
      <c r="H24" s="118" t="n"/>
      <c r="I24" s="120" t="n"/>
      <c r="J24" s="117" t="inlineStr">
        <is>
          <t>yes</t>
        </is>
      </c>
      <c r="K24" s="119" t="n"/>
      <c r="L24" s="118" t="n"/>
      <c r="M24" s="119" t="n"/>
      <c r="N24" s="118" t="n"/>
      <c r="O24" s="119" t="n"/>
      <c r="P24" s="119" t="n"/>
      <c r="Q24" s="119" t="n"/>
      <c r="R24" s="119" t="n"/>
      <c r="S24" s="118" t="n"/>
      <c r="T24" s="119" t="n"/>
      <c r="U24" s="118" t="n"/>
      <c r="V24" s="118" t="n"/>
      <c r="W24" s="119" t="n"/>
      <c r="X24" s="119" t="n"/>
    </row>
    <row r="25" ht="34" customHeight="1">
      <c r="A25" s="117" t="inlineStr">
        <is>
          <t>note</t>
        </is>
      </c>
      <c r="B25" s="117" t="inlineStr">
        <is>
          <t>note_volunteers</t>
        </is>
      </c>
      <c r="C25" s="120" t="inlineStr">
        <is>
          <t xml:space="preserve">You are a volunteer. Please download the sensitization survey for volunteers ('Get Blank Form') in the subfolder 'Term 2 Volunteers'. </t>
        </is>
      </c>
      <c r="D25" s="118" t="n"/>
      <c r="E25" s="119" t="n"/>
      <c r="F25" s="119" t="n"/>
      <c r="G25" s="118" t="n"/>
      <c r="H25" s="118" t="n"/>
      <c r="I25" s="120" t="inlineStr">
        <is>
          <t>${fac_position_b} = 'Volunteer'</t>
        </is>
      </c>
      <c r="J25" s="117" t="n"/>
      <c r="K25" s="117" t="inlineStr">
        <is>
          <t>yes</t>
        </is>
      </c>
      <c r="L25" s="118" t="n"/>
      <c r="M25" s="119" t="n"/>
      <c r="N25" s="118" t="n"/>
      <c r="O25" s="119" t="n"/>
      <c r="P25" s="119" t="n"/>
      <c r="Q25" s="119" t="n"/>
      <c r="R25" s="119" t="n"/>
      <c r="S25" s="118" t="n"/>
      <c r="T25" s="119" t="n"/>
      <c r="U25" s="118" t="n"/>
      <c r="V25" s="118" t="n"/>
      <c r="W25" s="119" t="n"/>
      <c r="X25" s="119" t="n"/>
    </row>
    <row r="26" ht="85" customHeight="1">
      <c r="A26" s="117" t="inlineStr">
        <is>
          <t>note</t>
        </is>
      </c>
      <c r="B26" s="117" t="inlineStr">
        <is>
          <t>warning_sens_hh_count</t>
        </is>
      </c>
      <c r="C26" s="122" t="inlineStr">
        <is>
          <t>&lt;p&gt;&lt;span style="color: #ff0000;"&gt;&lt;strong&gt;WARNING!&lt;/strong&gt;&lt;/span&gt;&lt;br /&gt; &lt;br /&gt;&lt;span style="color: #ff0000;"&gt;&lt;/p&gt;
&lt;p&gt;&lt;span style="color: #ff0000;"&gt;You've already sensitized ${fac_sens_hh_count} students. Please sensitize the rest in October only.&lt;/span&gt;&lt;br /&gt; &lt;br /&gt;&lt;span style="color: #ff0000;"&gt;&lt;/p&gt;</t>
        </is>
      </c>
      <c r="D26" s="118" t="n"/>
      <c r="E26" s="119" t="n"/>
      <c r="F26" s="119" t="n"/>
      <c r="G26" s="118" t="n"/>
      <c r="H26" s="118" t="n"/>
      <c r="I26" s="120" t="inlineStr">
        <is>
          <t>${fac_sens_hh_count} &gt; 4 and ${fac_position_b} != 'Volunteer'</t>
        </is>
      </c>
      <c r="J26" s="117" t="inlineStr">
        <is>
          <t>yes</t>
        </is>
      </c>
      <c r="K26" s="117" t="inlineStr">
        <is>
          <t>yes</t>
        </is>
      </c>
      <c r="L26" s="118" t="n"/>
      <c r="M26" s="119" t="n"/>
      <c r="N26" s="118" t="n"/>
      <c r="O26" s="119" t="n"/>
      <c r="P26" s="119" t="n"/>
      <c r="Q26" s="119" t="n"/>
      <c r="R26" s="119" t="n"/>
      <c r="S26" s="118" t="n"/>
      <c r="T26" s="119" t="n"/>
      <c r="U26" s="118" t="n"/>
      <c r="V26" s="118" t="n"/>
      <c r="W26" s="119" t="n"/>
      <c r="X26" s="119" t="n"/>
    </row>
    <row r="27" ht="34" customHeight="1">
      <c r="A27" s="117" t="inlineStr">
        <is>
          <t>select_one student</t>
        </is>
      </c>
      <c r="B27" s="117" t="inlineStr">
        <is>
          <t>hhid_teachers</t>
        </is>
      </c>
      <c r="C27" s="120" t="inlineStr">
        <is>
          <t>Please select the student you want to call:</t>
        </is>
      </c>
      <c r="D27" s="118" t="n"/>
      <c r="E27" s="119" t="n"/>
      <c r="F27" s="117" t="inlineStr">
        <is>
          <t>search('cases_connected_ph', 'contains', 'school_id_b', ${fac_school_id_b}, 'enrolled_this_term', '1')</t>
        </is>
      </c>
      <c r="G27" s="118" t="n"/>
      <c r="H27" s="118" t="n"/>
      <c r="I27" s="120" t="inlineStr">
        <is>
          <t>${fac_position_b} != 'Volunteer'</t>
        </is>
      </c>
      <c r="J27" s="117" t="n"/>
      <c r="K27" s="117" t="inlineStr">
        <is>
          <t>yes</t>
        </is>
      </c>
      <c r="L27" s="118" t="n"/>
      <c r="M27" s="119" t="n"/>
      <c r="N27" s="118" t="n"/>
      <c r="O27" s="119" t="n"/>
      <c r="P27" s="119" t="n"/>
      <c r="Q27" s="119" t="n"/>
      <c r="R27" s="119" t="n"/>
      <c r="S27" s="118" t="n"/>
      <c r="T27" s="119" t="n"/>
      <c r="U27" s="118" t="n"/>
      <c r="V27" s="118" t="n"/>
      <c r="W27" s="119" t="n"/>
      <c r="X27" s="119" t="n"/>
    </row>
    <row r="28" ht="17" customHeight="1">
      <c r="A28" s="117" t="inlineStr">
        <is>
          <t>select_one student_volunteer</t>
        </is>
      </c>
      <c r="B28" s="117" t="inlineStr">
        <is>
          <t>hhid_volunteers</t>
        </is>
      </c>
      <c r="C28" s="120" t="inlineStr">
        <is>
          <t>Please select the student you want to call:</t>
        </is>
      </c>
      <c r="D28" s="118" t="n"/>
      <c r="E28" s="119" t="n"/>
      <c r="F28" s="117" t="inlineStr">
        <is>
          <t>search('cases_connected_ph', 'contains', 'vol_picked', '1')</t>
        </is>
      </c>
      <c r="G28" s="118" t="n"/>
      <c r="H28" s="118" t="n"/>
      <c r="I28" s="120" t="inlineStr">
        <is>
          <t>${fac_position_b} = 'Volunteer'</t>
        </is>
      </c>
      <c r="J28" s="117" t="n"/>
      <c r="K28" s="117" t="inlineStr">
        <is>
          <t>yes</t>
        </is>
      </c>
      <c r="L28" s="118" t="n"/>
      <c r="M28" s="119" t="n"/>
      <c r="N28" s="118" t="n"/>
      <c r="O28" s="119" t="n"/>
      <c r="P28" s="119" t="n"/>
      <c r="Q28" s="119" t="n"/>
      <c r="R28" s="119" t="n"/>
      <c r="S28" s="118" t="n"/>
      <c r="T28" s="119" t="n"/>
      <c r="U28" s="118" t="n"/>
      <c r="V28" s="118" t="n"/>
      <c r="W28" s="119" t="n"/>
      <c r="X28" s="119" t="n"/>
    </row>
    <row r="29" ht="85" customHeight="1">
      <c r="A29" s="117" t="inlineStr">
        <is>
          <t>note</t>
        </is>
      </c>
      <c r="B29" s="117" t="inlineStr">
        <is>
          <t>warning_assessed</t>
        </is>
      </c>
      <c r="C29" s="122" t="inlineStr">
        <is>
          <t>&lt;p&gt;&lt;span style="color: #ff0000;"&gt;&lt;strong&gt;WARNING!&lt;/strong&gt;&lt;/span&gt;&lt;br /&gt; &lt;br /&gt;&lt;span style="color: #ff0000;"&gt;&lt;/p&gt;
&lt;p&gt;&lt;span style="color: #ff0000;"&gt;The student you selected has already been levelled/assessed. Please choose a different student to call.&lt;/span&gt;&lt;br /&gt; &lt;br /&gt;&lt;span style="color: #ff0000;"&gt;&lt;/p&gt;</t>
        </is>
      </c>
      <c r="D29" s="118" t="n"/>
      <c r="E29" s="119" t="n"/>
      <c r="F29" s="119" t="n"/>
      <c r="G29" s="118" t="n"/>
      <c r="H29" s="118" t="n"/>
      <c r="I29" s="120" t="inlineStr">
        <is>
          <t>${levelled_prev} = 1</t>
        </is>
      </c>
      <c r="J29" s="117" t="n"/>
      <c r="K29" s="117" t="inlineStr">
        <is>
          <t>yes</t>
        </is>
      </c>
      <c r="L29" s="118" t="n"/>
      <c r="M29" s="119" t="n"/>
      <c r="N29" s="118" t="n"/>
      <c r="O29" s="119" t="n"/>
      <c r="P29" s="119" t="n"/>
      <c r="Q29" s="119" t="n"/>
      <c r="R29" s="119" t="n"/>
      <c r="S29" s="118" t="n"/>
      <c r="T29" s="119" t="n"/>
      <c r="U29" s="118" t="n"/>
      <c r="V29" s="118" t="n"/>
      <c r="W29" s="119" t="n"/>
      <c r="X29" s="119" t="n"/>
    </row>
    <row r="30" ht="85" customHeight="1">
      <c r="A30" s="117" t="inlineStr">
        <is>
          <t>note</t>
        </is>
      </c>
      <c r="B30" s="117" t="inlineStr">
        <is>
          <t>warning_nonconsent</t>
        </is>
      </c>
      <c r="C30" s="122" t="inlineStr">
        <is>
          <t>&lt;p&gt;&lt;span style="color: #ff0000;"&gt;&lt;strong&gt;WARNING!&lt;/strong&gt;&lt;/span&gt;&lt;br /&gt; &lt;br /&gt;&lt;span style="color: #ff0000;"&gt;&lt;/p&gt;
&lt;p&gt;&lt;span style="color: #ff0000;"&gt;The household did not consent to participate. Please select a different household to call.&lt;/span&gt;&lt;br /&gt; &lt;br /&gt;&lt;span style="color: #ff0000;"&gt;&lt;/p&gt;</t>
        </is>
      </c>
      <c r="D30" s="118" t="n"/>
      <c r="E30" s="119" t="n"/>
      <c r="F30" s="119" t="n"/>
      <c r="G30" s="118" t="n"/>
      <c r="H30" s="118" t="n"/>
      <c r="I30" s="120" t="inlineStr">
        <is>
          <t>${consented_prev} = 0</t>
        </is>
      </c>
      <c r="J30" s="117" t="n"/>
      <c r="K30" s="117" t="inlineStr">
        <is>
          <t>yes</t>
        </is>
      </c>
      <c r="L30" s="118" t="n"/>
      <c r="M30" s="119" t="n"/>
      <c r="N30" s="118" t="n"/>
      <c r="O30" s="119" t="n"/>
      <c r="P30" s="119" t="n"/>
      <c r="Q30" s="119" t="n"/>
      <c r="R30" s="119" t="n"/>
      <c r="S30" s="118" t="n"/>
      <c r="T30" s="119" t="n"/>
      <c r="U30" s="118" t="n"/>
      <c r="V30" s="118" t="n"/>
      <c r="W30" s="119" t="n"/>
      <c r="X30" s="119" t="n"/>
    </row>
    <row r="31" ht="102" customHeight="1">
      <c r="A31" s="117" t="inlineStr">
        <is>
          <t>note</t>
        </is>
      </c>
      <c r="B31" s="117" t="inlineStr">
        <is>
          <t>warning_wrongno</t>
        </is>
      </c>
      <c r="C31" s="122" t="inlineStr">
        <is>
          <t>&lt;p&gt;&lt;span style="color: #ff0000;"&gt;&lt;strong&gt;WARNING!&lt;/strong&gt;&lt;/span&gt;&lt;br /&gt; &lt;br /&gt;&lt;span style="color: #ff0000;"&gt;&lt;/p&gt;
&lt;p&gt;&lt;span style="color: #ff0000;"&gt;You reported that the only available phone number to contact the student is wrong. Please select a different household to call.&lt;/span&gt;&lt;br /&gt; &lt;br /&gt;&lt;span style="color: #ff0000;"&gt;&lt;/p&gt;</t>
        </is>
      </c>
      <c r="D31" s="118" t="n"/>
      <c r="E31" s="119" t="n"/>
      <c r="F31" s="119" t="n"/>
      <c r="G31" s="118" t="n"/>
      <c r="H31" s="118" t="n"/>
      <c r="I31" s="120" t="inlineStr">
        <is>
          <t>${wrong_no_prev} = 1</t>
        </is>
      </c>
      <c r="J31" s="117" t="n"/>
      <c r="K31" s="117" t="inlineStr">
        <is>
          <t>yes</t>
        </is>
      </c>
      <c r="L31" s="118" t="n"/>
      <c r="M31" s="119" t="n"/>
      <c r="N31" s="118" t="n"/>
      <c r="O31" s="119" t="n"/>
      <c r="P31" s="119" t="n"/>
      <c r="Q31" s="119" t="n"/>
      <c r="R31" s="119" t="n"/>
      <c r="S31" s="118" t="n"/>
      <c r="T31" s="119" t="n"/>
      <c r="U31" s="118" t="n"/>
      <c r="V31" s="118" t="n"/>
      <c r="W31" s="119" t="n"/>
      <c r="X31" s="119" t="n"/>
    </row>
    <row r="32">
      <c r="A32" s="117" t="inlineStr">
        <is>
          <t>end group</t>
        </is>
      </c>
      <c r="B32" s="117" t="inlineStr">
        <is>
          <t>identification</t>
        </is>
      </c>
      <c r="C32" s="120" t="n"/>
      <c r="D32" s="118" t="n"/>
      <c r="E32" s="119" t="n"/>
      <c r="F32" s="119" t="n"/>
      <c r="G32" s="118" t="n"/>
      <c r="H32" s="118" t="n"/>
      <c r="I32" s="120" t="n"/>
      <c r="J32" s="117" t="n"/>
      <c r="K32" s="119" t="n"/>
      <c r="L32" s="118" t="n"/>
      <c r="M32" s="119" t="n"/>
      <c r="N32" s="118" t="n"/>
      <c r="O32" s="119" t="n"/>
      <c r="P32" s="119" t="n"/>
      <c r="Q32" s="119" t="n"/>
      <c r="R32" s="119" t="n"/>
      <c r="S32" s="118" t="n"/>
      <c r="T32" s="119" t="n"/>
      <c r="U32" s="118" t="n"/>
      <c r="V32" s="118" t="n"/>
      <c r="W32" s="119" t="n"/>
      <c r="X32" s="119" t="n"/>
    </row>
    <row r="33">
      <c r="A33" s="119" t="n"/>
      <c r="B33" s="119" t="n"/>
      <c r="C33" s="118" t="n"/>
      <c r="D33" s="118" t="n"/>
      <c r="E33" s="119" t="n"/>
      <c r="F33" s="117" t="n"/>
      <c r="G33" s="118" t="n"/>
      <c r="H33" s="118" t="n"/>
      <c r="I33" s="120" t="n"/>
      <c r="J33" s="117" t="n"/>
      <c r="K33" s="119" t="n"/>
      <c r="L33" s="118" t="n"/>
      <c r="M33" s="119" t="n"/>
      <c r="N33" s="118" t="n"/>
      <c r="O33" s="119" t="n"/>
      <c r="P33" s="119" t="n"/>
      <c r="Q33" s="119" t="n"/>
      <c r="R33" s="119" t="n"/>
      <c r="S33" s="118" t="n"/>
      <c r="T33" s="119" t="n"/>
      <c r="U33" s="118" t="n"/>
      <c r="V33" s="118" t="n"/>
      <c r="W33" s="119" t="n"/>
      <c r="X33" s="119" t="n"/>
    </row>
    <row r="34" ht="17" customHeight="1">
      <c r="A34" s="117" t="inlineStr">
        <is>
          <t>calculate</t>
        </is>
      </c>
      <c r="B34" s="117" t="inlineStr">
        <is>
          <t>facilitator_b</t>
        </is>
      </c>
      <c r="C34" s="120" t="inlineStr">
        <is>
          <t>Pulls the name of the facilitator/teacher from the facilitator database</t>
        </is>
      </c>
      <c r="D34" s="118" t="n"/>
      <c r="E34" s="119" t="n"/>
      <c r="F34" s="119" t="n"/>
      <c r="G34" s="118" t="n"/>
      <c r="H34" s="118" t="n"/>
      <c r="I34" s="120" t="n"/>
      <c r="J34" s="117" t="n"/>
      <c r="K34" s="119" t="n"/>
      <c r="L34" s="118" t="n"/>
      <c r="M34" s="119" t="n"/>
      <c r="N34" s="120" t="inlineStr">
        <is>
          <t>pulldata('cases_facilitator_database_ph', 'label', 'id', ${facilitator_id_b})</t>
        </is>
      </c>
      <c r="O34" s="119" t="n"/>
      <c r="P34" s="119" t="n"/>
      <c r="Q34" s="119" t="n"/>
      <c r="R34" s="119" t="n"/>
      <c r="S34" s="118" t="n"/>
      <c r="T34" s="119" t="n"/>
      <c r="U34" s="118" t="n"/>
      <c r="V34" s="118" t="n"/>
      <c r="W34" s="119" t="n"/>
      <c r="X34" s="119" t="n"/>
    </row>
    <row r="35" ht="17" customHeight="1">
      <c r="A35" s="117" t="inlineStr">
        <is>
          <t>calculate</t>
        </is>
      </c>
      <c r="B35" s="117" t="inlineStr">
        <is>
          <t>fac_natl_id_b</t>
        </is>
      </c>
      <c r="C35" s="120" t="inlineStr">
        <is>
          <t>Pulls the national/employee ID of the facilitator/teacher from the facilitator database</t>
        </is>
      </c>
      <c r="D35" s="118" t="n"/>
      <c r="E35" s="119" t="n"/>
      <c r="F35" s="119" t="n"/>
      <c r="G35" s="118" t="n"/>
      <c r="H35" s="118" t="n"/>
      <c r="I35" s="120" t="n"/>
      <c r="J35" s="117" t="n"/>
      <c r="K35" s="119" t="n"/>
      <c r="L35" s="118" t="n"/>
      <c r="M35" s="119" t="n"/>
      <c r="N35" s="120" t="inlineStr">
        <is>
          <t>pulldata('cases_facilitator_database_ph', 'fac_EMIS', 'id', ${facilitator_id_b})</t>
        </is>
      </c>
      <c r="O35" s="119" t="n"/>
      <c r="P35" s="119" t="n"/>
      <c r="Q35" s="119" t="n"/>
      <c r="R35" s="119" t="n"/>
      <c r="S35" s="118" t="n"/>
      <c r="T35" s="119" t="n"/>
      <c r="U35" s="118" t="n"/>
      <c r="V35" s="118" t="n"/>
      <c r="W35" s="119" t="n"/>
      <c r="X35" s="119" t="n"/>
    </row>
    <row r="36" ht="17" customHeight="1">
      <c r="A36" s="117" t="inlineStr">
        <is>
          <t>calculate</t>
        </is>
      </c>
      <c r="B36" s="117" t="inlineStr">
        <is>
          <t>fac_school_b</t>
        </is>
      </c>
      <c r="C36" s="120" t="inlineStr">
        <is>
          <t>Pulls the name of the school from the facilitator database</t>
        </is>
      </c>
      <c r="D36" s="118" t="n"/>
      <c r="E36" s="119" t="n"/>
      <c r="F36" s="119" t="n"/>
      <c r="G36" s="118" t="n"/>
      <c r="H36" s="118" t="n"/>
      <c r="I36" s="120" t="n"/>
      <c r="J36" s="117" t="n"/>
      <c r="K36" s="119" t="n"/>
      <c r="L36" s="118" t="n"/>
      <c r="M36" s="119" t="n"/>
      <c r="N36" s="120" t="inlineStr">
        <is>
          <t>pulldata('cases_facilitator_database_ph', 'program_school_name', 'id', ${facilitator_id_b})</t>
        </is>
      </c>
      <c r="O36" s="119" t="n"/>
      <c r="P36" s="119" t="n"/>
      <c r="Q36" s="119" t="n"/>
      <c r="R36" s="119" t="n"/>
      <c r="S36" s="118" t="n"/>
      <c r="T36" s="119" t="n"/>
      <c r="U36" s="118" t="n"/>
      <c r="V36" s="118" t="n"/>
      <c r="W36" s="119" t="n"/>
      <c r="X36" s="119" t="n"/>
    </row>
    <row r="37" ht="17" customHeight="1">
      <c r="A37" s="117" t="inlineStr">
        <is>
          <t>calculate</t>
        </is>
      </c>
      <c r="B37" s="117" t="inlineStr">
        <is>
          <t>fac_school_id_b</t>
        </is>
      </c>
      <c r="C37" s="120" t="inlineStr">
        <is>
          <t>Pulls the school ID from the facilitator database</t>
        </is>
      </c>
      <c r="D37" s="118" t="n"/>
      <c r="E37" s="119" t="n"/>
      <c r="F37" s="119" t="n"/>
      <c r="G37" s="118" t="n"/>
      <c r="H37" s="118" t="n"/>
      <c r="I37" s="120" t="n"/>
      <c r="J37" s="117" t="n"/>
      <c r="K37" s="119" t="n"/>
      <c r="L37" s="118" t="n"/>
      <c r="M37" s="119" t="n"/>
      <c r="N37" s="120" t="inlineStr">
        <is>
          <t>pulldata('cases_facilitator_database_ph', 'program_school_id', 'id', ${facilitator_id_b})</t>
        </is>
      </c>
      <c r="O37" s="119" t="n"/>
      <c r="P37" s="119" t="n"/>
      <c r="Q37" s="119" t="n"/>
      <c r="R37" s="119" t="n"/>
      <c r="S37" s="118" t="n"/>
      <c r="T37" s="119" t="n"/>
      <c r="U37" s="118" t="n"/>
      <c r="V37" s="118" t="n"/>
      <c r="W37" s="119" t="n"/>
      <c r="X37" s="119" t="n"/>
    </row>
    <row r="38" ht="17" customHeight="1">
      <c r="A38" s="117" t="inlineStr">
        <is>
          <t>calculate</t>
        </is>
      </c>
      <c r="B38" s="117" t="inlineStr">
        <is>
          <t>fac_region_b</t>
        </is>
      </c>
      <c r="C38" s="120" t="inlineStr">
        <is>
          <t>Pulls the name of the region from the facilitator database</t>
        </is>
      </c>
      <c r="D38" s="118" t="n"/>
      <c r="E38" s="119" t="n"/>
      <c r="F38" s="119" t="n"/>
      <c r="G38" s="118" t="n"/>
      <c r="H38" s="118" t="n"/>
      <c r="I38" s="120" t="n"/>
      <c r="J38" s="117" t="n"/>
      <c r="K38" s="119" t="n"/>
      <c r="L38" s="118" t="n"/>
      <c r="M38" s="119" t="n"/>
      <c r="N38" s="120" t="inlineStr">
        <is>
          <t>pulldata('cases_facilitator_database_ph', 'program_region', 'id', ${facilitator_id_b})</t>
        </is>
      </c>
      <c r="O38" s="119" t="n"/>
      <c r="P38" s="119" t="n"/>
      <c r="Q38" s="119" t="n"/>
      <c r="R38" s="119" t="n"/>
      <c r="S38" s="118" t="n"/>
      <c r="T38" s="119" t="n"/>
      <c r="U38" s="118" t="n"/>
      <c r="V38" s="118" t="n"/>
      <c r="W38" s="119" t="n"/>
      <c r="X38" s="119" t="n"/>
    </row>
    <row r="39" ht="17" customHeight="1">
      <c r="A39" s="117" t="inlineStr">
        <is>
          <t>calculate</t>
        </is>
      </c>
      <c r="B39" s="117" t="inlineStr">
        <is>
          <t>fac_position_b</t>
        </is>
      </c>
      <c r="C39" s="120" t="inlineStr">
        <is>
          <t>Pulls the position of the facilitator from the facilitator database (teacher vs. university student)</t>
        </is>
      </c>
      <c r="D39" s="118" t="n"/>
      <c r="E39" s="119" t="n"/>
      <c r="F39" s="119" t="n"/>
      <c r="G39" s="118" t="n"/>
      <c r="H39" s="118" t="n"/>
      <c r="I39" s="120" t="n"/>
      <c r="J39" s="117" t="n"/>
      <c r="K39" s="119" t="n"/>
      <c r="L39" s="118" t="n"/>
      <c r="M39" s="119" t="n"/>
      <c r="N39" s="120" t="inlineStr">
        <is>
          <t>pulldata('cases_facilitator_database_ph', 'fac_position', 'id', ${facilitator_id_b})</t>
        </is>
      </c>
      <c r="O39" s="119" t="n"/>
      <c r="P39" s="119" t="n"/>
      <c r="Q39" s="119" t="n"/>
      <c r="R39" s="119" t="n"/>
      <c r="S39" s="118" t="n"/>
      <c r="T39" s="119" t="n"/>
      <c r="U39" s="118" t="n"/>
      <c r="V39" s="118" t="n"/>
      <c r="W39" s="119" t="n"/>
      <c r="X39" s="119" t="n"/>
    </row>
    <row r="40">
      <c r="A40" s="119" t="n"/>
      <c r="B40" s="119" t="n"/>
      <c r="C40" s="118" t="n"/>
      <c r="D40" s="118" t="n"/>
      <c r="E40" s="119" t="n"/>
      <c r="F40" s="119" t="n"/>
      <c r="G40" s="118" t="n"/>
      <c r="H40" s="118" t="n"/>
      <c r="I40" s="118" t="n"/>
      <c r="J40" s="119" t="n"/>
      <c r="K40" s="119" t="n"/>
      <c r="L40" s="118" t="n"/>
      <c r="M40" s="119" t="n"/>
      <c r="N40" s="118" t="n"/>
      <c r="O40" s="119" t="n"/>
      <c r="P40" s="119" t="n"/>
      <c r="Q40" s="119" t="n"/>
      <c r="R40" s="119" t="n"/>
      <c r="S40" s="118" t="n"/>
      <c r="T40" s="119" t="n"/>
      <c r="U40" s="118" t="n"/>
      <c r="V40" s="118" t="n"/>
      <c r="W40" s="119" t="n"/>
      <c r="X40" s="119" t="n"/>
    </row>
    <row r="41" ht="17" customHeight="1">
      <c r="A41" s="117" t="inlineStr">
        <is>
          <t>calculate</t>
        </is>
      </c>
      <c r="B41" s="117" t="inlineStr">
        <is>
          <t>hhid</t>
        </is>
      </c>
      <c r="C41" s="120" t="inlineStr">
        <is>
          <t>Coalesces the hhid from hhid_teachers and hhid_volunteers.</t>
        </is>
      </c>
      <c r="D41" s="118" t="n"/>
      <c r="E41" s="119" t="n"/>
      <c r="F41" s="119" t="n"/>
      <c r="G41" s="118" t="n"/>
      <c r="H41" s="118" t="n"/>
      <c r="I41" s="120" t="n"/>
      <c r="J41" s="117" t="n"/>
      <c r="K41" s="119" t="n"/>
      <c r="L41" s="118" t="n"/>
      <c r="M41" s="119" t="n"/>
      <c r="N41" s="120" t="inlineStr">
        <is>
          <t>coalesce(${hhid_teachers}, ${hhid_volunteers})</t>
        </is>
      </c>
      <c r="O41" s="119" t="n"/>
      <c r="P41" s="119" t="n"/>
      <c r="Q41" s="119" t="n"/>
      <c r="R41" s="119" t="n"/>
      <c r="S41" s="118" t="n"/>
      <c r="T41" s="119" t="n"/>
      <c r="U41" s="118" t="n"/>
      <c r="V41" s="118" t="n"/>
      <c r="W41" s="119" t="n"/>
      <c r="X41" s="119" t="n"/>
    </row>
    <row r="42" ht="17" customHeight="1">
      <c r="A42" s="117" t="inlineStr">
        <is>
          <t>calculate</t>
        </is>
      </c>
      <c r="B42" s="117" t="inlineStr">
        <is>
          <t>stud_name</t>
        </is>
      </c>
      <c r="C42" s="120" t="inlineStr">
        <is>
          <t>Pulls student name from cases_students dataset</t>
        </is>
      </c>
      <c r="D42" s="118" t="n"/>
      <c r="E42" s="119" t="n"/>
      <c r="F42" s="119" t="n"/>
      <c r="G42" s="118" t="n"/>
      <c r="H42" s="118" t="n"/>
      <c r="I42" s="120" t="n"/>
      <c r="J42" s="117" t="n"/>
      <c r="K42" s="119" t="n"/>
      <c r="L42" s="118" t="n"/>
      <c r="M42" s="119" t="n"/>
      <c r="N42" s="120" t="inlineStr">
        <is>
          <t>pulldata('cases_connected_ph', 'stud_name_b', 'hhid', ${hhid})</t>
        </is>
      </c>
      <c r="O42" s="119" t="n"/>
      <c r="P42" s="119" t="n"/>
      <c r="Q42" s="119" t="n"/>
      <c r="R42" s="119" t="n"/>
      <c r="S42" s="118" t="n"/>
      <c r="T42" s="119" t="n"/>
      <c r="U42" s="118" t="n"/>
      <c r="V42" s="118" t="n"/>
      <c r="W42" s="119" t="n"/>
      <c r="X42" s="119" t="n"/>
    </row>
    <row r="43" ht="17" customHeight="1">
      <c r="A43" s="117" t="inlineStr">
        <is>
          <t>calculate</t>
        </is>
      </c>
      <c r="B43" s="117" t="inlineStr">
        <is>
          <t>learner_id</t>
        </is>
      </c>
      <c r="C43" s="120" t="inlineStr">
        <is>
          <t>Pulls govt-issued student ID from cases_students dataset</t>
        </is>
      </c>
      <c r="D43" s="118" t="n"/>
      <c r="E43" s="119" t="n"/>
      <c r="F43" s="119" t="n"/>
      <c r="G43" s="118" t="n"/>
      <c r="H43" s="118" t="n"/>
      <c r="I43" s="120" t="n"/>
      <c r="J43" s="117" t="n"/>
      <c r="K43" s="119" t="n"/>
      <c r="L43" s="118" t="n"/>
      <c r="M43" s="119" t="n"/>
      <c r="N43" s="120" t="inlineStr">
        <is>
          <t>pulldata('cases_connected_ph', 'learner_id', 'hhid', ${hhid})</t>
        </is>
      </c>
      <c r="O43" s="119" t="n"/>
      <c r="P43" s="119" t="n"/>
      <c r="Q43" s="119" t="n"/>
      <c r="R43" s="119" t="n"/>
      <c r="S43" s="118" t="n"/>
      <c r="T43" s="119" t="n"/>
      <c r="U43" s="118" t="n"/>
      <c r="V43" s="118" t="n"/>
      <c r="W43" s="119" t="n"/>
      <c r="X43" s="119" t="n"/>
    </row>
    <row r="44" ht="17" customHeight="1">
      <c r="A44" s="117" t="inlineStr">
        <is>
          <t>calculate</t>
        </is>
      </c>
      <c r="B44" s="117" t="inlineStr">
        <is>
          <t>school</t>
        </is>
      </c>
      <c r="C44" s="120" t="inlineStr">
        <is>
          <t>Pulls the name of the school from cases_students dataset</t>
        </is>
      </c>
      <c r="D44" s="118" t="n"/>
      <c r="E44" s="119" t="n"/>
      <c r="F44" s="119" t="n"/>
      <c r="G44" s="118" t="n"/>
      <c r="H44" s="118" t="n"/>
      <c r="I44" s="120" t="n"/>
      <c r="J44" s="117" t="n"/>
      <c r="K44" s="119" t="n"/>
      <c r="L44" s="118" t="n"/>
      <c r="M44" s="119" t="n"/>
      <c r="N44" s="120" t="inlineStr">
        <is>
          <t>pulldata('cases_connected_ph', 'school_b', 'hhid', ${hhid})</t>
        </is>
      </c>
      <c r="O44" s="119" t="n"/>
      <c r="P44" s="119" t="n"/>
      <c r="Q44" s="119" t="n"/>
      <c r="R44" s="119" t="n"/>
      <c r="S44" s="118" t="n"/>
      <c r="T44" s="119" t="n"/>
      <c r="U44" s="118" t="n"/>
      <c r="V44" s="118" t="n"/>
      <c r="W44" s="119" t="n"/>
      <c r="X44" s="119" t="n"/>
    </row>
    <row r="45" ht="17" customHeight="1">
      <c r="A45" s="117" t="inlineStr">
        <is>
          <t>calculate</t>
        </is>
      </c>
      <c r="B45" s="117" t="inlineStr">
        <is>
          <t>school_id</t>
        </is>
      </c>
      <c r="C45" s="120" t="inlineStr">
        <is>
          <t>Pulls school ID from cases_students dataset</t>
        </is>
      </c>
      <c r="D45" s="118" t="n"/>
      <c r="E45" s="119" t="n"/>
      <c r="F45" s="119" t="n"/>
      <c r="G45" s="118" t="n"/>
      <c r="H45" s="118" t="n"/>
      <c r="I45" s="120" t="n"/>
      <c r="J45" s="117" t="n"/>
      <c r="K45" s="119" t="n"/>
      <c r="L45" s="118" t="n"/>
      <c r="M45" s="119" t="n"/>
      <c r="N45" s="120" t="inlineStr">
        <is>
          <t>pulldata('cases_connected_ph', 'school_id_b', 'hhid', ${hhid})</t>
        </is>
      </c>
      <c r="O45" s="119" t="n"/>
      <c r="P45" s="119" t="n"/>
      <c r="Q45" s="119" t="n"/>
      <c r="R45" s="119" t="n"/>
      <c r="S45" s="118" t="n"/>
      <c r="T45" s="119" t="n"/>
      <c r="U45" s="118" t="n"/>
      <c r="V45" s="118" t="n"/>
      <c r="W45" s="119" t="n"/>
      <c r="X45" s="119" t="n"/>
    </row>
    <row r="46" ht="17" customHeight="1">
      <c r="A46" s="117" t="inlineStr">
        <is>
          <t>calculate</t>
        </is>
      </c>
      <c r="B46" s="117" t="inlineStr">
        <is>
          <t>region</t>
        </is>
      </c>
      <c r="C46" s="120" t="inlineStr">
        <is>
          <t>Pulls region from cases_students dataset</t>
        </is>
      </c>
      <c r="D46" s="118" t="n"/>
      <c r="E46" s="119" t="n"/>
      <c r="F46" s="119" t="n"/>
      <c r="G46" s="118" t="n"/>
      <c r="H46" s="118" t="n"/>
      <c r="I46" s="120" t="n"/>
      <c r="J46" s="117" t="n"/>
      <c r="K46" s="119" t="n"/>
      <c r="L46" s="118" t="n"/>
      <c r="M46" s="119" t="n"/>
      <c r="N46" s="120" t="inlineStr">
        <is>
          <t>pulldata('cases_connected_ph', 'region_b', 'hhid', ${hhid})</t>
        </is>
      </c>
      <c r="O46" s="119" t="n"/>
      <c r="P46" s="119" t="n"/>
      <c r="Q46" s="119" t="n"/>
      <c r="R46" s="119" t="n"/>
      <c r="S46" s="118" t="n"/>
      <c r="T46" s="119" t="n"/>
      <c r="U46" s="118" t="n"/>
      <c r="V46" s="118" t="n"/>
      <c r="W46" s="119" t="n"/>
      <c r="X46" s="119" t="n"/>
    </row>
    <row r="47" ht="17" customHeight="1">
      <c r="A47" s="117" t="inlineStr">
        <is>
          <t>calculate</t>
        </is>
      </c>
      <c r="B47" s="117" t="inlineStr">
        <is>
          <t>grade</t>
        </is>
      </c>
      <c r="C47" s="120" t="inlineStr">
        <is>
          <t>Pulls student grade from cases_students dataset</t>
        </is>
      </c>
      <c r="D47" s="118" t="n"/>
      <c r="E47" s="119" t="n"/>
      <c r="F47" s="119" t="n"/>
      <c r="G47" s="118" t="n"/>
      <c r="H47" s="118" t="n"/>
      <c r="I47" s="120" t="n"/>
      <c r="J47" s="117" t="n"/>
      <c r="K47" s="119" t="n"/>
      <c r="L47" s="118" t="n"/>
      <c r="M47" s="119" t="n"/>
      <c r="N47" s="120" t="inlineStr">
        <is>
          <t>pulldata('cases_connected_ph', 'stud_std_b', 'hhid', ${hhid})</t>
        </is>
      </c>
      <c r="O47" s="119" t="n"/>
      <c r="P47" s="119" t="n"/>
      <c r="Q47" s="119" t="n"/>
      <c r="R47" s="119" t="n"/>
      <c r="S47" s="118" t="n"/>
      <c r="T47" s="119" t="n"/>
      <c r="U47" s="118" t="n"/>
      <c r="V47" s="118" t="n"/>
      <c r="W47" s="119" t="n"/>
      <c r="X47" s="119" t="n"/>
    </row>
    <row r="48" ht="17" customHeight="1">
      <c r="A48" s="117" t="inlineStr">
        <is>
          <t>calculate</t>
        </is>
      </c>
      <c r="B48" s="117" t="inlineStr">
        <is>
          <t>age</t>
        </is>
      </c>
      <c r="C48" s="120" t="inlineStr">
        <is>
          <t>Pulls student age from cases_students dataset</t>
        </is>
      </c>
      <c r="D48" s="118" t="n"/>
      <c r="E48" s="119" t="n"/>
      <c r="F48" s="119" t="n"/>
      <c r="G48" s="118" t="n"/>
      <c r="H48" s="118" t="n"/>
      <c r="I48" s="120" t="n"/>
      <c r="J48" s="117" t="n"/>
      <c r="K48" s="119" t="n"/>
      <c r="L48" s="118" t="n"/>
      <c r="M48" s="119" t="n"/>
      <c r="N48" s="120" t="inlineStr">
        <is>
          <t>pulldata('cases_connected_ph', 'stud_age_b', 'hhid', ${hhid})</t>
        </is>
      </c>
      <c r="O48" s="119" t="n"/>
      <c r="P48" s="119" t="n"/>
      <c r="Q48" s="119" t="n"/>
      <c r="R48" s="119" t="n"/>
      <c r="S48" s="118" t="n"/>
      <c r="T48" s="119" t="n"/>
      <c r="U48" s="118" t="n"/>
      <c r="V48" s="118" t="n"/>
      <c r="W48" s="119" t="n"/>
      <c r="X48" s="119" t="n"/>
    </row>
    <row r="49" ht="17" customHeight="1">
      <c r="A49" s="117" t="inlineStr">
        <is>
          <t>calculate</t>
        </is>
      </c>
      <c r="B49" s="117" t="inlineStr">
        <is>
          <t>gender</t>
        </is>
      </c>
      <c r="C49" s="120" t="inlineStr">
        <is>
          <t>Pulls student gender from cases_students dataset</t>
        </is>
      </c>
      <c r="D49" s="118" t="n"/>
      <c r="E49" s="119" t="n"/>
      <c r="F49" s="119" t="n"/>
      <c r="G49" s="118" t="n"/>
      <c r="H49" s="118" t="n"/>
      <c r="I49" s="120" t="n"/>
      <c r="J49" s="117" t="n"/>
      <c r="K49" s="119" t="n"/>
      <c r="L49" s="118" t="n"/>
      <c r="M49" s="119" t="n"/>
      <c r="N49" s="120" t="inlineStr">
        <is>
          <t>pulldata('cases_connected_ph', 'stud_female_lab_b', 'hhid', ${hhid})</t>
        </is>
      </c>
      <c r="O49" s="119" t="n"/>
      <c r="P49" s="119" t="n"/>
      <c r="Q49" s="119" t="n"/>
      <c r="R49" s="119" t="n"/>
      <c r="S49" s="118" t="n"/>
      <c r="T49" s="119" t="n"/>
      <c r="U49" s="118" t="n"/>
      <c r="V49" s="118" t="n"/>
      <c r="W49" s="119" t="n"/>
      <c r="X49" s="119" t="n"/>
    </row>
    <row r="50" ht="17" customHeight="1">
      <c r="A50" s="117" t="inlineStr">
        <is>
          <t>calculate</t>
        </is>
      </c>
      <c r="B50" s="117" t="inlineStr">
        <is>
          <t>care_name</t>
        </is>
      </c>
      <c r="C50" s="120" t="inlineStr">
        <is>
          <t>Pulls caregiver name from cases_students dataset</t>
        </is>
      </c>
      <c r="D50" s="118" t="n"/>
      <c r="E50" s="119" t="n"/>
      <c r="F50" s="119" t="n"/>
      <c r="G50" s="118" t="n"/>
      <c r="H50" s="118" t="n"/>
      <c r="I50" s="120" t="n"/>
      <c r="J50" s="117" t="n"/>
      <c r="K50" s="119" t="n"/>
      <c r="L50" s="118" t="n"/>
      <c r="M50" s="119" t="n"/>
      <c r="N50" s="120" t="inlineStr">
        <is>
          <t>pulldata('cases_connected_ph', 'care_name_b', 'hhid', ${hhid})</t>
        </is>
      </c>
      <c r="O50" s="119" t="n"/>
      <c r="P50" s="119" t="n"/>
      <c r="Q50" s="119" t="n"/>
      <c r="R50" s="119" t="n"/>
      <c r="S50" s="118" t="n"/>
      <c r="T50" s="119" t="n"/>
      <c r="U50" s="118" t="n"/>
      <c r="V50" s="118" t="n"/>
      <c r="W50" s="119" t="n"/>
      <c r="X50" s="119" t="n"/>
    </row>
    <row r="51" ht="17" customHeight="1">
      <c r="A51" s="117" t="inlineStr">
        <is>
          <t>calculate</t>
        </is>
      </c>
      <c r="B51" s="117" t="inlineStr">
        <is>
          <t>care_rel</t>
        </is>
      </c>
      <c r="C51" s="120" t="inlineStr">
        <is>
          <t>Pulls caregiver relationship to student from cases_students dataset</t>
        </is>
      </c>
      <c r="D51" s="118" t="n"/>
      <c r="E51" s="119" t="n"/>
      <c r="F51" s="119" t="n"/>
      <c r="G51" s="118" t="n"/>
      <c r="H51" s="118" t="n"/>
      <c r="I51" s="120" t="n"/>
      <c r="J51" s="117" t="n"/>
      <c r="K51" s="119" t="n"/>
      <c r="L51" s="118" t="n"/>
      <c r="M51" s="119" t="n"/>
      <c r="N51" s="120" t="inlineStr">
        <is>
          <t>pulldata('cases_connected_ph', 'care_rel2_b', 'hhid', ${hhid})</t>
        </is>
      </c>
      <c r="O51" s="119" t="n"/>
      <c r="P51" s="119" t="n"/>
      <c r="Q51" s="119" t="n"/>
      <c r="R51" s="119" t="n"/>
      <c r="S51" s="118" t="n"/>
      <c r="T51" s="119" t="n"/>
      <c r="U51" s="118" t="n"/>
      <c r="V51" s="118" t="n"/>
      <c r="W51" s="119" t="n"/>
      <c r="X51" s="119" t="n"/>
    </row>
    <row r="52" ht="17" customHeight="1">
      <c r="A52" s="117" t="inlineStr">
        <is>
          <t>calculate</t>
        </is>
      </c>
      <c r="B52" s="117" t="inlineStr">
        <is>
          <t>care_rel_lab</t>
        </is>
      </c>
      <c r="C52" s="120" t="inlineStr">
        <is>
          <t>Pulls caregiver relationship to student from cases_students dataset</t>
        </is>
      </c>
      <c r="D52" s="118" t="n"/>
      <c r="E52" s="119" t="n"/>
      <c r="F52" s="119" t="n"/>
      <c r="G52" s="118" t="n"/>
      <c r="H52" s="118" t="n"/>
      <c r="I52" s="120" t="n"/>
      <c r="J52" s="117" t="n"/>
      <c r="K52" s="119" t="n"/>
      <c r="L52" s="118" t="n"/>
      <c r="M52" s="119" t="n"/>
      <c r="N52" s="120" t="inlineStr">
        <is>
          <t>pulldata('cases_connected_ph', 'care_rel2_lab_b', 'hhid', ${hhid})</t>
        </is>
      </c>
      <c r="O52" s="119" t="n"/>
      <c r="P52" s="119" t="n"/>
      <c r="Q52" s="119" t="n"/>
      <c r="R52" s="119" t="n"/>
      <c r="S52" s="118" t="n"/>
      <c r="T52" s="119" t="n"/>
      <c r="U52" s="118" t="n"/>
      <c r="V52" s="118" t="n"/>
      <c r="W52" s="119" t="n"/>
      <c r="X52" s="119" t="n"/>
    </row>
    <row r="53" ht="17" customHeight="1">
      <c r="A53" s="117" t="inlineStr">
        <is>
          <t>calculate</t>
        </is>
      </c>
      <c r="B53" s="117" t="inlineStr">
        <is>
          <t>contacts</t>
        </is>
      </c>
      <c r="C53" s="120" t="inlineStr">
        <is>
          <t>Pulls no. of available  from cases_students dataset</t>
        </is>
      </c>
      <c r="D53" s="118" t="n"/>
      <c r="E53" s="119" t="n"/>
      <c r="F53" s="119" t="n"/>
      <c r="G53" s="118" t="n"/>
      <c r="H53" s="118" t="n"/>
      <c r="I53" s="120" t="n"/>
      <c r="J53" s="117" t="n"/>
      <c r="K53" s="119" t="n"/>
      <c r="L53" s="118" t="n"/>
      <c r="M53" s="119" t="n"/>
      <c r="N53" s="120" t="inlineStr">
        <is>
          <t>pulldata('cases_connected_ph', 'contacts', 'hhid', ${hhid})</t>
        </is>
      </c>
      <c r="O53" s="119" t="n"/>
      <c r="P53" s="119" t="n"/>
      <c r="Q53" s="119" t="n"/>
      <c r="R53" s="119" t="n"/>
      <c r="S53" s="118" t="n"/>
      <c r="T53" s="119" t="n"/>
      <c r="U53" s="118" t="n"/>
      <c r="V53" s="118" t="n"/>
      <c r="W53" s="119" t="n"/>
      <c r="X53" s="119" t="n"/>
    </row>
    <row r="54" ht="17" customHeight="1">
      <c r="A54" s="117" t="inlineStr">
        <is>
          <t>calculate</t>
        </is>
      </c>
      <c r="B54" s="117" t="inlineStr">
        <is>
          <t>phone1</t>
        </is>
      </c>
      <c r="C54" s="120" t="inlineStr">
        <is>
          <t>Pulls phone number from cases_students dataset</t>
        </is>
      </c>
      <c r="D54" s="118" t="n"/>
      <c r="E54" s="119" t="n"/>
      <c r="F54" s="119" t="n"/>
      <c r="G54" s="118" t="n"/>
      <c r="H54" s="118" t="n"/>
      <c r="I54" s="120" t="n"/>
      <c r="J54" s="117" t="n"/>
      <c r="K54" s="119" t="n"/>
      <c r="L54" s="118" t="n"/>
      <c r="M54" s="119" t="n"/>
      <c r="N54" s="120" t="inlineStr">
        <is>
          <t>pulldata('cases_connected_ph', 'phone1', 'hhid', ${hhid})</t>
        </is>
      </c>
      <c r="O54" s="119" t="n"/>
      <c r="P54" s="119" t="n"/>
      <c r="Q54" s="119" t="n"/>
      <c r="R54" s="119" t="n"/>
      <c r="S54" s="118" t="n"/>
      <c r="T54" s="119" t="n"/>
      <c r="U54" s="118" t="n"/>
      <c r="V54" s="118" t="n"/>
      <c r="W54" s="119" t="n"/>
      <c r="X54" s="119" t="n"/>
    </row>
    <row r="55" ht="17" customHeight="1">
      <c r="A55" s="117" t="inlineStr">
        <is>
          <t>calculate</t>
        </is>
      </c>
      <c r="B55" s="117" t="inlineStr">
        <is>
          <t>phone1_name</t>
        </is>
      </c>
      <c r="C55" s="120" t="inlineStr">
        <is>
          <t>Pulls name of phone owner from cases_students dataset</t>
        </is>
      </c>
      <c r="D55" s="118" t="n"/>
      <c r="E55" s="119" t="n"/>
      <c r="F55" s="119" t="n"/>
      <c r="G55" s="118" t="n"/>
      <c r="H55" s="118" t="n"/>
      <c r="I55" s="120" t="n"/>
      <c r="J55" s="117" t="n"/>
      <c r="K55" s="119" t="n"/>
      <c r="L55" s="118" t="n"/>
      <c r="M55" s="119" t="n"/>
      <c r="N55" s="120" t="inlineStr">
        <is>
          <t>pulldata('cases_connected_ph', 'phone1_name', 'hhid', ${hhid})</t>
        </is>
      </c>
      <c r="O55" s="119" t="n"/>
      <c r="P55" s="119" t="n"/>
      <c r="Q55" s="119" t="n"/>
      <c r="R55" s="119" t="n"/>
      <c r="S55" s="118" t="n"/>
      <c r="T55" s="119" t="n"/>
      <c r="U55" s="118" t="n"/>
      <c r="V55" s="118" t="n"/>
      <c r="W55" s="119" t="n"/>
      <c r="X55" s="119" t="n"/>
    </row>
    <row r="56" ht="17" customHeight="1">
      <c r="A56" s="117" t="inlineStr">
        <is>
          <t>calculate</t>
        </is>
      </c>
      <c r="B56" s="117" t="inlineStr">
        <is>
          <t>phone1_rel</t>
        </is>
      </c>
      <c r="C56" s="120" t="inlineStr">
        <is>
          <t>Pulls phone owner's relationship to student from cases_students dataset</t>
        </is>
      </c>
      <c r="D56" s="118" t="n"/>
      <c r="E56" s="119" t="n"/>
      <c r="F56" s="119" t="n"/>
      <c r="G56" s="118" t="n"/>
      <c r="H56" s="118" t="n"/>
      <c r="I56" s="120" t="n"/>
      <c r="J56" s="117" t="n"/>
      <c r="K56" s="119" t="n"/>
      <c r="L56" s="118" t="n"/>
      <c r="M56" s="119" t="n"/>
      <c r="N56" s="120" t="inlineStr">
        <is>
          <t>pulldata('cases_connected_ph', 'phone1_rel', 'hhid', ${hhid})</t>
        </is>
      </c>
      <c r="O56" s="119" t="n"/>
      <c r="P56" s="119" t="n"/>
      <c r="Q56" s="119" t="n"/>
      <c r="R56" s="119" t="n"/>
      <c r="S56" s="118" t="n"/>
      <c r="T56" s="119" t="n"/>
      <c r="U56" s="118" t="n"/>
      <c r="V56" s="118" t="n"/>
      <c r="W56" s="119" t="n"/>
      <c r="X56" s="119" t="n"/>
    </row>
    <row r="57" ht="17" customHeight="1">
      <c r="A57" s="117" t="inlineStr">
        <is>
          <t>calculate</t>
        </is>
      </c>
      <c r="B57" s="117" t="inlineStr">
        <is>
          <t>phone2</t>
        </is>
      </c>
      <c r="C57" s="120" t="inlineStr">
        <is>
          <t>Pulls phone number from cases_students dataset</t>
        </is>
      </c>
      <c r="D57" s="118" t="n"/>
      <c r="E57" s="119" t="n"/>
      <c r="F57" s="119" t="n"/>
      <c r="G57" s="118" t="n"/>
      <c r="H57" s="118" t="n"/>
      <c r="I57" s="120" t="n"/>
      <c r="J57" s="117" t="n"/>
      <c r="K57" s="119" t="n"/>
      <c r="L57" s="118" t="n"/>
      <c r="M57" s="119" t="n"/>
      <c r="N57" s="120" t="inlineStr">
        <is>
          <t>pulldata('cases_connected_ph', 'phone2', 'hhid', ${hhid})</t>
        </is>
      </c>
      <c r="O57" s="119" t="n"/>
      <c r="P57" s="119" t="n"/>
      <c r="Q57" s="119" t="n"/>
      <c r="R57" s="119" t="n"/>
      <c r="S57" s="118" t="n"/>
      <c r="T57" s="119" t="n"/>
      <c r="U57" s="118" t="n"/>
      <c r="V57" s="118" t="n"/>
      <c r="W57" s="119" t="n"/>
      <c r="X57" s="119" t="n"/>
    </row>
    <row r="58" ht="17" customHeight="1">
      <c r="A58" s="117" t="inlineStr">
        <is>
          <t>calculate</t>
        </is>
      </c>
      <c r="B58" s="117" t="inlineStr">
        <is>
          <t>phone2_name</t>
        </is>
      </c>
      <c r="C58" s="120" t="inlineStr">
        <is>
          <t>Pulls name of phone owner from cases_students dataset</t>
        </is>
      </c>
      <c r="D58" s="118" t="n"/>
      <c r="E58" s="119" t="n"/>
      <c r="F58" s="119" t="n"/>
      <c r="G58" s="118" t="n"/>
      <c r="H58" s="118" t="n"/>
      <c r="I58" s="120" t="n"/>
      <c r="J58" s="117" t="n"/>
      <c r="K58" s="119" t="n"/>
      <c r="L58" s="118" t="n"/>
      <c r="M58" s="119" t="n"/>
      <c r="N58" s="120" t="inlineStr">
        <is>
          <t>pulldata('cases_connected_ph', 'phone2_name', 'hhid', ${hhid})</t>
        </is>
      </c>
      <c r="O58" s="119" t="n"/>
      <c r="P58" s="119" t="n"/>
      <c r="Q58" s="119" t="n"/>
      <c r="R58" s="119" t="n"/>
      <c r="S58" s="118" t="n"/>
      <c r="T58" s="119" t="n"/>
      <c r="U58" s="118" t="n"/>
      <c r="V58" s="118" t="n"/>
      <c r="W58" s="119" t="n"/>
      <c r="X58" s="119" t="n"/>
    </row>
    <row r="59" ht="17" customHeight="1">
      <c r="A59" s="117" t="inlineStr">
        <is>
          <t>calculate</t>
        </is>
      </c>
      <c r="B59" s="117" t="inlineStr">
        <is>
          <t>phone2_rel</t>
        </is>
      </c>
      <c r="C59" s="120" t="inlineStr">
        <is>
          <t>Pulls phone owner's relationship to student from cases_students dataset</t>
        </is>
      </c>
      <c r="D59" s="118" t="n"/>
      <c r="E59" s="119" t="n"/>
      <c r="F59" s="119" t="n"/>
      <c r="G59" s="118" t="n"/>
      <c r="H59" s="118" t="n"/>
      <c r="I59" s="120" t="n"/>
      <c r="J59" s="117" t="n"/>
      <c r="K59" s="119" t="n"/>
      <c r="L59" s="118" t="n"/>
      <c r="M59" s="119" t="n"/>
      <c r="N59" s="120" t="inlineStr">
        <is>
          <t>pulldata('cases_connected_ph', 'phone2_rel', 'hhid', ${hhid})</t>
        </is>
      </c>
      <c r="O59" s="119" t="n"/>
      <c r="P59" s="119" t="n"/>
      <c r="Q59" s="119" t="n"/>
      <c r="R59" s="119" t="n"/>
      <c r="S59" s="118" t="n"/>
      <c r="T59" s="119" t="n"/>
      <c r="U59" s="118" t="n"/>
      <c r="V59" s="118" t="n"/>
      <c r="W59" s="119" t="n"/>
      <c r="X59" s="119" t="n"/>
    </row>
    <row r="60" ht="17" customHeight="1">
      <c r="A60" s="117" t="inlineStr">
        <is>
          <t>calculate</t>
        </is>
      </c>
      <c r="B60" s="117" t="inlineStr">
        <is>
          <t>phone3</t>
        </is>
      </c>
      <c r="C60" s="120" t="inlineStr">
        <is>
          <t>Pulls phone number from cases_students dataset</t>
        </is>
      </c>
      <c r="D60" s="118" t="n"/>
      <c r="E60" s="119" t="n"/>
      <c r="F60" s="119" t="n"/>
      <c r="G60" s="118" t="n"/>
      <c r="H60" s="118" t="n"/>
      <c r="I60" s="120" t="n"/>
      <c r="J60" s="117" t="n"/>
      <c r="K60" s="119" t="n"/>
      <c r="L60" s="118" t="n"/>
      <c r="M60" s="119" t="n"/>
      <c r="N60" s="120" t="inlineStr">
        <is>
          <t>pulldata('cases_connected_ph', 'phone3', 'hhid', ${hhid})</t>
        </is>
      </c>
      <c r="O60" s="119" t="n"/>
      <c r="P60" s="119" t="n"/>
      <c r="Q60" s="119" t="n"/>
      <c r="R60" s="119" t="n"/>
      <c r="S60" s="118" t="n"/>
      <c r="T60" s="119" t="n"/>
      <c r="U60" s="118" t="n"/>
      <c r="V60" s="118" t="n"/>
      <c r="W60" s="119" t="n"/>
      <c r="X60" s="119" t="n"/>
    </row>
    <row r="61" ht="17" customHeight="1">
      <c r="A61" s="117" t="inlineStr">
        <is>
          <t>calculate</t>
        </is>
      </c>
      <c r="B61" s="117" t="inlineStr">
        <is>
          <t>phone3_name</t>
        </is>
      </c>
      <c r="C61" s="120" t="inlineStr">
        <is>
          <t>Pulls name of phone owner from cases_students dataset</t>
        </is>
      </c>
      <c r="D61" s="118" t="n"/>
      <c r="E61" s="119" t="n"/>
      <c r="F61" s="119" t="n"/>
      <c r="G61" s="118" t="n"/>
      <c r="H61" s="118" t="n"/>
      <c r="I61" s="120" t="n"/>
      <c r="J61" s="117" t="n"/>
      <c r="K61" s="119" t="n"/>
      <c r="L61" s="118" t="n"/>
      <c r="M61" s="119" t="n"/>
      <c r="N61" s="120" t="inlineStr">
        <is>
          <t>pulldata('cases_connected_ph', 'phone3_name', 'hhid', ${hhid})</t>
        </is>
      </c>
      <c r="O61" s="119" t="n"/>
      <c r="P61" s="119" t="n"/>
      <c r="Q61" s="119" t="n"/>
      <c r="R61" s="119" t="n"/>
      <c r="S61" s="118" t="n"/>
      <c r="T61" s="119" t="n"/>
      <c r="U61" s="118" t="n"/>
      <c r="V61" s="118" t="n"/>
      <c r="W61" s="119" t="n"/>
      <c r="X61" s="119" t="n"/>
    </row>
    <row r="62" ht="17" customHeight="1">
      <c r="A62" s="117" t="inlineStr">
        <is>
          <t>calculate</t>
        </is>
      </c>
      <c r="B62" s="117" t="inlineStr">
        <is>
          <t>phone3_rel</t>
        </is>
      </c>
      <c r="C62" s="120" t="inlineStr">
        <is>
          <t>Pulls phone owner's relationship to student from cases_students dataset</t>
        </is>
      </c>
      <c r="D62" s="118" t="n"/>
      <c r="E62" s="119" t="n"/>
      <c r="F62" s="119" t="n"/>
      <c r="G62" s="118" t="n"/>
      <c r="H62" s="118" t="n"/>
      <c r="I62" s="120" t="n"/>
      <c r="J62" s="117" t="n"/>
      <c r="K62" s="119" t="n"/>
      <c r="L62" s="118" t="n"/>
      <c r="M62" s="119" t="n"/>
      <c r="N62" s="120" t="inlineStr">
        <is>
          <t>pulldata('cases_connected_ph', 'phone3_rel', 'hhid', ${hhid})</t>
        </is>
      </c>
      <c r="O62" s="119" t="n"/>
      <c r="P62" s="119" t="n"/>
      <c r="Q62" s="119" t="n"/>
      <c r="R62" s="119" t="n"/>
      <c r="S62" s="118" t="n"/>
      <c r="T62" s="119" t="n"/>
      <c r="U62" s="118" t="n"/>
      <c r="V62" s="118" t="n"/>
      <c r="W62" s="119" t="n"/>
      <c r="X62" s="119" t="n"/>
    </row>
    <row r="63" ht="17" customHeight="1">
      <c r="A63" s="117" t="inlineStr">
        <is>
          <t>calculate</t>
        </is>
      </c>
      <c r="B63" s="117" t="inlineStr">
        <is>
          <t>wrong_no_prev</t>
        </is>
      </c>
      <c r="C63" s="120" t="inlineStr">
        <is>
          <t>Returns 1 if wrong number and no other phone number available</t>
        </is>
      </c>
      <c r="D63" s="118" t="n"/>
      <c r="E63" s="119" t="n"/>
      <c r="F63" s="119" t="n"/>
      <c r="G63" s="118" t="n"/>
      <c r="H63" s="118" t="n"/>
      <c r="I63" s="120" t="n"/>
      <c r="J63" s="117" t="n"/>
      <c r="K63" s="119" t="n"/>
      <c r="L63" s="118" t="n"/>
      <c r="M63" s="119" t="n"/>
      <c r="N63" s="120" t="inlineStr">
        <is>
          <t>pulldata('cases_connected_ph', 'wrong_no', 'hhid', ${hhid})</t>
        </is>
      </c>
      <c r="O63" s="119" t="n"/>
      <c r="P63" s="119" t="n"/>
      <c r="Q63" s="119" t="n"/>
      <c r="R63" s="119" t="n"/>
      <c r="S63" s="118" t="n"/>
      <c r="T63" s="119" t="n"/>
      <c r="U63" s="118" t="n"/>
      <c r="V63" s="118" t="n"/>
      <c r="W63" s="119" t="n"/>
      <c r="X63" s="119" t="n"/>
    </row>
    <row r="64" ht="17" customHeight="1">
      <c r="A64" s="117" t="inlineStr">
        <is>
          <t>calculate</t>
        </is>
      </c>
      <c r="B64" s="117" t="inlineStr">
        <is>
          <t>levelled_prev</t>
        </is>
      </c>
      <c r="C64" s="120" t="inlineStr">
        <is>
          <t>Returns 1 if student is levelled/assessed in a previous call; pulled from cases_students dataset</t>
        </is>
      </c>
      <c r="D64" s="118" t="n"/>
      <c r="E64" s="119" t="n"/>
      <c r="F64" s="119" t="n"/>
      <c r="G64" s="118" t="n"/>
      <c r="H64" s="118" t="n"/>
      <c r="I64" s="120" t="n"/>
      <c r="J64" s="117" t="n"/>
      <c r="K64" s="119" t="n"/>
      <c r="L64" s="118" t="n"/>
      <c r="M64" s="119" t="n"/>
      <c r="N64" s="120" t="inlineStr">
        <is>
          <t>pulldata('cases_connected_ph', 'stud_levelled_b', 'hhid', ${hhid})</t>
        </is>
      </c>
      <c r="O64" s="119" t="n"/>
      <c r="P64" s="119" t="n"/>
      <c r="Q64" s="119" t="n"/>
      <c r="R64" s="119" t="n"/>
      <c r="S64" s="118" t="n"/>
      <c r="T64" s="119" t="n"/>
      <c r="U64" s="118" t="n"/>
      <c r="V64" s="118" t="n"/>
      <c r="W64" s="119" t="n"/>
      <c r="X64" s="119" t="n"/>
    </row>
    <row r="65" ht="17" customHeight="1">
      <c r="A65" s="117" t="inlineStr">
        <is>
          <t>calculate</t>
        </is>
      </c>
      <c r="B65" s="117" t="inlineStr">
        <is>
          <t>consented_prev</t>
        </is>
      </c>
      <c r="C65" s="120" t="inlineStr">
        <is>
          <t>Pulls consent from cases_students dataset</t>
        </is>
      </c>
      <c r="D65" s="118" t="n"/>
      <c r="E65" s="119" t="n"/>
      <c r="F65" s="119" t="n"/>
      <c r="G65" s="118" t="n"/>
      <c r="H65" s="118" t="n"/>
      <c r="I65" s="120" t="n"/>
      <c r="J65" s="117" t="n"/>
      <c r="K65" s="119" t="n"/>
      <c r="L65" s="118" t="n"/>
      <c r="M65" s="119" t="n"/>
      <c r="N65" s="120" t="inlineStr">
        <is>
          <t>pulldata('cases_connected_ph', 'consent_b', 'hhid', ${hhid})</t>
        </is>
      </c>
      <c r="O65" s="119" t="n"/>
      <c r="P65" s="119" t="n"/>
      <c r="Q65" s="119" t="n"/>
      <c r="R65" s="119" t="n"/>
      <c r="S65" s="118" t="n"/>
      <c r="T65" s="119" t="n"/>
      <c r="U65" s="118" t="n"/>
      <c r="V65" s="118" t="n"/>
      <c r="W65" s="119" t="n"/>
      <c r="X65" s="119" t="n"/>
    </row>
    <row r="66" ht="17" customHeight="1">
      <c r="A66" s="117" t="inlineStr">
        <is>
          <t>calculate</t>
        </is>
      </c>
      <c r="B66" s="117" t="inlineStr">
        <is>
          <t>caregiver_interviewed_prev</t>
        </is>
      </c>
      <c r="C66" s="120" t="inlineStr">
        <is>
          <t>Returns 1 if caregiver is interviewed on a previous call</t>
        </is>
      </c>
      <c r="D66" s="118" t="n"/>
      <c r="E66" s="119" t="n"/>
      <c r="F66" s="119" t="n"/>
      <c r="G66" s="118" t="n"/>
      <c r="H66" s="118" t="n"/>
      <c r="I66" s="120" t="n"/>
      <c r="J66" s="117" t="n"/>
      <c r="K66" s="119" t="n"/>
      <c r="L66" s="118" t="n"/>
      <c r="M66" s="119" t="n"/>
      <c r="N66" s="120" t="inlineStr">
        <is>
          <t>pulldata('cases_connected_ph', 'caregiver_interviewed_b', 'hhid', ${hhid})</t>
        </is>
      </c>
      <c r="O66" s="119" t="n"/>
      <c r="P66" s="119" t="n"/>
      <c r="Q66" s="119" t="n"/>
      <c r="R66" s="119" t="n"/>
      <c r="S66" s="118" t="n"/>
      <c r="T66" s="119" t="n"/>
      <c r="U66" s="118" t="n"/>
      <c r="V66" s="118" t="n"/>
      <c r="W66" s="119" t="n"/>
      <c r="X66" s="119" t="n"/>
    </row>
    <row r="67">
      <c r="A67" s="119" t="n"/>
      <c r="B67" s="119" t="n"/>
      <c r="C67" s="118" t="n"/>
      <c r="D67" s="118" t="n"/>
      <c r="E67" s="119" t="n"/>
      <c r="F67" s="119" t="n"/>
      <c r="G67" s="118" t="n"/>
      <c r="H67" s="118" t="n"/>
      <c r="I67" s="118" t="n"/>
      <c r="J67" s="119" t="n"/>
      <c r="K67" s="119" t="n"/>
      <c r="L67" s="118" t="n"/>
      <c r="M67" s="119" t="n"/>
      <c r="N67" s="118" t="n"/>
      <c r="O67" s="119" t="n"/>
      <c r="P67" s="119" t="n"/>
      <c r="Q67" s="119" t="n"/>
      <c r="R67" s="119" t="n"/>
      <c r="S67" s="118" t="n"/>
      <c r="T67" s="119" t="n"/>
      <c r="U67" s="118" t="n"/>
      <c r="V67" s="118" t="n"/>
      <c r="W67" s="119" t="n"/>
      <c r="X67" s="119" t="n"/>
    </row>
    <row r="68" ht="17" customHeight="1">
      <c r="A68" s="117" t="inlineStr">
        <is>
          <t>begin group</t>
        </is>
      </c>
      <c r="B68" s="117" t="inlineStr">
        <is>
          <t>phonecall</t>
        </is>
      </c>
      <c r="C68" s="120" t="inlineStr">
        <is>
          <t>Calling</t>
        </is>
      </c>
      <c r="D68" s="118" t="n"/>
      <c r="E68" s="119" t="n"/>
      <c r="F68" s="119" t="n"/>
      <c r="G68" s="118" t="n"/>
      <c r="H68" s="118" t="n"/>
      <c r="I68" s="120" t="n"/>
      <c r="J68" s="117" t="n"/>
      <c r="K68" s="119" t="n"/>
      <c r="L68" s="118" t="n"/>
      <c r="M68" s="119" t="n"/>
      <c r="N68" s="118" t="n"/>
      <c r="O68" s="119" t="n"/>
      <c r="P68" s="119" t="n"/>
      <c r="Q68" s="119" t="n"/>
      <c r="R68" s="119" t="n"/>
      <c r="S68" s="118" t="n"/>
      <c r="T68" s="119" t="n"/>
      <c r="U68" s="118" t="n"/>
      <c r="V68" s="118" t="n"/>
      <c r="W68" s="119" t="n"/>
      <c r="X68" s="119" t="n"/>
    </row>
    <row r="69" ht="17" customHeight="1">
      <c r="A69" s="117" t="inlineStr">
        <is>
          <t>select_one phones</t>
        </is>
      </c>
      <c r="B69" s="117" t="inlineStr">
        <is>
          <t>phone_select</t>
        </is>
      </c>
      <c r="C69" s="120" t="inlineStr">
        <is>
          <t>Please select the phone number you want to call:</t>
        </is>
      </c>
      <c r="D69" s="118" t="n"/>
      <c r="E69" s="119" t="n"/>
      <c r="F69" s="119" t="n"/>
      <c r="G69" s="118" t="n"/>
      <c r="H69" s="118" t="n"/>
      <c r="I69" s="120" t="n"/>
      <c r="J69" s="117" t="n"/>
      <c r="K69" s="117" t="inlineStr">
        <is>
          <t>yes</t>
        </is>
      </c>
      <c r="L69" s="118" t="n"/>
      <c r="M69" s="119" t="n"/>
      <c r="N69" s="118" t="n"/>
      <c r="O69" s="119" t="n"/>
      <c r="P69" s="119" t="n"/>
      <c r="Q69" s="119" t="n"/>
      <c r="R69" s="119" t="n"/>
      <c r="S69" s="118" t="n"/>
      <c r="T69" s="117" t="inlineStr">
        <is>
          <t>filter &lt;= ${contacts}</t>
        </is>
      </c>
      <c r="U69" s="118" t="n"/>
      <c r="V69" s="118" t="n"/>
      <c r="W69" s="119" t="n"/>
      <c r="X69" s="119" t="n"/>
    </row>
    <row r="70" ht="51" customHeight="1">
      <c r="A70" s="117" t="inlineStr">
        <is>
          <t>calculate</t>
        </is>
      </c>
      <c r="B70" s="117" t="inlineStr">
        <is>
          <t>selected_phone_no</t>
        </is>
      </c>
      <c r="C70" s="120" t="inlineStr">
        <is>
          <t>Calculates the phone number to be called</t>
        </is>
      </c>
      <c r="D70" s="118" t="n"/>
      <c r="E70" s="119" t="n"/>
      <c r="F70" s="119" t="n"/>
      <c r="G70" s="118" t="n"/>
      <c r="H70" s="118" t="n"/>
      <c r="I70" s="120" t="n"/>
      <c r="J70" s="117" t="n"/>
      <c r="K70" s="119" t="n"/>
      <c r="L70" s="118" t="n"/>
      <c r="M70" s="119" t="n"/>
      <c r="N70" s="120" t="inlineStr">
        <is>
          <t>if(selected(${phone_select}, '1'), ${phone1}, 
if(selected(${phone_select}, '2'), ${phone2}, 
if(selected(${phone_select}, '3'), ${phone3}, '')))</t>
        </is>
      </c>
      <c r="O70" s="119" t="n"/>
      <c r="P70" s="119" t="n"/>
      <c r="Q70" s="119" t="n"/>
      <c r="R70" s="119" t="n"/>
      <c r="S70" s="118" t="n"/>
      <c r="T70" s="119" t="n"/>
      <c r="U70" s="118" t="n"/>
      <c r="V70" s="118" t="n"/>
      <c r="W70" s="119" t="n"/>
      <c r="X70" s="119" t="n"/>
    </row>
    <row r="71" ht="17" customHeight="1">
      <c r="A71" s="117" t="inlineStr">
        <is>
          <t>begin group</t>
        </is>
      </c>
      <c r="B71" s="117" t="inlineStr">
        <is>
          <t>calling</t>
        </is>
      </c>
      <c r="C71" s="120" t="n"/>
      <c r="D71" s="118" t="n"/>
      <c r="E71" s="119" t="n"/>
      <c r="F71" s="117" t="inlineStr">
        <is>
          <t>field-list</t>
        </is>
      </c>
      <c r="G71" s="118" t="n"/>
      <c r="H71" s="118" t="n"/>
      <c r="I71" s="120" t="n"/>
      <c r="J71" s="117" t="n"/>
      <c r="K71" s="119" t="n"/>
      <c r="L71" s="118" t="n"/>
      <c r="M71" s="119" t="n"/>
      <c r="N71" s="120" t="n"/>
      <c r="O71" s="119" t="n"/>
      <c r="P71" s="119" t="n"/>
      <c r="Q71" s="119" t="n"/>
      <c r="R71" s="119" t="n"/>
      <c r="S71" s="118" t="n"/>
      <c r="T71" s="119" t="n"/>
      <c r="U71" s="118" t="n"/>
      <c r="V71" s="118" t="n"/>
      <c r="W71" s="119" t="n"/>
      <c r="X71" s="119" t="n"/>
    </row>
    <row r="72" ht="255" customHeight="1">
      <c r="A72" s="117" t="inlineStr">
        <is>
          <t>note</t>
        </is>
      </c>
      <c r="B72" s="117" t="inlineStr">
        <is>
          <t>note_hh_info</t>
        </is>
      </c>
      <c r="C72" s="120" t="inlineStr">
        <is>
          <t>&lt;b&gt;HOUSEHOLD INFORMATION:&lt;/b&gt;
&lt;br&gt;&lt;br&gt;
ID: &lt;b&gt;${learner_id}&lt;/b&gt; &lt;br&gt;
Student's name: &lt;b&gt;${stud_name}&lt;/b&gt; &lt;br&gt;
Student's primary caregiver: &lt;b&gt;${care_name}&lt;/b&gt; &lt;br&gt;
Primary caregiver's relationship to child: &lt;b&gt;${care_rel_lab}&lt;/b&gt; 
&lt;br&gt;&lt;br&gt;
Student's school name: &lt;b&gt;${school}&lt;/b&gt; &lt;br&gt;
Age: &lt;b&gt;${age}&lt;/b&gt; &lt;br&gt;
Grade: &lt;b&gt;${grade}&lt;/b&gt; &lt;br&gt;
Sex: &lt;b&gt;${gender}&lt;/b&gt;</t>
        </is>
      </c>
      <c r="D72" s="118" t="n"/>
      <c r="E72" s="119" t="n"/>
      <c r="F72" s="119" t="n"/>
      <c r="G72" s="118" t="n"/>
      <c r="H72" s="118" t="n"/>
      <c r="I72" s="120" t="n"/>
      <c r="J72" s="117" t="n"/>
      <c r="K72" s="119" t="n"/>
      <c r="L72" s="118" t="n"/>
      <c r="M72" s="119" t="n"/>
      <c r="N72" s="118" t="n"/>
      <c r="O72" s="119" t="n"/>
      <c r="P72" s="119" t="n"/>
      <c r="Q72" s="119" t="n"/>
      <c r="R72" s="119" t="n"/>
      <c r="S72" s="118" t="n"/>
      <c r="T72" s="119" t="n"/>
      <c r="U72" s="118" t="n"/>
      <c r="V72" s="118" t="n"/>
      <c r="W72" s="119" t="n"/>
      <c r="X72" s="119" t="n"/>
    </row>
    <row r="73" ht="204" customHeight="1">
      <c r="A73" s="117" t="inlineStr">
        <is>
          <t>text</t>
        </is>
      </c>
      <c r="B73" s="117" t="inlineStr">
        <is>
          <t>phone_call</t>
        </is>
      </c>
      <c r="C73" s="120" t="inlineStr">
        <is>
          <t>&lt;p&gt;&lt;span style="color: #3366ff;"&gt;&lt;strong&gt;&lt;i&gt;When you're ready, click the button below to make the phone call.&lt;/strong&gt;
&lt;br&gt;&lt;br&gt;
You are calling &lt;b&gt;&lt;u&gt;${care_name}&lt;/u&gt;&lt;/b&gt;, the primary caregiver of &lt;b&gt;&lt;u&gt;${stud_name}&lt;/u&gt;&lt;/b&gt;. If the call is answered, read the script below and record the status of the call.&lt;/i&gt;&lt;/span&gt;&lt;/p&gt;
&lt;br&gt;&lt;br&gt;
Hello! Good morning / afternoon / evening! My name is &lt;b&gt;&lt;u&gt;${facilitator_b}&lt;/u&gt;&lt;/b&gt; from Department of Education (DepEd). May I speak to &lt;b&gt;&lt;u&gt;${care_name}&lt;/u&gt;&lt;/b&gt;?</t>
        </is>
      </c>
      <c r="D73" s="118" t="n"/>
      <c r="E73" s="119" t="n"/>
      <c r="F73" s="117" t="inlineStr">
        <is>
          <t>custom-phone-call(phone_number=${selected_phone_no})</t>
        </is>
      </c>
      <c r="G73" s="118" t="n"/>
      <c r="H73" s="118" t="n"/>
      <c r="I73" s="120" t="n"/>
      <c r="J73" s="117" t="n"/>
      <c r="K73" s="119" t="n"/>
      <c r="L73" s="118" t="n"/>
      <c r="M73" s="119" t="n"/>
      <c r="N73" s="118" t="n"/>
      <c r="O73" s="119" t="n"/>
      <c r="P73" s="119" t="n"/>
      <c r="Q73" s="119" t="n"/>
      <c r="R73" s="119" t="n"/>
      <c r="S73" s="118" t="n"/>
      <c r="T73" s="119" t="n"/>
      <c r="U73" s="118" t="n"/>
      <c r="V73" s="118" t="n"/>
      <c r="W73" s="119" t="n"/>
      <c r="X73" s="119" t="n"/>
    </row>
    <row r="74" ht="17" customHeight="1">
      <c r="A74" s="117" t="inlineStr">
        <is>
          <t>select_one response</t>
        </is>
      </c>
      <c r="B74" s="117" t="inlineStr">
        <is>
          <t>phone_call_response</t>
        </is>
      </c>
      <c r="C74" s="120" t="inlineStr">
        <is>
          <t>What is the status of the call?</t>
        </is>
      </c>
      <c r="D74" s="118" t="n"/>
      <c r="E74" s="119" t="n"/>
      <c r="F74" s="119" t="n"/>
      <c r="G74" s="118" t="n"/>
      <c r="H74" s="118" t="n"/>
      <c r="I74" s="120" t="n"/>
      <c r="J74" s="117" t="n"/>
      <c r="K74" s="117" t="inlineStr">
        <is>
          <t>yes</t>
        </is>
      </c>
      <c r="L74" s="118" t="n"/>
      <c r="M74" s="119" t="n"/>
      <c r="N74" s="118" t="n"/>
      <c r="O74" s="119" t="n"/>
      <c r="P74" s="119" t="n"/>
      <c r="Q74" s="119" t="n"/>
      <c r="R74" s="119" t="n"/>
      <c r="S74" s="118" t="n"/>
      <c r="T74" s="119" t="n"/>
      <c r="U74" s="118" t="n"/>
      <c r="V74" s="118" t="n"/>
      <c r="W74" s="119" t="n"/>
      <c r="X74" s="119" t="n"/>
    </row>
    <row r="75">
      <c r="A75" s="117" t="inlineStr">
        <is>
          <t>end group</t>
        </is>
      </c>
      <c r="B75" s="117" t="inlineStr">
        <is>
          <t>calling</t>
        </is>
      </c>
      <c r="C75" s="120" t="n"/>
      <c r="D75" s="118" t="n"/>
      <c r="E75" s="119" t="n"/>
      <c r="F75" s="119" t="n"/>
      <c r="G75" s="118" t="n"/>
      <c r="H75" s="118" t="n"/>
      <c r="I75" s="120" t="n"/>
      <c r="J75" s="117" t="n"/>
      <c r="K75" s="119" t="n"/>
      <c r="L75" s="118" t="n"/>
      <c r="M75" s="119" t="n"/>
      <c r="N75" s="118" t="n"/>
      <c r="O75" s="119" t="n"/>
      <c r="P75" s="119" t="n"/>
      <c r="Q75" s="119" t="n"/>
      <c r="R75" s="119" t="n"/>
      <c r="S75" s="118" t="n"/>
      <c r="T75" s="119" t="n"/>
      <c r="U75" s="118" t="n"/>
      <c r="V75" s="118" t="n"/>
      <c r="W75" s="119" t="n"/>
      <c r="X75" s="119" t="n"/>
    </row>
    <row r="76" ht="17" customHeight="1">
      <c r="A76" s="117" t="inlineStr">
        <is>
          <t>select_one notanswered</t>
        </is>
      </c>
      <c r="B76" s="117" t="inlineStr">
        <is>
          <t>phone_call_notanswered</t>
        </is>
      </c>
      <c r="C76" s="120" t="inlineStr">
        <is>
          <t>Why were you not able to reach this household?</t>
        </is>
      </c>
      <c r="D76" s="118" t="n"/>
      <c r="E76" s="119" t="n"/>
      <c r="F76" s="119" t="n"/>
      <c r="G76" s="118" t="n"/>
      <c r="H76" s="118" t="n"/>
      <c r="I76" s="120" t="inlineStr">
        <is>
          <t>selected(${phone_call_response}, '3')</t>
        </is>
      </c>
      <c r="J76" s="117" t="n"/>
      <c r="K76" s="117" t="inlineStr">
        <is>
          <t>yes</t>
        </is>
      </c>
      <c r="L76" s="118" t="n"/>
      <c r="M76" s="119" t="n"/>
      <c r="N76" s="118" t="n"/>
      <c r="O76" s="119" t="n"/>
      <c r="P76" s="119" t="n"/>
      <c r="Q76" s="119" t="n"/>
      <c r="R76" s="119" t="n"/>
      <c r="S76" s="118" t="n"/>
      <c r="T76" s="119" t="n"/>
      <c r="U76" s="118" t="n"/>
      <c r="V76" s="118" t="n"/>
      <c r="W76" s="119" t="n"/>
      <c r="X76" s="119" t="n"/>
    </row>
    <row r="77" ht="34" customHeight="1">
      <c r="A77" s="117" t="inlineStr">
        <is>
          <t>text</t>
        </is>
      </c>
      <c r="B77" s="117" t="inlineStr">
        <is>
          <t>phone_call_notanswered_other</t>
        </is>
      </c>
      <c r="C77" s="120" t="inlineStr">
        <is>
          <t>What is the other reason for why you were not able to reach this household?</t>
        </is>
      </c>
      <c r="D77" s="118" t="n"/>
      <c r="E77" s="119" t="n"/>
      <c r="F77" s="119" t="n"/>
      <c r="G77" s="120" t="inlineStr">
        <is>
          <t>string-length(.) &gt; 2</t>
        </is>
      </c>
      <c r="H77" s="120" t="inlineStr">
        <is>
          <t>Your answer is too short.</t>
        </is>
      </c>
      <c r="I77" s="120" t="inlineStr">
        <is>
          <t>selected(${phone_call_notanswered}, '95')</t>
        </is>
      </c>
      <c r="J77" s="117" t="n"/>
      <c r="K77" s="117" t="inlineStr">
        <is>
          <t>yes</t>
        </is>
      </c>
      <c r="L77" s="118" t="n"/>
      <c r="M77" s="119" t="n"/>
      <c r="N77" s="118" t="n"/>
      <c r="O77" s="119" t="n"/>
      <c r="P77" s="119" t="n"/>
      <c r="Q77" s="119" t="n"/>
      <c r="R77" s="119" t="n"/>
      <c r="S77" s="118" t="n"/>
      <c r="T77" s="119" t="n"/>
      <c r="U77" s="118" t="n"/>
      <c r="V77" s="118" t="n"/>
      <c r="W77" s="119" t="n"/>
      <c r="X77" s="119" t="n"/>
    </row>
    <row r="78" ht="102" customHeight="1">
      <c r="A78" s="117" t="inlineStr">
        <is>
          <t>note</t>
        </is>
      </c>
      <c r="B78" s="117" t="inlineStr">
        <is>
          <t>note_wrong_no</t>
        </is>
      </c>
      <c r="C78" s="120" t="inlineStr">
        <is>
          <t xml:space="preserve">
&lt;p&gt;&lt;span style="color: #ff0000;"&gt;&lt;strong&gt;WARNING!&lt;/strong&gt;&lt;/span&gt;&lt;br /&gt; &lt;br /&gt;&lt;span style="color: #ff0000;"&gt;&lt;/p&gt;
&lt;p&gt;&lt;span style="color: #ff0000;"&gt;Please confirm before submitting as "Wrong number". This is the only available contact information for this household.&lt;/span&gt;&lt;br /&gt; &lt;br /&gt;&lt;span style="color: #ff0000;"&gt;&lt;/p&gt;</t>
        </is>
      </c>
      <c r="D78" s="118" t="n"/>
      <c r="E78" s="119" t="n"/>
      <c r="F78" s="119" t="n"/>
      <c r="G78" s="118" t="n"/>
      <c r="H78" s="118" t="n"/>
      <c r="I78" s="120" t="inlineStr">
        <is>
          <t>${phone_call_response} = 4 and ${contacts} = 1</t>
        </is>
      </c>
      <c r="J78" s="117" t="n"/>
      <c r="K78" s="119" t="n"/>
      <c r="L78" s="118" t="n"/>
      <c r="M78" s="119" t="n"/>
      <c r="N78" s="118" t="n"/>
      <c r="O78" s="119" t="n"/>
      <c r="P78" s="119" t="n"/>
      <c r="Q78" s="119" t="n"/>
      <c r="R78" s="119" t="n"/>
      <c r="S78" s="118" t="n"/>
      <c r="T78" s="119" t="n"/>
      <c r="U78" s="118" t="n"/>
      <c r="V78" s="118" t="n"/>
      <c r="W78" s="119" t="n"/>
      <c r="X78" s="119" t="n"/>
    </row>
    <row r="79" ht="17" customHeight="1">
      <c r="A79" s="117" t="inlineStr">
        <is>
          <t>calculate</t>
        </is>
      </c>
      <c r="B79" s="117" t="inlineStr">
        <is>
          <t>wrong_no</t>
        </is>
      </c>
      <c r="C79" s="120" t="inlineStr">
        <is>
          <t>1 if wrong number and no other contact information is available</t>
        </is>
      </c>
      <c r="D79" s="118" t="n"/>
      <c r="E79" s="119" t="n"/>
      <c r="F79" s="119" t="n"/>
      <c r="G79" s="118" t="n"/>
      <c r="H79" s="118" t="n"/>
      <c r="I79" s="120" t="n"/>
      <c r="J79" s="117" t="n"/>
      <c r="K79" s="119" t="n"/>
      <c r="L79" s="118" t="n"/>
      <c r="M79" s="119" t="n"/>
      <c r="N79" s="120" t="inlineStr">
        <is>
          <t>if(${phone_call_response} = 4 and ${contacts} = 1, '1', '')</t>
        </is>
      </c>
      <c r="O79" s="119" t="n"/>
      <c r="P79" s="119" t="n"/>
      <c r="Q79" s="119" t="n"/>
      <c r="R79" s="119" t="n"/>
      <c r="S79" s="118" t="n"/>
      <c r="T79" s="119" t="n"/>
      <c r="U79" s="118" t="n"/>
      <c r="V79" s="118" t="n"/>
      <c r="W79" s="119" t="n"/>
      <c r="X79" s="119" t="n"/>
    </row>
    <row r="80">
      <c r="A80" s="117" t="inlineStr">
        <is>
          <t>end group</t>
        </is>
      </c>
      <c r="B80" s="117" t="inlineStr">
        <is>
          <t>phonecall</t>
        </is>
      </c>
      <c r="C80" s="120" t="n"/>
      <c r="D80" s="118" t="n"/>
      <c r="E80" s="119" t="n"/>
      <c r="F80" s="119" t="n"/>
      <c r="G80" s="118" t="n"/>
      <c r="H80" s="118" t="n"/>
      <c r="I80" s="120" t="n"/>
      <c r="J80" s="117" t="n"/>
      <c r="K80" s="119" t="n"/>
      <c r="L80" s="118" t="n"/>
      <c r="M80" s="119" t="n"/>
      <c r="N80" s="118" t="n"/>
      <c r="O80" s="119" t="n"/>
      <c r="P80" s="119" t="n"/>
      <c r="Q80" s="119" t="n"/>
      <c r="R80" s="119" t="n"/>
      <c r="S80" s="118" t="n"/>
      <c r="T80" s="119" t="n"/>
      <c r="U80" s="118" t="n"/>
      <c r="V80" s="118" t="n"/>
      <c r="W80" s="119" t="n"/>
      <c r="X80" s="119" t="n"/>
    </row>
    <row r="81">
      <c r="A81" s="119" t="n"/>
      <c r="B81" s="119" t="n"/>
      <c r="C81" s="120" t="n"/>
      <c r="D81" s="118" t="n"/>
      <c r="E81" s="119" t="n"/>
      <c r="F81" s="119" t="n"/>
      <c r="G81" s="118" t="n"/>
      <c r="H81" s="118" t="n"/>
      <c r="I81" s="120" t="n"/>
      <c r="J81" s="117" t="n"/>
      <c r="K81" s="119" t="n"/>
      <c r="L81" s="118" t="n"/>
      <c r="M81" s="119" t="n"/>
      <c r="N81" s="118" t="n"/>
      <c r="O81" s="119" t="n"/>
      <c r="P81" s="119" t="n"/>
      <c r="Q81" s="119" t="n"/>
      <c r="R81" s="119" t="n"/>
      <c r="S81" s="118" t="n"/>
      <c r="T81" s="119" t="n"/>
      <c r="U81" s="118" t="n"/>
      <c r="V81" s="118" t="n"/>
      <c r="W81" s="119" t="n"/>
      <c r="X81" s="119" t="n"/>
    </row>
    <row r="82" ht="17" customHeight="1">
      <c r="A82" s="117" t="inlineStr">
        <is>
          <t>calculate_here</t>
        </is>
      </c>
      <c r="B82" s="117" t="inlineStr">
        <is>
          <t>survey_start_ts</t>
        </is>
      </c>
      <c r="C82" s="120" t="inlineStr">
        <is>
          <t>Calculates actual start time of survey (after phone is dialled)</t>
        </is>
      </c>
      <c r="D82" s="118" t="n"/>
      <c r="E82" s="119" t="n"/>
      <c r="F82" s="119" t="n"/>
      <c r="G82" s="118" t="n"/>
      <c r="H82" s="118" t="n"/>
      <c r="I82" s="120" t="n"/>
      <c r="J82" s="117" t="n"/>
      <c r="K82" s="119" t="n"/>
      <c r="L82" s="118" t="n"/>
      <c r="M82" s="119" t="n"/>
      <c r="N82" s="120" t="inlineStr">
        <is>
          <t>once(duration())</t>
        </is>
      </c>
      <c r="O82" s="119" t="n"/>
      <c r="P82" s="119" t="n"/>
      <c r="Q82" s="119" t="n"/>
      <c r="R82" s="119" t="n"/>
      <c r="S82" s="118" t="n"/>
      <c r="T82" s="119" t="n"/>
      <c r="U82" s="118" t="n"/>
      <c r="V82" s="118" t="n"/>
      <c r="W82" s="119" t="n"/>
      <c r="X82" s="119" t="n"/>
    </row>
    <row r="83">
      <c r="A83" s="119" t="n"/>
      <c r="B83" s="119" t="n"/>
      <c r="C83" s="120" t="n"/>
      <c r="D83" s="118" t="n"/>
      <c r="E83" s="119" t="n"/>
      <c r="F83" s="119" t="n"/>
      <c r="G83" s="118" t="n"/>
      <c r="H83" s="118" t="n"/>
      <c r="I83" s="120" t="n"/>
      <c r="J83" s="117" t="n"/>
      <c r="K83" s="119" t="n"/>
      <c r="L83" s="118" t="n"/>
      <c r="M83" s="119" t="n"/>
      <c r="N83" s="118" t="n"/>
      <c r="O83" s="119" t="n"/>
      <c r="P83" s="119" t="n"/>
      <c r="Q83" s="119" t="n"/>
      <c r="R83" s="119" t="n"/>
      <c r="S83" s="118" t="n"/>
      <c r="T83" s="119" t="n"/>
      <c r="U83" s="118" t="n"/>
      <c r="V83" s="118" t="n"/>
      <c r="W83" s="119" t="n"/>
      <c r="X83" s="119" t="n"/>
    </row>
    <row r="84" ht="17" customHeight="1">
      <c r="A84" s="117" t="inlineStr">
        <is>
          <t>begin group</t>
        </is>
      </c>
      <c r="B84" s="117" t="inlineStr">
        <is>
          <t>not_caregiver</t>
        </is>
      </c>
      <c r="C84" s="120" t="inlineStr">
        <is>
          <t>Call answered by someone else, ask if caregiver is available</t>
        </is>
      </c>
      <c r="D84" s="118" t="n"/>
      <c r="E84" s="119" t="n"/>
      <c r="F84" s="119" t="n"/>
      <c r="G84" s="118" t="n"/>
      <c r="H84" s="118" t="n"/>
      <c r="I84" s="120" t="inlineStr">
        <is>
          <t>selected(${phone_call_response}, '2')</t>
        </is>
      </c>
      <c r="J84" s="117" t="n"/>
      <c r="K84" s="119" t="n"/>
      <c r="L84" s="118" t="n"/>
      <c r="M84" s="119" t="n"/>
      <c r="N84" s="118" t="n"/>
      <c r="O84" s="119" t="n"/>
      <c r="P84" s="119" t="n"/>
      <c r="Q84" s="119" t="n"/>
      <c r="R84" s="119" t="n"/>
      <c r="S84" s="118" t="n"/>
      <c r="T84" s="119" t="n"/>
      <c r="U84" s="118" t="n"/>
      <c r="V84" s="118" t="n"/>
      <c r="W84" s="119" t="n"/>
      <c r="X84" s="119" t="n"/>
    </row>
    <row r="85" ht="136" customHeight="1">
      <c r="A85" s="117" t="inlineStr">
        <is>
          <t>select_one yesno</t>
        </is>
      </c>
      <c r="B85" s="117" t="inlineStr">
        <is>
          <t>caregiver_nearby</t>
        </is>
      </c>
      <c r="C85" s="120" t="inlineStr">
        <is>
          <t>Good day, my name is ${facilitator_b}. I am calling regarding mEducation, a phone-based education program where we provide simple and targeted math instruction and support to students like &lt;font color="#14b14b"&gt;&lt;b&gt;&lt;u&gt;${stud_name}&lt;/u&gt;&lt;/b&gt;&lt;/font&gt;.
&lt;br&gt;&lt;br&gt;
Is &lt;font color="#14b14b"&gt;&lt;b&gt;&lt;u&gt;${care_name}&lt;/u&gt;&lt;/b&gt;&lt;/font&gt; available? May I speak to her/him for a few minutes?</t>
        </is>
      </c>
      <c r="D85" s="118" t="n"/>
      <c r="E85" s="119" t="n"/>
      <c r="F85" s="119" t="n"/>
      <c r="G85" s="118" t="n"/>
      <c r="H85" s="118" t="n"/>
      <c r="I85" s="120" t="n"/>
      <c r="J85" s="117" t="n"/>
      <c r="K85" s="117" t="inlineStr">
        <is>
          <t>yes</t>
        </is>
      </c>
      <c r="L85" s="118" t="n"/>
      <c r="M85" s="119" t="n"/>
      <c r="N85" s="118" t="n"/>
      <c r="O85" s="119" t="n"/>
      <c r="P85" s="119" t="n"/>
      <c r="Q85" s="119" t="n"/>
      <c r="R85" s="119" t="n"/>
      <c r="S85" s="118" t="n"/>
      <c r="T85" s="119" t="n"/>
      <c r="U85" s="118" t="n"/>
      <c r="V85" s="118" t="n"/>
      <c r="W85" s="119" t="n"/>
      <c r="X85" s="119" t="n"/>
    </row>
    <row r="86" ht="17" customHeight="1">
      <c r="A86" s="117" t="inlineStr">
        <is>
          <t>begin group</t>
        </is>
      </c>
      <c r="B86" s="117" t="inlineStr">
        <is>
          <t>not_nearby</t>
        </is>
      </c>
      <c r="C86" s="120" t="n"/>
      <c r="D86" s="118" t="n"/>
      <c r="E86" s="119" t="n"/>
      <c r="F86" s="119" t="n"/>
      <c r="G86" s="118" t="n"/>
      <c r="H86" s="118" t="n"/>
      <c r="I86" s="120" t="inlineStr">
        <is>
          <t>selected(${caregiver_nearby}, '0') and not(selected(${caregiver_interviewed_prev}, '1'))</t>
        </is>
      </c>
      <c r="J86" s="117" t="n"/>
      <c r="K86" s="119" t="n"/>
      <c r="L86" s="118" t="n"/>
      <c r="M86" s="119" t="n"/>
      <c r="N86" s="118" t="n"/>
      <c r="O86" s="119" t="n"/>
      <c r="P86" s="119" t="n"/>
      <c r="Q86" s="119" t="n"/>
      <c r="R86" s="119" t="n"/>
      <c r="S86" s="118" t="n"/>
      <c r="T86" s="119" t="n"/>
      <c r="U86" s="118" t="n"/>
      <c r="V86" s="118" t="n"/>
      <c r="W86" s="119" t="n"/>
      <c r="X86" s="119" t="n"/>
    </row>
    <row r="87" ht="187" customHeight="1">
      <c r="A87" s="117" t="inlineStr">
        <is>
          <t>select_one yesno</t>
        </is>
      </c>
      <c r="B87" s="117" t="inlineStr">
        <is>
          <t>caregiver_confirm</t>
        </is>
      </c>
      <c r="C87" s="120" t="inlineStr">
        <is>
          <t>Our program requires that someone be available to answer a phone call to receive educational support. 
&lt;br&gt;&lt;br&gt;
This person can be anyone - including a mother, father, sibling, neighbor, aunty - but they should be available to support the child's learning.  
&lt;br&gt;&lt;br&gt;
Is &lt;font color="#14b14b"&gt;&lt;b&gt;&lt;u&gt;${care_name}&lt;/u&gt;&lt;/b&gt;&lt;/font&gt; still the best person to contact about this program?</t>
        </is>
      </c>
      <c r="D87" s="120" t="inlineStr">
        <is>
          <t>The main caregiver is the best person who provides educational instruction or support to the child outside of school. She/he should be available to answer the tutoring calls and support the child's learning.</t>
        </is>
      </c>
      <c r="E87" s="119" t="n"/>
      <c r="F87" s="119" t="n"/>
      <c r="G87" s="118" t="n"/>
      <c r="H87" s="118" t="n"/>
      <c r="I87" s="120" t="n"/>
      <c r="J87" s="117" t="n"/>
      <c r="K87" s="117" t="inlineStr">
        <is>
          <t>yes</t>
        </is>
      </c>
      <c r="L87" s="118" t="n"/>
      <c r="M87" s="119" t="n"/>
      <c r="N87" s="118" t="n"/>
      <c r="O87" s="119" t="n"/>
      <c r="P87" s="119" t="n"/>
      <c r="Q87" s="119" t="n"/>
      <c r="R87" s="119" t="n"/>
      <c r="S87" s="118" t="n"/>
      <c r="T87" s="119" t="n"/>
      <c r="U87" s="118" t="n"/>
      <c r="V87" s="118" t="n"/>
      <c r="W87" s="119" t="n"/>
      <c r="X87" s="119" t="n"/>
    </row>
    <row r="88" ht="17" customHeight="1">
      <c r="A88" s="117" t="inlineStr">
        <is>
          <t>begin group</t>
        </is>
      </c>
      <c r="B88" s="117" t="inlineStr">
        <is>
          <t>new_caregiver</t>
        </is>
      </c>
      <c r="C88" s="120" t="n"/>
      <c r="D88" s="118" t="n"/>
      <c r="E88" s="119" t="n"/>
      <c r="F88" s="117" t="inlineStr">
        <is>
          <t>field-list</t>
        </is>
      </c>
      <c r="G88" s="118" t="n"/>
      <c r="H88" s="118" t="n"/>
      <c r="I88" s="120" t="inlineStr">
        <is>
          <t>selected(${caregiver_confirm}, '0')</t>
        </is>
      </c>
      <c r="J88" s="117" t="n"/>
      <c r="K88" s="119" t="n"/>
      <c r="L88" s="118" t="n"/>
      <c r="M88" s="119" t="n"/>
      <c r="N88" s="118" t="n"/>
      <c r="O88" s="119" t="n"/>
      <c r="P88" s="119" t="n"/>
      <c r="Q88" s="119" t="n"/>
      <c r="R88" s="119" t="n"/>
      <c r="S88" s="118" t="n"/>
      <c r="T88" s="119" t="n"/>
      <c r="U88" s="118" t="n"/>
      <c r="V88" s="118" t="n"/>
      <c r="W88" s="119" t="n"/>
      <c r="X88" s="119" t="n"/>
    </row>
    <row r="89" ht="51" customHeight="1">
      <c r="A89" s="117" t="inlineStr">
        <is>
          <t>text</t>
        </is>
      </c>
      <c r="B89" s="117" t="inlineStr">
        <is>
          <t>new_care_firstname</t>
        </is>
      </c>
      <c r="C89" s="120" t="inlineStr">
        <is>
          <t>What is the first name of the person we should contact for our math program?</t>
        </is>
      </c>
      <c r="D89" s="118" t="n"/>
      <c r="E89" s="119" t="n"/>
      <c r="F89" s="119" t="n"/>
      <c r="G89" s="120" t="inlineStr">
        <is>
          <t>string-length(.) &gt; 2</t>
        </is>
      </c>
      <c r="H89" s="120" t="inlineStr">
        <is>
          <t>Please enter the first name of the student's caregiver.</t>
        </is>
      </c>
      <c r="I89" s="120" t="n"/>
      <c r="J89" s="117" t="n"/>
      <c r="K89" s="117" t="inlineStr">
        <is>
          <t>yes</t>
        </is>
      </c>
      <c r="L89" s="118" t="n"/>
      <c r="M89" s="119" t="n"/>
      <c r="N89" s="118" t="n"/>
      <c r="O89" s="119" t="n"/>
      <c r="P89" s="119" t="n"/>
      <c r="Q89" s="119" t="n"/>
      <c r="R89" s="119" t="n"/>
      <c r="S89" s="118" t="n"/>
      <c r="T89" s="119" t="n"/>
      <c r="U89" s="118" t="n"/>
      <c r="V89" s="118" t="n"/>
      <c r="W89" s="119" t="n"/>
      <c r="X89" s="119" t="n"/>
    </row>
    <row r="90" ht="68" customHeight="1">
      <c r="A90" s="117" t="inlineStr">
        <is>
          <t>text</t>
        </is>
      </c>
      <c r="B90" s="117" t="inlineStr">
        <is>
          <t>new_care_surname</t>
        </is>
      </c>
      <c r="C90" s="120" t="inlineStr">
        <is>
          <t>What is the surname/last name of the person we should contact for our math program?</t>
        </is>
      </c>
      <c r="D90" s="118" t="n"/>
      <c r="E90" s="119" t="n"/>
      <c r="F90" s="119" t="n"/>
      <c r="G90" s="120" t="inlineStr">
        <is>
          <t>string-length(.) &gt; 2</t>
        </is>
      </c>
      <c r="H90" s="120" t="inlineStr">
        <is>
          <t>Please enter the surname/last name of the student's caregiver.</t>
        </is>
      </c>
      <c r="I90" s="120" t="n"/>
      <c r="J90" s="117" t="n"/>
      <c r="K90" s="117" t="inlineStr">
        <is>
          <t>yes</t>
        </is>
      </c>
      <c r="L90" s="118" t="n"/>
      <c r="M90" s="119" t="n"/>
      <c r="N90" s="118" t="n"/>
      <c r="O90" s="119" t="n"/>
      <c r="P90" s="119" t="n"/>
      <c r="Q90" s="119" t="n"/>
      <c r="R90" s="119" t="n"/>
      <c r="S90" s="118" t="n"/>
      <c r="T90" s="119" t="n"/>
      <c r="U90" s="118" t="n"/>
      <c r="V90" s="118" t="n"/>
      <c r="W90" s="119" t="n"/>
      <c r="X90" s="119" t="n"/>
    </row>
    <row r="91" ht="17" customHeight="1">
      <c r="A91" s="117" t="inlineStr">
        <is>
          <t>calculate</t>
        </is>
      </c>
      <c r="B91" s="117" t="inlineStr">
        <is>
          <t>new_care_name</t>
        </is>
      </c>
      <c r="C91" s="120" t="inlineStr">
        <is>
          <t>Returns name of new caregiver</t>
        </is>
      </c>
      <c r="D91" s="118" t="n"/>
      <c r="E91" s="119" t="n"/>
      <c r="F91" s="119" t="n"/>
      <c r="G91" s="118" t="n"/>
      <c r="H91" s="118" t="n"/>
      <c r="I91" s="120" t="n"/>
      <c r="J91" s="117" t="n"/>
      <c r="K91" s="119" t="n"/>
      <c r="L91" s="118" t="n"/>
      <c r="M91" s="119" t="n"/>
      <c r="N91" s="120" t="inlineStr">
        <is>
          <t>concat(${new_care_firstname}, ' ', ${new_care_surname})</t>
        </is>
      </c>
      <c r="O91" s="119" t="n"/>
      <c r="P91" s="119" t="n"/>
      <c r="Q91" s="119" t="n"/>
      <c r="R91" s="119" t="n"/>
      <c r="S91" s="118" t="n"/>
      <c r="T91" s="119" t="n"/>
      <c r="U91" s="118" t="n"/>
      <c r="V91" s="118" t="n"/>
      <c r="W91" s="119" t="n"/>
      <c r="X91" s="119" t="n"/>
    </row>
    <row r="92" ht="17" customHeight="1">
      <c r="A92" s="117" t="inlineStr">
        <is>
          <t>select_one relationship</t>
        </is>
      </c>
      <c r="B92" s="117" t="inlineStr">
        <is>
          <t>new_care_rel</t>
        </is>
      </c>
      <c r="C92" s="120" t="inlineStr">
        <is>
          <t>How is s/he related to &lt;font color="#14b14b"&gt;&lt;b&gt;&lt;u&gt;${stud_name}&lt;/u&gt;&lt;/b&gt;&lt;/font&gt;?</t>
        </is>
      </c>
      <c r="D92" s="118" t="n"/>
      <c r="E92" s="119" t="n"/>
      <c r="F92" s="117" t="inlineStr">
        <is>
          <t>minimal</t>
        </is>
      </c>
      <c r="G92" s="118" t="n"/>
      <c r="H92" s="118" t="n"/>
      <c r="I92" s="120" t="n"/>
      <c r="J92" s="117" t="n"/>
      <c r="K92" s="117" t="inlineStr">
        <is>
          <t>yes</t>
        </is>
      </c>
      <c r="L92" s="118" t="n"/>
      <c r="M92" s="119" t="n"/>
      <c r="N92" s="118" t="n"/>
      <c r="O92" s="119" t="n"/>
      <c r="P92" s="119" t="n"/>
      <c r="Q92" s="119" t="n"/>
      <c r="R92" s="119" t="n"/>
      <c r="S92" s="118" t="n"/>
      <c r="T92" s="119" t="n"/>
      <c r="U92" s="118" t="n"/>
      <c r="V92" s="118" t="n"/>
      <c r="W92" s="119" t="n"/>
      <c r="X92" s="119" t="n"/>
    </row>
    <row r="93" ht="17" customHeight="1">
      <c r="A93" s="117" t="inlineStr">
        <is>
          <t>calculate</t>
        </is>
      </c>
      <c r="B93" s="117" t="inlineStr">
        <is>
          <t>new_care_rel_lab</t>
        </is>
      </c>
      <c r="C93" s="120" t="inlineStr">
        <is>
          <t>Returns choice label of "new_care_rel"</t>
        </is>
      </c>
      <c r="D93" s="118" t="n"/>
      <c r="E93" s="119" t="n"/>
      <c r="F93" s="119" t="n"/>
      <c r="G93" s="118" t="n"/>
      <c r="H93" s="118" t="n"/>
      <c r="I93" s="120" t="n"/>
      <c r="J93" s="117" t="n"/>
      <c r="K93" s="119" t="n"/>
      <c r="L93" s="118" t="n"/>
      <c r="M93" s="119" t="n"/>
      <c r="N93" s="120" t="inlineStr">
        <is>
          <t>choice-label(${new_care_rel}, ${new_care_rel})</t>
        </is>
      </c>
      <c r="O93" s="119" t="n"/>
      <c r="P93" s="119" t="n"/>
      <c r="Q93" s="119" t="n"/>
      <c r="R93" s="119" t="n"/>
      <c r="S93" s="118" t="n"/>
      <c r="T93" s="119" t="n"/>
      <c r="U93" s="118" t="n"/>
      <c r="V93" s="118" t="n"/>
      <c r="W93" s="119" t="n"/>
      <c r="X93" s="119" t="n"/>
    </row>
    <row r="94" ht="17" customHeight="1">
      <c r="A94" s="117" t="inlineStr">
        <is>
          <t>select_one yesno</t>
        </is>
      </c>
      <c r="B94" s="117" t="inlineStr">
        <is>
          <t>new_caregiver_nearby</t>
        </is>
      </c>
      <c r="C94" s="120" t="inlineStr">
        <is>
          <t>Is s/he available? May I speak to her/him for a few minutes?</t>
        </is>
      </c>
      <c r="D94" s="118" t="n"/>
      <c r="E94" s="119" t="n"/>
      <c r="F94" s="119" t="n"/>
      <c r="G94" s="118" t="n"/>
      <c r="H94" s="118" t="n"/>
      <c r="I94" s="120" t="n"/>
      <c r="J94" s="117" t="n"/>
      <c r="K94" s="117" t="inlineStr">
        <is>
          <t>yes</t>
        </is>
      </c>
      <c r="L94" s="118" t="n"/>
      <c r="M94" s="119" t="n"/>
      <c r="N94" s="118" t="n"/>
      <c r="O94" s="119" t="n"/>
      <c r="P94" s="119" t="n"/>
      <c r="Q94" s="119" t="n"/>
      <c r="R94" s="119" t="n"/>
      <c r="S94" s="118" t="n"/>
      <c r="T94" s="119" t="n"/>
      <c r="U94" s="118" t="n"/>
      <c r="V94" s="118" t="n"/>
      <c r="W94" s="119" t="n"/>
      <c r="X94" s="119" t="n"/>
    </row>
    <row r="95">
      <c r="A95" s="117" t="inlineStr">
        <is>
          <t>end group</t>
        </is>
      </c>
      <c r="B95" s="117" t="inlineStr">
        <is>
          <t>new_caregiver</t>
        </is>
      </c>
      <c r="C95" s="120" t="n"/>
      <c r="D95" s="118" t="n"/>
      <c r="E95" s="119" t="n"/>
      <c r="F95" s="119" t="n"/>
      <c r="G95" s="118" t="n"/>
      <c r="H95" s="118" t="n"/>
      <c r="I95" s="120" t="n"/>
      <c r="J95" s="117" t="n"/>
      <c r="K95" s="119" t="n"/>
      <c r="L95" s="118" t="n"/>
      <c r="M95" s="119" t="n"/>
      <c r="N95" s="118" t="n"/>
      <c r="O95" s="119" t="n"/>
      <c r="P95" s="119" t="n"/>
      <c r="Q95" s="119" t="n"/>
      <c r="R95" s="119" t="n"/>
      <c r="S95" s="118" t="n"/>
      <c r="T95" s="119" t="n"/>
      <c r="U95" s="118" t="n"/>
      <c r="V95" s="118" t="n"/>
      <c r="W95" s="119" t="n"/>
      <c r="X95" s="119" t="n"/>
    </row>
    <row r="96">
      <c r="A96" s="117" t="inlineStr">
        <is>
          <t>end group</t>
        </is>
      </c>
      <c r="B96" s="117" t="inlineStr">
        <is>
          <t>not_nearby</t>
        </is>
      </c>
      <c r="C96" s="120" t="n"/>
      <c r="D96" s="118" t="n"/>
      <c r="E96" s="119" t="n"/>
      <c r="F96" s="119" t="n"/>
      <c r="G96" s="118" t="n"/>
      <c r="H96" s="118" t="n"/>
      <c r="I96" s="120" t="n"/>
      <c r="J96" s="117" t="n"/>
      <c r="K96" s="119" t="n"/>
      <c r="L96" s="118" t="n"/>
      <c r="M96" s="119" t="n"/>
      <c r="N96" s="118" t="n"/>
      <c r="O96" s="119" t="n"/>
      <c r="P96" s="119" t="n"/>
      <c r="Q96" s="119" t="n"/>
      <c r="R96" s="119" t="n"/>
      <c r="S96" s="118" t="n"/>
      <c r="T96" s="119" t="n"/>
      <c r="U96" s="118" t="n"/>
      <c r="V96" s="118" t="n"/>
      <c r="W96" s="119" t="n"/>
      <c r="X96" s="119" t="n"/>
    </row>
    <row r="97" ht="136" customHeight="1">
      <c r="A97" s="117" t="inlineStr">
        <is>
          <t>select_one yesno</t>
        </is>
      </c>
      <c r="B97" s="117" t="inlineStr">
        <is>
          <t>temp_caregiver_nearby</t>
        </is>
      </c>
      <c r="C97" s="120" t="inlineStr">
        <is>
          <t>&lt;p&gt;&lt;span style="color: #3366ff;"&gt;&lt;strong&gt;INSTRUCTIONS:&lt;/strong&gt;&lt;/span&gt;&lt;/p&gt;
&lt;br&gt;&lt;br&gt;
&lt;p&gt;&lt;span style="color: #3366ff;"&gt;Click "Yes" to confirm whether the primary caregiver is on the phone, so you can move on to the actual form questions.&lt;/span&gt;&lt;/p&gt;
&lt;br&gt;&lt;br&gt;
&lt;p&gt;&lt;span style="color: #3366ff;"&gt;Otherwise, choose &lt;b&gt;"No"&lt;/b&gt; and re-schedule the call.&lt;/span&gt;&lt;/p&gt;</t>
        </is>
      </c>
      <c r="D97" s="118" t="n"/>
      <c r="E97" s="119" t="n"/>
      <c r="F97" s="119" t="n"/>
      <c r="G97" s="118" t="n"/>
      <c r="H97" s="118" t="n"/>
      <c r="I97" s="120" t="inlineStr">
        <is>
          <t>selected(${caregiver_nearby}, '1') or selected(${new_caregiver_nearby}, '1')</t>
        </is>
      </c>
      <c r="J97" s="117" t="n"/>
      <c r="K97" s="117" t="inlineStr">
        <is>
          <t>yes</t>
        </is>
      </c>
      <c r="L97" s="118" t="n"/>
      <c r="M97" s="119" t="n"/>
      <c r="N97" s="118" t="n"/>
      <c r="O97" s="119" t="n"/>
      <c r="P97" s="119" t="n"/>
      <c r="Q97" s="119" t="n"/>
      <c r="R97" s="119" t="n"/>
      <c r="S97" s="118" t="n"/>
      <c r="T97" s="119" t="n"/>
      <c r="U97" s="118" t="n"/>
      <c r="V97" s="118" t="n"/>
      <c r="W97" s="119" t="n"/>
      <c r="X97" s="119" t="n"/>
    </row>
    <row r="98">
      <c r="A98" s="117" t="inlineStr">
        <is>
          <t>end group</t>
        </is>
      </c>
      <c r="B98" s="117" t="inlineStr">
        <is>
          <t>not_caregiver</t>
        </is>
      </c>
      <c r="C98" s="120" t="n"/>
      <c r="D98" s="118" t="n"/>
      <c r="E98" s="119" t="n"/>
      <c r="F98" s="119" t="n"/>
      <c r="G98" s="118" t="n"/>
      <c r="H98" s="118" t="n"/>
      <c r="I98" s="120" t="n"/>
      <c r="J98" s="117" t="n"/>
      <c r="K98" s="119" t="n"/>
      <c r="L98" s="118" t="n"/>
      <c r="M98" s="119" t="n"/>
      <c r="N98" s="118" t="n"/>
      <c r="O98" s="119" t="n"/>
      <c r="P98" s="119" t="n"/>
      <c r="Q98" s="119" t="n"/>
      <c r="R98" s="119" t="n"/>
      <c r="S98" s="118" t="n"/>
      <c r="T98" s="119" t="n"/>
      <c r="U98" s="118" t="n"/>
      <c r="V98" s="118" t="n"/>
      <c r="W98" s="119" t="n"/>
      <c r="X98" s="119" t="n"/>
    </row>
    <row r="99">
      <c r="A99" s="119" t="n"/>
      <c r="B99" s="119" t="n"/>
      <c r="C99" s="120" t="n"/>
      <c r="D99" s="118" t="n"/>
      <c r="E99" s="119" t="n"/>
      <c r="F99" s="119" t="n"/>
      <c r="G99" s="118" t="n"/>
      <c r="H99" s="118" t="n"/>
      <c r="I99" s="120" t="n"/>
      <c r="J99" s="117" t="n"/>
      <c r="K99" s="119" t="n"/>
      <c r="L99" s="118" t="n"/>
      <c r="M99" s="119" t="n"/>
      <c r="N99" s="118" t="n"/>
      <c r="O99" s="119" t="n"/>
      <c r="P99" s="119" t="n"/>
      <c r="Q99" s="119" t="n"/>
      <c r="R99" s="119" t="n"/>
      <c r="S99" s="118" t="n"/>
      <c r="T99" s="119" t="n"/>
      <c r="U99" s="118" t="n"/>
      <c r="V99" s="118" t="n"/>
      <c r="W99" s="119" t="n"/>
      <c r="X99" s="119" t="n"/>
    </row>
    <row r="100" ht="34" customHeight="1">
      <c r="A100" s="117" t="inlineStr">
        <is>
          <t>begin group</t>
        </is>
      </c>
      <c r="B100" s="117" t="inlineStr">
        <is>
          <t>caregiver</t>
        </is>
      </c>
      <c r="C100" s="120" t="inlineStr">
        <is>
          <t>Call answered by main caregiver, introduce the program</t>
        </is>
      </c>
      <c r="D100" s="118" t="n"/>
      <c r="E100" s="119" t="n"/>
      <c r="F100" s="119" t="n"/>
      <c r="G100" s="118" t="n"/>
      <c r="H100" s="118" t="n"/>
      <c r="I100" s="120" t="inlineStr">
        <is>
          <t>(selected(${phone_call_response}, '1') or selected(${temp_caregiver_nearby}, '1')) and not(selected(${caregiver_interviewed_prev}, '1'))</t>
        </is>
      </c>
      <c r="J100" s="117" t="n"/>
      <c r="K100" s="119" t="n"/>
      <c r="L100" s="118" t="n"/>
      <c r="M100" s="119" t="n"/>
      <c r="N100" s="118" t="n"/>
      <c r="O100" s="119" t="n"/>
      <c r="P100" s="119" t="n"/>
      <c r="Q100" s="119" t="n"/>
      <c r="R100" s="119" t="n"/>
      <c r="S100" s="118" t="n"/>
      <c r="T100" s="119" t="n"/>
      <c r="U100" s="118" t="n"/>
      <c r="V100" s="118" t="n"/>
      <c r="W100" s="119" t="n"/>
      <c r="X100" s="119" t="n"/>
    </row>
    <row r="101" ht="17" customHeight="1">
      <c r="A101" s="117" t="inlineStr">
        <is>
          <t>begin group</t>
        </is>
      </c>
      <c r="B101" s="117" t="inlineStr">
        <is>
          <t>consent</t>
        </is>
      </c>
      <c r="C101" s="120" t="n"/>
      <c r="D101" s="118" t="n"/>
      <c r="E101" s="119" t="n"/>
      <c r="F101" s="117" t="inlineStr">
        <is>
          <t>field-list</t>
        </is>
      </c>
      <c r="G101" s="118" t="n"/>
      <c r="H101" s="118" t="n"/>
      <c r="I101" s="120" t="n"/>
      <c r="J101" s="117" t="n"/>
      <c r="K101" s="119" t="n"/>
      <c r="L101" s="118" t="n"/>
      <c r="M101" s="119" t="n"/>
      <c r="N101" s="118" t="n"/>
      <c r="O101" s="119" t="n"/>
      <c r="P101" s="119" t="n"/>
      <c r="Q101" s="119" t="n"/>
      <c r="R101" s="119" t="n"/>
      <c r="S101" s="118" t="n"/>
      <c r="T101" s="119" t="n"/>
      <c r="U101" s="118" t="n"/>
      <c r="V101" s="118" t="n"/>
      <c r="W101" s="119" t="n"/>
      <c r="X101" s="119" t="n"/>
    </row>
    <row r="102" ht="238" customHeight="1">
      <c r="A102" s="117" t="inlineStr">
        <is>
          <t>note</t>
        </is>
      </c>
      <c r="B102" s="117" t="inlineStr">
        <is>
          <t>note_greeting_teacher</t>
        </is>
      </c>
      <c r="C102" s="120" t="inlineStr">
        <is>
          <t>Hi, &lt;font color="#14b14b"&gt;&lt;b&gt;&lt;u&gt;${care_name_b}&lt;/u&gt;&lt;/b&gt;&lt;/font&gt;! My name is ${facilitator_b}. I am calling from ${school}. I am his/her teacher in the school. 
&lt;br&gt;&lt;br&gt;
The purpose of today’s call is to let you know that we are starting a learning program for the learners needing additional support on mastering basic math operations. We will conduct a weekly 20-minute call for 6 weeks to support your child in improving their basic math skills. We also want to help parents to continue contributing to their children's education. 
&lt;br&gt;&lt;br&gt;
There will be no cost to you for participating in any part of this program, we just need 20 minutes of your time for 6 weeks to assist your child in this tutoring program.</t>
        </is>
      </c>
      <c r="D102" s="118" t="n"/>
      <c r="E102" s="119" t="n"/>
      <c r="F102" s="119" t="n"/>
      <c r="G102" s="118" t="n"/>
      <c r="H102" s="118" t="n"/>
      <c r="I102" s="120" t="inlineStr">
        <is>
          <t>${fac_position_b} != 'University Student'</t>
        </is>
      </c>
      <c r="J102" s="117" t="n"/>
      <c r="K102" s="119" t="n"/>
      <c r="L102" s="118" t="n"/>
      <c r="M102" s="119" t="n"/>
      <c r="N102" s="118" t="n"/>
      <c r="O102" s="119" t="n"/>
      <c r="P102" s="119" t="n"/>
      <c r="Q102" s="119" t="n"/>
      <c r="R102" s="119" t="n"/>
      <c r="S102" s="118" t="n"/>
      <c r="T102" s="119" t="n"/>
      <c r="U102" s="118" t="n"/>
      <c r="V102" s="118" t="n"/>
      <c r="W102" s="119" t="n"/>
      <c r="X102" s="119" t="n"/>
    </row>
    <row r="103" ht="238" customHeight="1">
      <c r="A103" s="117" t="inlineStr">
        <is>
          <t>note</t>
        </is>
      </c>
      <c r="B103" s="117" t="inlineStr">
        <is>
          <t>note_greeting_unistudent</t>
        </is>
      </c>
      <c r="C103" s="120" t="inlineStr">
        <is>
          <t>Hi, &lt;font color="#14b14b"&gt;&lt;b&gt;&lt;u&gt;${care_name_b}&lt;/u&gt;&lt;/b&gt;&lt;/font&gt;! My name is ${facilitator_b}. I am from XZ working with DepEd and Youth Impact to conduct math tutorials over the phone. 
&lt;br&gt;&lt;br&gt;
The purpose of today’s call is to let you know that we are starting a learning program for the learners needing additional support on mastering basic math operations. We will conduct a weekly 20-minute call for 8 weeks to support your child in improving their basic math skills. We also want to help parents to continue contributing to their children's education. 
&lt;br&gt;&lt;br&gt;
There will be no cost to you for participating in any part of this program, we just need 20 minutes of your time for 8 weeks to assist your child in this tutoring program.</t>
        </is>
      </c>
      <c r="D103" s="118" t="n"/>
      <c r="E103" s="119" t="n"/>
      <c r="F103" s="119" t="n"/>
      <c r="G103" s="118" t="n"/>
      <c r="H103" s="118" t="n"/>
      <c r="I103" s="120" t="inlineStr">
        <is>
          <t>${fac_position_b} = 'University Student'</t>
        </is>
      </c>
      <c r="J103" s="117" t="n"/>
      <c r="K103" s="119" t="n"/>
      <c r="L103" s="118" t="n"/>
      <c r="M103" s="119" t="n"/>
      <c r="N103" s="118" t="n"/>
      <c r="O103" s="119" t="n"/>
      <c r="P103" s="119" t="n"/>
      <c r="Q103" s="119" t="n"/>
      <c r="R103" s="119" t="n"/>
      <c r="S103" s="118" t="n"/>
      <c r="T103" s="119" t="n"/>
      <c r="U103" s="118" t="n"/>
      <c r="V103" s="118" t="n"/>
      <c r="W103" s="119" t="n"/>
      <c r="X103" s="119" t="n"/>
    </row>
    <row r="104" ht="272" customHeight="1">
      <c r="A104" s="117" t="inlineStr">
        <is>
          <t>select_one yesno</t>
        </is>
      </c>
      <c r="B104" s="117" t="inlineStr">
        <is>
          <t>consent_b</t>
        </is>
      </c>
      <c r="C104" s="120" t="inlineStr">
        <is>
          <t>&lt;b&gt;&lt;u&gt;Will you and your child be willing to participate in our free phone-based tutoring program?&lt;/b&gt;&lt;/u&gt;
&lt;br&gt;&lt;br&gt;
In the course of the program implementation, we will be collecting personal information such as name, birth date, phone number of either you or ${stud_name}, which shall be used solely for the purpose and intent of the program. &lt;br&gt;&lt;br&gt;
The private information gathered shall not be disclosed to any unauthorized personnel, division, bureau, department, or organization, unless otherwise mandated by the law or permitted by the data subjects themselves. The consent shall be secured from the parent/caregiver whenever their personally identifiable information will be used for other purposes not mentioned above. &lt;br&gt;&lt;br&gt;
I hereby affirm my right to be informed, object to processing, access and rectify, suspend or withdraw my personal data, and be indemnified in case of damages pursuant to the provisions of the Republic Act No. 10173 of the Philippines, Data Privacy Act of 2012 and its corresponding Implementing Rules and Regulations. &lt;br&gt;&lt;br&gt;
Would you allow us to collect this personal information of you and your child?</t>
        </is>
      </c>
      <c r="D104" s="118" t="n"/>
      <c r="E104" s="119" t="n"/>
      <c r="F104" s="119" t="n"/>
      <c r="G104" s="118" t="n"/>
      <c r="H104" s="118" t="n"/>
      <c r="I104" s="120" t="n"/>
      <c r="J104" s="117" t="n"/>
      <c r="K104" s="117" t="inlineStr">
        <is>
          <t>yes</t>
        </is>
      </c>
      <c r="L104" s="118" t="n"/>
      <c r="M104" s="119" t="n"/>
      <c r="N104" s="118" t="n"/>
      <c r="O104" s="119" t="n"/>
      <c r="P104" s="119" t="n"/>
      <c r="Q104" s="119" t="n"/>
      <c r="R104" s="119" t="n"/>
      <c r="S104" s="118" t="n"/>
      <c r="T104" s="119" t="n"/>
      <c r="U104" s="118" t="n"/>
      <c r="V104" s="118" t="n"/>
      <c r="W104" s="119" t="n"/>
      <c r="X104" s="119" t="n"/>
    </row>
    <row r="105">
      <c r="A105" s="117" t="inlineStr">
        <is>
          <t>end group</t>
        </is>
      </c>
      <c r="B105" s="117" t="inlineStr">
        <is>
          <t>consent</t>
        </is>
      </c>
      <c r="C105" s="120" t="n"/>
      <c r="D105" s="118" t="n"/>
      <c r="E105" s="119" t="n"/>
      <c r="F105" s="119" t="n"/>
      <c r="G105" s="118" t="n"/>
      <c r="H105" s="118" t="n"/>
      <c r="I105" s="120" t="n"/>
      <c r="J105" s="117" t="n"/>
      <c r="K105" s="119" t="n"/>
      <c r="L105" s="118" t="n"/>
      <c r="M105" s="119" t="n"/>
      <c r="N105" s="118" t="n"/>
      <c r="O105" s="119" t="n"/>
      <c r="P105" s="119" t="n"/>
      <c r="Q105" s="119" t="n"/>
      <c r="R105" s="119" t="n"/>
      <c r="S105" s="118" t="n"/>
      <c r="T105" s="119" t="n"/>
      <c r="U105" s="118" t="n"/>
      <c r="V105" s="118" t="n"/>
      <c r="W105" s="119" t="n"/>
      <c r="X105" s="119" t="n"/>
    </row>
    <row r="106" ht="102" customHeight="1">
      <c r="A106" s="117" t="inlineStr">
        <is>
          <t>select_one noconsent</t>
        </is>
      </c>
      <c r="B106" s="117" t="inlineStr">
        <is>
          <t>consent_no_b</t>
        </is>
      </c>
      <c r="C106" s="120" t="inlineStr">
        <is>
          <t xml:space="preserve">&lt;p&gt;&lt;span style="color: #3366ff;"&gt;&lt;strong&gt;DO NOT READ OUT OR ASK THIS QUESTION:&lt;/strong&gt;&lt;/span&gt;&lt;/p&gt;
&lt;br&gt; &lt;br&gt;
Please record the reason for not giving consent, if the caregiver mentioned a reason. &lt;br&gt;&lt;br&gt;
Please do not push the caregiver to provide a reason. </t>
        </is>
      </c>
      <c r="D106" s="118" t="n"/>
      <c r="E106" s="119" t="n"/>
      <c r="F106" s="119" t="n"/>
      <c r="G106" s="123" t="n"/>
      <c r="H106" s="123" t="n"/>
      <c r="I106" s="120" t="inlineStr">
        <is>
          <t>selected(${consent_b}, '0')</t>
        </is>
      </c>
      <c r="J106" s="117" t="n"/>
      <c r="K106" s="117" t="inlineStr">
        <is>
          <t>yes</t>
        </is>
      </c>
      <c r="L106" s="118" t="n"/>
      <c r="M106" s="119" t="n"/>
      <c r="N106" s="118" t="n"/>
      <c r="O106" s="119" t="n"/>
      <c r="P106" s="119" t="n"/>
      <c r="Q106" s="119" t="n"/>
      <c r="R106" s="119" t="n"/>
      <c r="S106" s="118" t="n"/>
      <c r="T106" s="119" t="n"/>
      <c r="U106" s="118" t="n"/>
      <c r="V106" s="118" t="n"/>
      <c r="W106" s="119" t="n"/>
      <c r="X106" s="119" t="n"/>
    </row>
    <row r="107" ht="34" customHeight="1">
      <c r="A107" s="117" t="inlineStr">
        <is>
          <t>text</t>
        </is>
      </c>
      <c r="B107" s="117" t="inlineStr">
        <is>
          <t>consent_no_b_other</t>
        </is>
      </c>
      <c r="C107" s="120" t="inlineStr">
        <is>
          <t>What other reason did the caregiver cite for not giving consent?</t>
        </is>
      </c>
      <c r="D107" s="118" t="n"/>
      <c r="E107" s="119" t="n"/>
      <c r="F107" s="119" t="n"/>
      <c r="G107" s="123" t="inlineStr">
        <is>
          <t>string-length(.) &gt; 2</t>
        </is>
      </c>
      <c r="H107" s="123" t="inlineStr">
        <is>
          <t>Your answer is too short.</t>
        </is>
      </c>
      <c r="I107" s="120" t="inlineStr">
        <is>
          <t>selected(${consent_no_b}, '6')</t>
        </is>
      </c>
      <c r="J107" s="117" t="n"/>
      <c r="K107" s="117" t="inlineStr">
        <is>
          <t>yes</t>
        </is>
      </c>
      <c r="L107" s="118" t="n"/>
      <c r="M107" s="119" t="n"/>
      <c r="N107" s="118" t="n"/>
      <c r="O107" s="119" t="n"/>
      <c r="P107" s="119" t="n"/>
      <c r="Q107" s="119" t="n"/>
      <c r="R107" s="119" t="n"/>
      <c r="S107" s="118" t="n"/>
      <c r="T107" s="119" t="n"/>
      <c r="U107" s="118" t="n"/>
      <c r="V107" s="118" t="n"/>
      <c r="W107" s="119" t="n"/>
      <c r="X107" s="119" t="n"/>
    </row>
    <row r="108" ht="17" customHeight="1">
      <c r="A108" s="117" t="inlineStr">
        <is>
          <t>note</t>
        </is>
      </c>
      <c r="B108" s="117" t="inlineStr">
        <is>
          <t>note_end_refused</t>
        </is>
      </c>
      <c r="C108" s="120" t="inlineStr">
        <is>
          <t>Okay, thank you for your time! Have a wonderful day!</t>
        </is>
      </c>
      <c r="D108" s="118" t="n"/>
      <c r="E108" s="119" t="n"/>
      <c r="F108" s="119" t="n"/>
      <c r="G108" s="118" t="n"/>
      <c r="H108" s="118" t="n"/>
      <c r="I108" s="120" t="inlineStr">
        <is>
          <t>selected(${consent_b}, '0')</t>
        </is>
      </c>
      <c r="J108" s="117" t="n"/>
      <c r="K108" s="119" t="n"/>
      <c r="L108" s="118" t="n"/>
      <c r="M108" s="119" t="n"/>
      <c r="N108" s="118" t="n"/>
      <c r="O108" s="119" t="n"/>
      <c r="P108" s="119" t="n"/>
      <c r="Q108" s="119" t="n"/>
      <c r="R108" s="119" t="n"/>
      <c r="S108" s="118" t="n"/>
      <c r="T108" s="119" t="n"/>
      <c r="U108" s="118" t="n"/>
      <c r="V108" s="118" t="n"/>
      <c r="W108" s="119" t="n"/>
      <c r="X108" s="119" t="n"/>
    </row>
    <row r="109" ht="17" customHeight="1">
      <c r="A109" s="117" t="inlineStr">
        <is>
          <t>begin group</t>
        </is>
      </c>
      <c r="B109" s="117" t="inlineStr">
        <is>
          <t>caregiver_consented</t>
        </is>
      </c>
      <c r="C109" s="120" t="n"/>
      <c r="D109" s="118" t="n"/>
      <c r="E109" s="119" t="n"/>
      <c r="F109" s="119" t="n"/>
      <c r="G109" s="118" t="n"/>
      <c r="H109" s="118" t="n"/>
      <c r="I109" s="120" t="inlineStr">
        <is>
          <t>selected(${consent_b}, '1')</t>
        </is>
      </c>
      <c r="J109" s="117" t="n"/>
      <c r="K109" s="119" t="n"/>
      <c r="L109" s="118" t="n"/>
      <c r="M109" s="119" t="n"/>
      <c r="N109" s="118" t="n"/>
      <c r="O109" s="119" t="n"/>
      <c r="P109" s="119" t="n"/>
      <c r="Q109" s="119" t="n"/>
      <c r="R109" s="119" t="n"/>
      <c r="S109" s="118" t="n"/>
      <c r="T109" s="119" t="n"/>
      <c r="U109" s="118" t="n"/>
      <c r="V109" s="118" t="n"/>
      <c r="W109" s="119" t="n"/>
      <c r="X109" s="119" t="n"/>
    </row>
    <row r="110" ht="85" customHeight="1">
      <c r="A110" s="117" t="inlineStr">
        <is>
          <t>select_one yesno</t>
        </is>
      </c>
      <c r="B110" s="117" t="inlineStr">
        <is>
          <t>caregiver_avail</t>
        </is>
      </c>
      <c r="C110" s="120" t="inlineStr">
        <is>
          <t>Thank you! 
&lt;br&gt;&lt;br&gt;
Do you have some more time to answer a few simple questions? It shouldn't take long.</t>
        </is>
      </c>
      <c r="D110" s="118" t="n"/>
      <c r="E110" s="119" t="n"/>
      <c r="F110" s="119" t="n"/>
      <c r="G110" s="118" t="n"/>
      <c r="H110" s="118" t="n"/>
      <c r="I110" s="120" t="n"/>
      <c r="J110" s="117" t="n"/>
      <c r="K110" s="117" t="inlineStr">
        <is>
          <t>yes</t>
        </is>
      </c>
      <c r="L110" s="118" t="n"/>
      <c r="M110" s="119" t="n"/>
      <c r="N110" s="118" t="n"/>
      <c r="O110" s="119" t="n"/>
      <c r="P110" s="119" t="n"/>
      <c r="Q110" s="119" t="n"/>
      <c r="R110" s="119" t="n"/>
      <c r="S110" s="118" t="n"/>
      <c r="T110" s="119" t="n"/>
      <c r="U110" s="118" t="n"/>
      <c r="V110" s="118" t="n"/>
      <c r="W110" s="119" t="n"/>
      <c r="X110" s="119" t="n"/>
    </row>
    <row r="111" ht="17" customHeight="1">
      <c r="A111" s="117" t="inlineStr">
        <is>
          <t>begin group</t>
        </is>
      </c>
      <c r="B111" s="117" t="inlineStr">
        <is>
          <t>caregiver_qs</t>
        </is>
      </c>
      <c r="C111" s="120" t="n"/>
      <c r="D111" s="118" t="n"/>
      <c r="E111" s="119" t="n"/>
      <c r="F111" s="119" t="n"/>
      <c r="G111" s="118" t="n"/>
      <c r="H111" s="118" t="n"/>
      <c r="I111" s="120" t="inlineStr">
        <is>
          <t>selected(${caregiver_avail}, '1')</t>
        </is>
      </c>
      <c r="J111" s="117" t="n"/>
      <c r="K111" s="119" t="n"/>
      <c r="L111" s="118" t="n"/>
      <c r="M111" s="119" t="n"/>
      <c r="N111" s="118" t="n"/>
      <c r="O111" s="119" t="n"/>
      <c r="P111" s="119" t="n"/>
      <c r="Q111" s="119" t="n"/>
      <c r="R111" s="119" t="n"/>
      <c r="S111" s="118" t="n"/>
      <c r="T111" s="119" t="n"/>
      <c r="U111" s="118" t="n"/>
      <c r="V111" s="118" t="n"/>
      <c r="W111" s="119" t="n"/>
      <c r="X111" s="119" t="n"/>
    </row>
    <row r="112" ht="102" customHeight="1">
      <c r="A112" s="117" t="inlineStr">
        <is>
          <t>select_one yesno</t>
        </is>
      </c>
      <c r="B112" s="117" t="inlineStr">
        <is>
          <t>stud_confirm</t>
        </is>
      </c>
      <c r="C112" s="120" t="inlineStr">
        <is>
          <t>Great, thanks!
&lt;br&gt;&lt;br&gt;
Before we begin, can you please confirm that this is the correct spelling of &lt;font color="#14b14b"&gt;&lt;b&gt;&lt;u&gt;${stud_name}&lt;/u&gt;&lt;/b&gt;&lt;/font&gt;?</t>
        </is>
      </c>
      <c r="D112" s="118" t="n"/>
      <c r="E112" s="119" t="n"/>
      <c r="F112" s="119" t="n"/>
      <c r="G112" s="118" t="n"/>
      <c r="H112" s="118" t="n"/>
      <c r="I112" s="120" t="n"/>
      <c r="J112" s="117" t="n"/>
      <c r="K112" s="117" t="inlineStr">
        <is>
          <t>yes</t>
        </is>
      </c>
      <c r="L112" s="118" t="n"/>
      <c r="M112" s="119" t="n"/>
      <c r="N112" s="118" t="n"/>
      <c r="O112" s="119" t="n"/>
      <c r="P112" s="119" t="n"/>
      <c r="Q112" s="119" t="n"/>
      <c r="R112" s="119" t="n"/>
      <c r="S112" s="118" t="n"/>
      <c r="T112" s="119" t="n"/>
      <c r="U112" s="118" t="n"/>
      <c r="V112" s="118" t="n"/>
      <c r="W112" s="119" t="n"/>
      <c r="X112" s="119" t="n"/>
    </row>
    <row r="113" ht="17" customHeight="1">
      <c r="A113" s="117" t="inlineStr">
        <is>
          <t>begin group</t>
        </is>
      </c>
      <c r="B113" s="117" t="inlineStr">
        <is>
          <t>new_student</t>
        </is>
      </c>
      <c r="C113" s="120" t="n"/>
      <c r="D113" s="118" t="n"/>
      <c r="E113" s="119" t="n"/>
      <c r="F113" s="117" t="inlineStr">
        <is>
          <t>field-list</t>
        </is>
      </c>
      <c r="G113" s="118" t="n"/>
      <c r="H113" s="118" t="n"/>
      <c r="I113" s="120" t="inlineStr">
        <is>
          <t>selected(${stud_confirm}, '0')</t>
        </is>
      </c>
      <c r="J113" s="117" t="n"/>
      <c r="K113" s="119" t="n"/>
      <c r="L113" s="118" t="n"/>
      <c r="M113" s="119" t="n"/>
      <c r="N113" s="118" t="n"/>
      <c r="O113" s="119" t="n"/>
      <c r="P113" s="119" t="n"/>
      <c r="Q113" s="119" t="n"/>
      <c r="R113" s="119" t="n"/>
      <c r="S113" s="118" t="n"/>
      <c r="T113" s="119" t="n"/>
      <c r="U113" s="118" t="n"/>
      <c r="V113" s="118" t="n"/>
      <c r="W113" s="119" t="n"/>
      <c r="X113" s="119" t="n"/>
    </row>
    <row r="114" ht="34" customHeight="1">
      <c r="A114" s="117" t="inlineStr">
        <is>
          <t>text</t>
        </is>
      </c>
      <c r="B114" s="117" t="inlineStr">
        <is>
          <t>new_stud_firstname</t>
        </is>
      </c>
      <c r="C114" s="120" t="inlineStr">
        <is>
          <t>What is the correct first name?</t>
        </is>
      </c>
      <c r="D114" s="118" t="n"/>
      <c r="E114" s="119" t="n"/>
      <c r="F114" s="119" t="n"/>
      <c r="G114" s="120" t="inlineStr">
        <is>
          <t>string-length(.) &gt; 2</t>
        </is>
      </c>
      <c r="H114" s="120" t="inlineStr">
        <is>
          <t>Please enter the first name of the student.</t>
        </is>
      </c>
      <c r="I114" s="120" t="n"/>
      <c r="J114" s="117" t="n"/>
      <c r="K114" s="117" t="inlineStr">
        <is>
          <t>yes</t>
        </is>
      </c>
      <c r="L114" s="118" t="n"/>
      <c r="M114" s="119" t="n"/>
      <c r="N114" s="118" t="n"/>
      <c r="O114" s="119" t="n"/>
      <c r="P114" s="119" t="n"/>
      <c r="Q114" s="119" t="n"/>
      <c r="R114" s="119" t="n"/>
      <c r="S114" s="118" t="n"/>
      <c r="T114" s="119" t="n"/>
      <c r="U114" s="118" t="n"/>
      <c r="V114" s="118" t="n"/>
      <c r="W114" s="119" t="n"/>
      <c r="X114" s="119" t="n"/>
    </row>
    <row r="115" ht="51" customHeight="1">
      <c r="A115" s="117" t="inlineStr">
        <is>
          <t>text</t>
        </is>
      </c>
      <c r="B115" s="117" t="inlineStr">
        <is>
          <t>new_stud_surname</t>
        </is>
      </c>
      <c r="C115" s="120" t="inlineStr">
        <is>
          <t>What is the correct surname/last name?</t>
        </is>
      </c>
      <c r="D115" s="118" t="n"/>
      <c r="E115" s="119" t="n"/>
      <c r="F115" s="119" t="n"/>
      <c r="G115" s="120" t="inlineStr">
        <is>
          <t>string-length(.) &gt; 2</t>
        </is>
      </c>
      <c r="H115" s="120" t="inlineStr">
        <is>
          <t>Please enter the surname/last name of the student.</t>
        </is>
      </c>
      <c r="I115" s="120" t="n"/>
      <c r="J115" s="117" t="n"/>
      <c r="K115" s="117" t="inlineStr">
        <is>
          <t>yes</t>
        </is>
      </c>
      <c r="L115" s="118" t="n"/>
      <c r="M115" s="119" t="n"/>
      <c r="N115" s="118" t="n"/>
      <c r="O115" s="119" t="n"/>
      <c r="P115" s="119" t="n"/>
      <c r="Q115" s="119" t="n"/>
      <c r="R115" s="119" t="n"/>
      <c r="S115" s="118" t="n"/>
      <c r="T115" s="119" t="n"/>
      <c r="U115" s="118" t="n"/>
      <c r="V115" s="118" t="n"/>
      <c r="W115" s="119" t="n"/>
      <c r="X115" s="119" t="n"/>
    </row>
    <row r="116" ht="17" customHeight="1">
      <c r="A116" s="117" t="inlineStr">
        <is>
          <t>calculate</t>
        </is>
      </c>
      <c r="B116" s="117" t="inlineStr">
        <is>
          <t>new_stud_name</t>
        </is>
      </c>
      <c r="C116" s="120" t="inlineStr">
        <is>
          <t>Returns updated name of student</t>
        </is>
      </c>
      <c r="D116" s="118" t="n"/>
      <c r="E116" s="119" t="n"/>
      <c r="F116" s="119" t="n"/>
      <c r="G116" s="118" t="n"/>
      <c r="H116" s="118" t="n"/>
      <c r="I116" s="120" t="n"/>
      <c r="J116" s="117" t="n"/>
      <c r="K116" s="119" t="n"/>
      <c r="L116" s="118" t="n"/>
      <c r="M116" s="119" t="n"/>
      <c r="N116" s="120" t="inlineStr">
        <is>
          <t>concat(${new_stud_firstname}, ' ', ${new_stud_surname})</t>
        </is>
      </c>
      <c r="O116" s="119" t="n"/>
      <c r="P116" s="119" t="n"/>
      <c r="Q116" s="119" t="n"/>
      <c r="R116" s="119" t="n"/>
      <c r="S116" s="118" t="n"/>
      <c r="T116" s="119" t="n"/>
      <c r="U116" s="118" t="n"/>
      <c r="V116" s="118" t="n"/>
      <c r="W116" s="119" t="n"/>
      <c r="X116" s="119" t="n"/>
    </row>
    <row r="117">
      <c r="A117" s="117" t="inlineStr">
        <is>
          <t>end group</t>
        </is>
      </c>
      <c r="B117" s="117" t="inlineStr">
        <is>
          <t>new_student</t>
        </is>
      </c>
      <c r="C117" s="120" t="n"/>
      <c r="D117" s="118" t="n"/>
      <c r="E117" s="119" t="n"/>
      <c r="F117" s="119" t="n"/>
      <c r="G117" s="118" t="n"/>
      <c r="H117" s="118" t="n"/>
      <c r="I117" s="120" t="n"/>
      <c r="J117" s="117" t="n"/>
      <c r="K117" s="119" t="n"/>
      <c r="L117" s="118" t="n"/>
      <c r="M117" s="119" t="n"/>
      <c r="N117" s="118" t="n"/>
      <c r="O117" s="119" t="n"/>
      <c r="P117" s="119" t="n"/>
      <c r="Q117" s="119" t="n"/>
      <c r="R117" s="119" t="n"/>
      <c r="S117" s="118" t="n"/>
      <c r="T117" s="119" t="n"/>
      <c r="U117" s="118" t="n"/>
      <c r="V117" s="118" t="n"/>
      <c r="W117" s="119" t="n"/>
      <c r="X117" s="119" t="n"/>
    </row>
    <row r="118" ht="34" customHeight="1">
      <c r="A118" s="117" t="inlineStr">
        <is>
          <t>select_one yesno</t>
        </is>
      </c>
      <c r="B118" s="117" t="inlineStr">
        <is>
          <t>temp_educ_support1</t>
        </is>
      </c>
      <c r="C118" s="120" t="inlineStr">
        <is>
          <t>Are you the person who typically provides educational instruction or helps &lt;font color="#14b14b"&gt;&lt;b&gt;&lt;u&gt;${stud_name_b}&lt;/u&gt;&lt;/b&gt;&lt;/font&gt; with their schoolwork?</t>
        </is>
      </c>
      <c r="D118" s="118" t="n"/>
      <c r="E118" s="119" t="n"/>
      <c r="F118" s="119" t="n"/>
      <c r="G118" s="118" t="n"/>
      <c r="H118" s="118" t="n"/>
      <c r="I118" s="120" t="n"/>
      <c r="J118" s="117" t="n"/>
      <c r="K118" s="117" t="inlineStr">
        <is>
          <t>yes</t>
        </is>
      </c>
      <c r="L118" s="118" t="n"/>
      <c r="M118" s="119" t="n"/>
      <c r="N118" s="118" t="n"/>
      <c r="O118" s="119" t="n"/>
      <c r="P118" s="119" t="n"/>
      <c r="Q118" s="119" t="n"/>
      <c r="R118" s="119" t="n"/>
      <c r="S118" s="118" t="n"/>
      <c r="T118" s="119" t="n"/>
      <c r="U118" s="118" t="n"/>
      <c r="V118" s="118" t="n"/>
      <c r="W118" s="119" t="n"/>
      <c r="X118" s="119" t="n"/>
    </row>
    <row r="119" ht="17" customHeight="1">
      <c r="A119" s="117" t="inlineStr">
        <is>
          <t>select_one relationship</t>
        </is>
      </c>
      <c r="B119" s="117" t="inlineStr">
        <is>
          <t>care_rel2_b</t>
        </is>
      </c>
      <c r="C119" s="120" t="inlineStr">
        <is>
          <t>How are you related to &lt;font color="#14b14b"&gt;&lt;b&gt;&lt;u&gt;${stud_name_b}&lt;/u&gt;&lt;/b&gt;&lt;/font&gt;?</t>
        </is>
      </c>
      <c r="D119" s="118" t="n"/>
      <c r="E119" s="119" t="n"/>
      <c r="F119" s="119" t="n"/>
      <c r="G119" s="118" t="n"/>
      <c r="H119" s="118" t="n"/>
      <c r="I119" s="120" t="n"/>
      <c r="J119" s="117" t="inlineStr">
        <is>
          <t>yes</t>
        </is>
      </c>
      <c r="K119" s="117" t="inlineStr">
        <is>
          <t>yes</t>
        </is>
      </c>
      <c r="L119" s="118" t="n"/>
      <c r="M119" s="119" t="n"/>
      <c r="N119" s="118" t="n"/>
      <c r="O119" s="119" t="n"/>
      <c r="P119" s="119" t="n"/>
      <c r="Q119" s="119" t="n"/>
      <c r="R119" s="119" t="n"/>
      <c r="S119" s="118" t="n"/>
      <c r="T119" s="119" t="n"/>
      <c r="U119" s="118" t="n"/>
      <c r="V119" s="118" t="n"/>
      <c r="W119" s="119" t="n"/>
      <c r="X119" s="119" t="n"/>
    </row>
    <row r="120" ht="17" customHeight="1">
      <c r="A120" s="117" t="inlineStr">
        <is>
          <t>calculate</t>
        </is>
      </c>
      <c r="B120" s="117" t="inlineStr">
        <is>
          <t>care_rel2_lab_b</t>
        </is>
      </c>
      <c r="C120" s="120" t="inlineStr">
        <is>
          <t>Returns choice label of "care_rel2_b"</t>
        </is>
      </c>
      <c r="D120" s="118" t="n"/>
      <c r="E120" s="119" t="n"/>
      <c r="F120" s="119" t="n"/>
      <c r="G120" s="118" t="n"/>
      <c r="H120" s="118" t="n"/>
      <c r="I120" s="120" t="n"/>
      <c r="J120" s="117" t="inlineStr">
        <is>
          <t>yes</t>
        </is>
      </c>
      <c r="K120" s="119" t="n"/>
      <c r="L120" s="118" t="n"/>
      <c r="M120" s="119" t="n"/>
      <c r="N120" s="120" t="inlineStr">
        <is>
          <t>choice-label(${care_rel2_b}, ${care_rel2_b})</t>
        </is>
      </c>
      <c r="O120" s="119" t="n"/>
      <c r="P120" s="119" t="n"/>
      <c r="Q120" s="119" t="n"/>
      <c r="R120" s="119" t="n"/>
      <c r="S120" s="118" t="n"/>
      <c r="T120" s="119" t="n"/>
      <c r="U120" s="118" t="n"/>
      <c r="V120" s="118" t="n"/>
      <c r="W120" s="119" t="n"/>
      <c r="X120" s="119" t="n"/>
    </row>
    <row r="121" ht="34" customHeight="1">
      <c r="A121" s="117" t="inlineStr">
        <is>
          <t>select_one relationship</t>
        </is>
      </c>
      <c r="B121" s="117" t="inlineStr">
        <is>
          <t>temp_educ_support2</t>
        </is>
      </c>
      <c r="C121" s="120" t="inlineStr">
        <is>
          <t>Who typically provides educational instruction or helps &lt;font color="#14b14b"&gt;&lt;b&gt;&lt;u&gt;${stud_name_b}&lt;/u&gt;&lt;/b&gt;&lt;/font&gt; with their schoolwork?</t>
        </is>
      </c>
      <c r="D121" s="118" t="n"/>
      <c r="E121" s="119" t="n"/>
      <c r="F121" s="119" t="n"/>
      <c r="G121" s="118" t="n"/>
      <c r="H121" s="118" t="n"/>
      <c r="I121" s="120" t="inlineStr">
        <is>
          <t>selected(${temp_educ_support1}, '0')</t>
        </is>
      </c>
      <c r="J121" s="117" t="n"/>
      <c r="K121" s="117" t="inlineStr">
        <is>
          <t>yes</t>
        </is>
      </c>
      <c r="L121" s="118" t="n"/>
      <c r="M121" s="119" t="n"/>
      <c r="N121" s="118" t="n"/>
      <c r="O121" s="119" t="n"/>
      <c r="P121" s="119" t="n"/>
      <c r="Q121" s="119" t="n"/>
      <c r="R121" s="119" t="n"/>
      <c r="S121" s="118" t="n"/>
      <c r="T121" s="119" t="n"/>
      <c r="U121" s="118" t="n"/>
      <c r="V121" s="118" t="n"/>
      <c r="W121" s="119" t="n"/>
      <c r="X121" s="119" t="n"/>
    </row>
    <row r="122" ht="17" customHeight="1">
      <c r="A122" s="117" t="inlineStr">
        <is>
          <t>calculate</t>
        </is>
      </c>
      <c r="B122" s="117" t="inlineStr">
        <is>
          <t>educ_support_person_b</t>
        </is>
      </c>
      <c r="C122" s="120" t="inlineStr">
        <is>
          <t>Returns the person who typically provides educational support</t>
        </is>
      </c>
      <c r="D122" s="118" t="n"/>
      <c r="E122" s="119" t="n"/>
      <c r="F122" s="119" t="n"/>
      <c r="G122" s="118" t="n"/>
      <c r="H122" s="118" t="n"/>
      <c r="I122" s="120" t="n"/>
      <c r="J122" s="117" t="n"/>
      <c r="K122" s="119" t="n"/>
      <c r="L122" s="118" t="n"/>
      <c r="M122" s="119" t="n"/>
      <c r="N122" s="120" t="inlineStr">
        <is>
          <t>if(${temp_educ_support1} = 1, ${care_rel2_b}, ${temp_educ_support2})</t>
        </is>
      </c>
      <c r="O122" s="119" t="n"/>
      <c r="P122" s="119" t="n"/>
      <c r="Q122" s="119" t="n"/>
      <c r="R122" s="119" t="n"/>
      <c r="S122" s="118" t="n"/>
      <c r="T122" s="119" t="n"/>
      <c r="U122" s="118" t="n"/>
      <c r="V122" s="118" t="n"/>
      <c r="W122" s="119" t="n"/>
      <c r="X122" s="119" t="n"/>
    </row>
    <row r="123" ht="17" customHeight="1">
      <c r="A123" s="117" t="inlineStr">
        <is>
          <t>begin group</t>
        </is>
      </c>
      <c r="B123" s="117" t="inlineStr">
        <is>
          <t>educ_support_person</t>
        </is>
      </c>
      <c r="C123" s="120" t="n"/>
      <c r="D123" s="118" t="n"/>
      <c r="E123" s="119" t="n"/>
      <c r="F123" s="117" t="inlineStr">
        <is>
          <t>field-list</t>
        </is>
      </c>
      <c r="G123" s="118" t="n"/>
      <c r="H123" s="118" t="n"/>
      <c r="I123" s="120" t="inlineStr">
        <is>
          <t>selected(${temp_educ_support1}, '0')</t>
        </is>
      </c>
      <c r="J123" s="117" t="inlineStr">
        <is>
          <t>yes</t>
        </is>
      </c>
      <c r="K123" s="119" t="n"/>
      <c r="L123" s="118" t="n"/>
      <c r="M123" s="119" t="n"/>
      <c r="N123" s="118" t="n"/>
      <c r="O123" s="119" t="n"/>
      <c r="P123" s="119" t="n"/>
      <c r="Q123" s="119" t="n"/>
      <c r="R123" s="119" t="n"/>
      <c r="S123" s="118" t="n"/>
      <c r="T123" s="119" t="n"/>
      <c r="U123" s="118" t="n"/>
      <c r="V123" s="118" t="n"/>
      <c r="W123" s="119" t="n"/>
      <c r="X123" s="119" t="n"/>
    </row>
    <row r="124" ht="34" customHeight="1">
      <c r="A124" s="117" t="inlineStr">
        <is>
          <t>note</t>
        </is>
      </c>
      <c r="B124" s="117" t="inlineStr">
        <is>
          <t>note_educ_support_person</t>
        </is>
      </c>
      <c r="C124" s="120" t="inlineStr">
        <is>
          <t>What is the name pf the person who typically provides educational instruction or helps &lt;font color="#14b14b"&gt;&lt;b&gt;&lt;u&gt;${stud_name_b}&lt;/u&gt;&lt;/b&gt;&lt;/font&gt; with their schoolwork?</t>
        </is>
      </c>
      <c r="D124" s="118" t="n"/>
      <c r="E124" s="119" t="n"/>
      <c r="F124" s="119" t="n"/>
      <c r="G124" s="118" t="n"/>
      <c r="H124" s="118" t="n"/>
      <c r="I124" s="120" t="n"/>
      <c r="J124" s="117" t="inlineStr">
        <is>
          <t>yes</t>
        </is>
      </c>
      <c r="K124" s="119" t="n"/>
      <c r="L124" s="118" t="n"/>
      <c r="M124" s="119" t="n"/>
      <c r="N124" s="118" t="n"/>
      <c r="O124" s="119" t="n"/>
      <c r="P124" s="119" t="n"/>
      <c r="Q124" s="119" t="n"/>
      <c r="R124" s="119" t="n"/>
      <c r="S124" s="118" t="n"/>
      <c r="T124" s="119" t="n"/>
      <c r="U124" s="118" t="n"/>
      <c r="V124" s="118" t="n"/>
      <c r="W124" s="119" t="n"/>
      <c r="X124" s="119" t="n"/>
    </row>
    <row r="125" ht="68" customHeight="1">
      <c r="A125" s="117" t="inlineStr">
        <is>
          <t>text</t>
        </is>
      </c>
      <c r="B125" s="117" t="inlineStr">
        <is>
          <t>educ_support_firstname</t>
        </is>
      </c>
      <c r="C125" s="120" t="inlineStr">
        <is>
          <t>First name:</t>
        </is>
      </c>
      <c r="D125" s="118" t="n"/>
      <c r="E125" s="119" t="n"/>
      <c r="F125" s="119" t="n"/>
      <c r="G125" s="120" t="inlineStr">
        <is>
          <t>string-length(.) &gt; 2</t>
        </is>
      </c>
      <c r="H125" s="120" t="inlineStr">
        <is>
          <t>Please enter the first name of the person who typically helps the child.</t>
        </is>
      </c>
      <c r="I125" s="120" t="n"/>
      <c r="J125" s="117" t="inlineStr">
        <is>
          <t>yes</t>
        </is>
      </c>
      <c r="K125" s="117" t="inlineStr">
        <is>
          <t>yes</t>
        </is>
      </c>
      <c r="L125" s="118" t="n"/>
      <c r="M125" s="119" t="n"/>
      <c r="N125" s="118" t="n"/>
      <c r="O125" s="119" t="n"/>
      <c r="P125" s="119" t="n"/>
      <c r="Q125" s="119" t="n"/>
      <c r="R125" s="119" t="n"/>
      <c r="S125" s="118" t="n"/>
      <c r="T125" s="119" t="n"/>
      <c r="U125" s="118" t="n"/>
      <c r="V125" s="118" t="n"/>
      <c r="W125" s="119" t="n"/>
      <c r="X125" s="119" t="n"/>
    </row>
    <row r="126" ht="85" customHeight="1">
      <c r="A126" s="117" t="inlineStr">
        <is>
          <t>text</t>
        </is>
      </c>
      <c r="B126" s="117" t="inlineStr">
        <is>
          <t>educ_support_surname</t>
        </is>
      </c>
      <c r="C126" s="120" t="inlineStr">
        <is>
          <t>Surname/last name:</t>
        </is>
      </c>
      <c r="D126" s="118" t="n"/>
      <c r="E126" s="119" t="n"/>
      <c r="F126" s="119" t="n"/>
      <c r="G126" s="120" t="inlineStr">
        <is>
          <t>string-length(.) &gt; 2</t>
        </is>
      </c>
      <c r="H126" s="120" t="inlineStr">
        <is>
          <t>Please enter the surname/last name of the person who typically helps the child.</t>
        </is>
      </c>
      <c r="I126" s="120" t="n"/>
      <c r="J126" s="117" t="inlineStr">
        <is>
          <t>yes</t>
        </is>
      </c>
      <c r="K126" s="117" t="inlineStr">
        <is>
          <t>yes</t>
        </is>
      </c>
      <c r="L126" s="118" t="n"/>
      <c r="M126" s="119" t="n"/>
      <c r="N126" s="118" t="n"/>
      <c r="O126" s="119" t="n"/>
      <c r="P126" s="119" t="n"/>
      <c r="Q126" s="119" t="n"/>
      <c r="R126" s="119" t="n"/>
      <c r="S126" s="118" t="n"/>
      <c r="T126" s="119" t="n"/>
      <c r="U126" s="118" t="n"/>
      <c r="V126" s="118" t="n"/>
      <c r="W126" s="119" t="n"/>
      <c r="X126" s="119" t="n"/>
    </row>
    <row r="127" ht="17" customHeight="1">
      <c r="A127" s="117" t="inlineStr">
        <is>
          <t>calculate</t>
        </is>
      </c>
      <c r="B127" s="117" t="inlineStr">
        <is>
          <t>name_educ_support_person_b</t>
        </is>
      </c>
      <c r="C127" s="120" t="inlineStr">
        <is>
          <t>Returns name of the person who typically helps the child</t>
        </is>
      </c>
      <c r="D127" s="118" t="n"/>
      <c r="E127" s="119" t="n"/>
      <c r="F127" s="119" t="n"/>
      <c r="G127" s="118" t="n"/>
      <c r="H127" s="118" t="n"/>
      <c r="I127" s="120" t="n"/>
      <c r="J127" s="117" t="inlineStr">
        <is>
          <t>yes</t>
        </is>
      </c>
      <c r="K127" s="119" t="n"/>
      <c r="L127" s="118" t="n"/>
      <c r="M127" s="119" t="n"/>
      <c r="N127" s="120" t="inlineStr">
        <is>
          <t>concat(${educ_support_firstname}, ' ', ${educ_support_surname})</t>
        </is>
      </c>
      <c r="O127" s="119" t="n"/>
      <c r="P127" s="119" t="n"/>
      <c r="Q127" s="119" t="n"/>
      <c r="R127" s="119" t="n"/>
      <c r="S127" s="118" t="n"/>
      <c r="T127" s="119" t="n"/>
      <c r="U127" s="118" t="n"/>
      <c r="V127" s="118" t="n"/>
      <c r="W127" s="119" t="n"/>
      <c r="X127" s="119" t="n"/>
    </row>
    <row r="128" ht="17" customHeight="1">
      <c r="A128" s="117" t="inlineStr">
        <is>
          <t>end group</t>
        </is>
      </c>
      <c r="B128" s="117" t="inlineStr">
        <is>
          <t>educ_support_person</t>
        </is>
      </c>
      <c r="C128" s="120" t="n"/>
      <c r="D128" s="118" t="n"/>
      <c r="E128" s="119" t="n"/>
      <c r="F128" s="119" t="n"/>
      <c r="G128" s="118" t="n"/>
      <c r="H128" s="118" t="n"/>
      <c r="I128" s="120" t="n"/>
      <c r="J128" s="117" t="inlineStr">
        <is>
          <t>yes</t>
        </is>
      </c>
      <c r="K128" s="119" t="n"/>
      <c r="L128" s="118" t="n"/>
      <c r="M128" s="119" t="n"/>
      <c r="N128" s="118" t="n"/>
      <c r="O128" s="119" t="n"/>
      <c r="P128" s="119" t="n"/>
      <c r="Q128" s="119" t="n"/>
      <c r="R128" s="119" t="n"/>
      <c r="S128" s="118" t="n"/>
      <c r="T128" s="119" t="n"/>
      <c r="U128" s="118" t="n"/>
      <c r="V128" s="118" t="n"/>
      <c r="W128" s="119" t="n"/>
      <c r="X128" s="119" t="n"/>
    </row>
    <row r="129" ht="34" customHeight="1">
      <c r="A129" s="117" t="inlineStr">
        <is>
          <t>integer</t>
        </is>
      </c>
      <c r="B129" s="117" t="inlineStr">
        <is>
          <t>stud_age_b</t>
        </is>
      </c>
      <c r="C129" s="120" t="inlineStr">
        <is>
          <t>How old is the child (&lt;font color="#14b14b"&gt;&lt;b&gt;&lt;u&gt;${stud_name_b}&lt;/u&gt;&lt;/b&gt;&lt;/font&gt;)?</t>
        </is>
      </c>
      <c r="D129" s="118" t="n"/>
      <c r="E129" s="119" t="n"/>
      <c r="F129" s="119" t="n"/>
      <c r="G129" s="120" t="inlineStr">
        <is>
          <t>(.&gt;=5 and .&lt;=20)</t>
        </is>
      </c>
      <c r="H129" s="120" t="inlineStr">
        <is>
          <t>Please enter a number between 5 and 20.</t>
        </is>
      </c>
      <c r="I129" s="120" t="n"/>
      <c r="J129" s="117" t="inlineStr">
        <is>
          <t>yes</t>
        </is>
      </c>
      <c r="K129" s="117" t="inlineStr">
        <is>
          <t>yes</t>
        </is>
      </c>
      <c r="L129" s="118" t="n"/>
      <c r="M129" s="119" t="n"/>
      <c r="N129" s="118" t="n"/>
      <c r="O129" s="119" t="n"/>
      <c r="P129" s="119" t="n"/>
      <c r="Q129" s="119" t="n"/>
      <c r="R129" s="119" t="n"/>
      <c r="S129" s="118" t="n"/>
      <c r="T129" s="119" t="n"/>
      <c r="U129" s="118" t="n"/>
      <c r="V129" s="118" t="n"/>
      <c r="W129" s="119" t="n"/>
      <c r="X129" s="119" t="n"/>
    </row>
    <row r="130" ht="34" customHeight="1">
      <c r="A130" s="117" t="inlineStr">
        <is>
          <t>integer</t>
        </is>
      </c>
      <c r="B130" s="117" t="inlineStr">
        <is>
          <t>stud_std_b</t>
        </is>
      </c>
      <c r="C130" s="120" t="inlineStr">
        <is>
          <t>What grade are they in?</t>
        </is>
      </c>
      <c r="D130" s="118" t="n"/>
      <c r="E130" s="119" t="n"/>
      <c r="F130" s="119" t="n"/>
      <c r="G130" s="120" t="inlineStr">
        <is>
          <t>(.&gt;=3 and .&lt;=6)</t>
        </is>
      </c>
      <c r="H130" s="120" t="inlineStr">
        <is>
          <t>Grade must be between 3 and 6.</t>
        </is>
      </c>
      <c r="I130" s="120" t="n"/>
      <c r="J130" s="117" t="inlineStr">
        <is>
          <t>yes</t>
        </is>
      </c>
      <c r="K130" s="117" t="inlineStr">
        <is>
          <t>yes</t>
        </is>
      </c>
      <c r="L130" s="118" t="n"/>
      <c r="M130" s="119" t="n"/>
      <c r="N130" s="118" t="n"/>
      <c r="O130" s="119" t="n"/>
      <c r="P130" s="119" t="n"/>
      <c r="Q130" s="119" t="n"/>
      <c r="R130" s="119" t="n"/>
      <c r="S130" s="118" t="n"/>
      <c r="T130" s="119" t="n"/>
      <c r="U130" s="118" t="n"/>
      <c r="V130" s="118" t="n"/>
      <c r="W130" s="119" t="n"/>
      <c r="X130" s="119" t="n"/>
    </row>
    <row r="131" ht="17" customHeight="1">
      <c r="A131" s="117" t="inlineStr">
        <is>
          <t>select_one sex</t>
        </is>
      </c>
      <c r="B131" s="117" t="inlineStr">
        <is>
          <t>stud_female_b</t>
        </is>
      </c>
      <c r="C131" s="120" t="inlineStr">
        <is>
          <t>Is (&lt;font color="#14b14b"&gt;&lt;b&gt;&lt;u&gt;${stud_name_b}&lt;/u&gt;&lt;/b&gt;&lt;/font&gt;) a girl or a boy?</t>
        </is>
      </c>
      <c r="D131" s="118" t="n"/>
      <c r="E131" s="119" t="n"/>
      <c r="F131" s="119" t="n"/>
      <c r="G131" s="118" t="n"/>
      <c r="H131" s="118" t="n"/>
      <c r="I131" s="120" t="n"/>
      <c r="J131" s="117" t="inlineStr">
        <is>
          <t>yes</t>
        </is>
      </c>
      <c r="K131" s="117" t="inlineStr">
        <is>
          <t>yes</t>
        </is>
      </c>
      <c r="L131" s="118" t="n"/>
      <c r="M131" s="119" t="n"/>
      <c r="N131" s="118" t="n"/>
      <c r="O131" s="119" t="n"/>
      <c r="P131" s="119" t="n"/>
      <c r="Q131" s="119" t="n"/>
      <c r="R131" s="119" t="n"/>
      <c r="S131" s="118" t="n"/>
      <c r="T131" s="119" t="n"/>
      <c r="U131" s="118" t="n"/>
      <c r="V131" s="118" t="n"/>
      <c r="W131" s="119" t="n"/>
      <c r="X131" s="119" t="n"/>
    </row>
    <row r="132" ht="34" customHeight="1">
      <c r="A132" s="117" t="inlineStr">
        <is>
          <t>select_one yesno</t>
        </is>
      </c>
      <c r="B132" s="117" t="inlineStr">
        <is>
          <t>stud_disability_b</t>
        </is>
      </c>
      <c r="C132" s="120" t="inlineStr">
        <is>
          <t>Does the child (&lt;font color="#14b14b"&gt;&lt;b&gt;&lt;u&gt;${stud_name_b}&lt;/u&gt;&lt;/b&gt;&lt;/font&gt;) have any known disabilities that you'd like to tell us about?</t>
        </is>
      </c>
      <c r="D132" s="118" t="n"/>
      <c r="E132" s="119" t="n"/>
      <c r="F132" s="119" t="n"/>
      <c r="G132" s="118" t="n"/>
      <c r="H132" s="118" t="n"/>
      <c r="I132" s="120" t="n"/>
      <c r="J132" s="117" t="inlineStr">
        <is>
          <t>yes</t>
        </is>
      </c>
      <c r="K132" s="117" t="inlineStr">
        <is>
          <t>yes</t>
        </is>
      </c>
      <c r="L132" s="118" t="n"/>
      <c r="M132" s="119" t="n"/>
      <c r="N132" s="118" t="n"/>
      <c r="O132" s="119" t="n"/>
      <c r="P132" s="119" t="n"/>
      <c r="Q132" s="119" t="n"/>
      <c r="R132" s="119" t="n"/>
      <c r="S132" s="118" t="n"/>
      <c r="T132" s="119" t="n"/>
      <c r="U132" s="118" t="n"/>
      <c r="V132" s="118" t="n"/>
      <c r="W132" s="119" t="n"/>
      <c r="X132" s="119" t="n"/>
    </row>
    <row r="133" ht="68" customHeight="1">
      <c r="A133" s="117" t="inlineStr">
        <is>
          <t>text</t>
        </is>
      </c>
      <c r="B133" s="117" t="inlineStr">
        <is>
          <t>temp_search_school</t>
        </is>
      </c>
      <c r="C133" s="120" t="inlineStr">
        <is>
          <t>What school does the child (&lt;font color="#14b14b"&gt;&lt;b&gt;&lt;u&gt;${stud_name_b}&lt;/u&gt;&lt;/b&gt;&lt;/font&gt;) attend?</t>
        </is>
      </c>
      <c r="D133" s="120" t="inlineStr">
        <is>
          <t>TIP: To see a list of ALL schools, leave the search bar blank and continue to the next screen.</t>
        </is>
      </c>
      <c r="E133" s="119" t="n"/>
      <c r="F133" s="119" t="n"/>
      <c r="G133" s="118" t="n"/>
      <c r="H133" s="118" t="n"/>
      <c r="I133" s="120" t="n"/>
      <c r="J133" s="117" t="inlineStr">
        <is>
          <t>yes</t>
        </is>
      </c>
      <c r="K133" s="117" t="inlineStr">
        <is>
          <t>yes</t>
        </is>
      </c>
      <c r="L133" s="118" t="n"/>
      <c r="M133" s="119" t="n"/>
      <c r="N133" s="118" t="n"/>
      <c r="O133" s="119" t="n"/>
      <c r="P133" s="119" t="n"/>
      <c r="Q133" s="119" t="n"/>
      <c r="R133" s="119" t="n"/>
      <c r="S133" s="118" t="n"/>
      <c r="T133" s="119" t="n"/>
      <c r="U133" s="118" t="n"/>
      <c r="V133" s="118" t="n"/>
      <c r="W133" s="119" t="n"/>
      <c r="X133" s="119" t="n"/>
    </row>
    <row r="134" ht="119" customHeight="1">
      <c r="A134" s="117" t="inlineStr">
        <is>
          <t>select_one school</t>
        </is>
      </c>
      <c r="B134" s="117" t="inlineStr">
        <is>
          <t>school_id_b</t>
        </is>
      </c>
      <c r="C134" s="120" t="inlineStr">
        <is>
          <t>What school does &lt;font color="#14b14b"&gt;&lt;b&gt;&lt;u&gt;${stud_name_b}&lt;/u&gt;&lt;/b&gt;&lt;/font&gt; attend?</t>
        </is>
      </c>
      <c r="D134" s="120" t="inlineStr">
        <is>
          <t>TIP: If you don't see the name of the school, return to the previous page and try searching fewer letters. If you still can't find the name, leave the search bar blank to see ALL schools.</t>
        </is>
      </c>
      <c r="E134" s="119" t="n"/>
      <c r="F134" s="117" t="inlineStr">
        <is>
          <t>search('school_preload_ph', 'contains', 'school_name', ${temp_search_school})</t>
        </is>
      </c>
      <c r="G134" s="118" t="n"/>
      <c r="H134" s="118" t="n"/>
      <c r="I134" s="120" t="n"/>
      <c r="J134" s="117" t="inlineStr">
        <is>
          <t>yes</t>
        </is>
      </c>
      <c r="K134" s="117" t="inlineStr">
        <is>
          <t>yes</t>
        </is>
      </c>
      <c r="L134" s="118" t="n"/>
      <c r="M134" s="119" t="n"/>
      <c r="N134" s="118" t="n"/>
      <c r="O134" s="119" t="n"/>
      <c r="P134" s="119" t="n"/>
      <c r="Q134" s="119" t="n"/>
      <c r="R134" s="119" t="n"/>
      <c r="S134" s="118" t="n"/>
      <c r="T134" s="119" t="n"/>
      <c r="U134" s="118" t="n"/>
      <c r="V134" s="118" t="n"/>
      <c r="W134" s="119" t="n"/>
      <c r="X134" s="119" t="n"/>
    </row>
    <row r="135" ht="17" customHeight="1">
      <c r="A135" s="117" t="inlineStr">
        <is>
          <t>calculate</t>
        </is>
      </c>
      <c r="B135" s="117" t="inlineStr">
        <is>
          <t>school_b</t>
        </is>
      </c>
      <c r="C135" s="120" t="inlineStr">
        <is>
          <t>Returns the school name, pulled from schools preload</t>
        </is>
      </c>
      <c r="D135" s="118" t="n"/>
      <c r="E135" s="119" t="n"/>
      <c r="F135" s="119" t="n"/>
      <c r="G135" s="118" t="n"/>
      <c r="H135" s="118" t="n"/>
      <c r="I135" s="120" t="n"/>
      <c r="J135" s="117" t="inlineStr">
        <is>
          <t>yes</t>
        </is>
      </c>
      <c r="K135" s="117" t="inlineStr">
        <is>
          <t>yes</t>
        </is>
      </c>
      <c r="L135" s="118" t="n"/>
      <c r="M135" s="119" t="n"/>
      <c r="N135" s="120" t="inlineStr">
        <is>
          <t>pulldata('school_preload_ph', 'school_name', 'school_id', ${school_id_b})</t>
        </is>
      </c>
      <c r="O135" s="119" t="n"/>
      <c r="P135" s="119" t="n"/>
      <c r="Q135" s="119" t="n"/>
      <c r="R135" s="119" t="n"/>
      <c r="S135" s="118" t="n"/>
      <c r="T135" s="119" t="n"/>
      <c r="U135" s="118" t="n"/>
      <c r="V135" s="118" t="n"/>
      <c r="W135" s="119" t="n"/>
      <c r="X135" s="119" t="n"/>
    </row>
    <row r="136" ht="68" customHeight="1">
      <c r="A136" s="117" t="inlineStr">
        <is>
          <t>select_multiple disruptions</t>
        </is>
      </c>
      <c r="B136" s="117" t="inlineStr">
        <is>
          <t>school_disruptions_b</t>
        </is>
      </c>
      <c r="C136" s="120" t="inlineStr">
        <is>
          <t>In the &lt;b&gt;&lt;u&gt;past three months&lt;/b&gt;&lt;/u&gt;, has your child missed class or school attendance due to the following events?</t>
        </is>
      </c>
      <c r="D136" s="120" t="inlineStr">
        <is>
          <t>Select ALL that apply.</t>
        </is>
      </c>
      <c r="E136" s="119" t="n"/>
      <c r="F136" s="119" t="n"/>
      <c r="G136" s="120" t="inlineStr">
        <is>
          <t>if(selected(., 0), count-selected(.) = 1 , count-selected(.) &gt;= 1)</t>
        </is>
      </c>
      <c r="H136" s="120" t="inlineStr">
        <is>
          <t>WARNING! If selected "&lt;i&gt;No disruptions&lt;/i&gt;", can't select other reasons.</t>
        </is>
      </c>
      <c r="I136" s="120" t="n"/>
      <c r="J136" s="117" t="n"/>
      <c r="K136" s="117" t="inlineStr">
        <is>
          <t>yes</t>
        </is>
      </c>
      <c r="L136" s="118" t="n"/>
      <c r="M136" s="119" t="n"/>
      <c r="N136" s="118" t="n"/>
      <c r="O136" s="119" t="n"/>
      <c r="P136" s="119" t="n"/>
      <c r="Q136" s="119" t="n"/>
      <c r="R136" s="119" t="n"/>
      <c r="S136" s="118" t="n"/>
      <c r="T136" s="119" t="n"/>
      <c r="U136" s="118" t="n"/>
      <c r="V136" s="118" t="n"/>
      <c r="W136" s="119" t="n"/>
      <c r="X136" s="119" t="n"/>
    </row>
    <row r="137" ht="17" customHeight="1">
      <c r="A137" s="117" t="inlineStr">
        <is>
          <t>select_one yesno</t>
        </is>
      </c>
      <c r="B137" s="117" t="inlineStr">
        <is>
          <t>school_disruptions_back_b</t>
        </is>
      </c>
      <c r="C137" s="120" t="inlineStr">
        <is>
          <t>Has your child returned to school since the disruption?</t>
        </is>
      </c>
      <c r="D137" s="118" t="n"/>
      <c r="E137" s="119" t="n"/>
      <c r="F137" s="119" t="n"/>
      <c r="G137" s="118" t="n"/>
      <c r="H137" s="118" t="n"/>
      <c r="I137" s="120" t="inlineStr">
        <is>
          <t>${school_disruptions_b} != '0'</t>
        </is>
      </c>
      <c r="J137" s="117" t="n"/>
      <c r="K137" s="119" t="n"/>
      <c r="L137" s="118" t="n"/>
      <c r="M137" s="119" t="n"/>
      <c r="N137" s="118" t="n"/>
      <c r="O137" s="119" t="n"/>
      <c r="P137" s="119" t="n"/>
      <c r="Q137" s="119" t="n"/>
      <c r="R137" s="119" t="n"/>
      <c r="S137" s="118" t="n"/>
      <c r="T137" s="119" t="n"/>
      <c r="U137" s="118" t="n"/>
      <c r="V137" s="118" t="n"/>
      <c r="W137" s="119" t="n"/>
      <c r="X137" s="119" t="n"/>
    </row>
    <row r="138" ht="17" customHeight="1">
      <c r="A138" s="117" t="inlineStr">
        <is>
          <t>begin group</t>
        </is>
      </c>
      <c r="B138" s="117" t="inlineStr">
        <is>
          <t>best_time</t>
        </is>
      </c>
      <c r="C138" s="120" t="n"/>
      <c r="D138" s="118" t="n"/>
      <c r="E138" s="119" t="n"/>
      <c r="F138" s="117" t="inlineStr">
        <is>
          <t>field-list</t>
        </is>
      </c>
      <c r="G138" s="118" t="n"/>
      <c r="H138" s="118" t="n"/>
      <c r="I138" s="120" t="n"/>
      <c r="J138" s="117" t="n"/>
      <c r="K138" s="119" t="n"/>
      <c r="L138" s="118" t="n"/>
      <c r="M138" s="119" t="n"/>
      <c r="N138" s="118" t="n"/>
      <c r="O138" s="119" t="n"/>
      <c r="P138" s="119" t="n"/>
      <c r="Q138" s="119" t="n"/>
      <c r="R138" s="119" t="n"/>
      <c r="S138" s="118" t="n"/>
      <c r="T138" s="119" t="n"/>
      <c r="U138" s="118" t="n"/>
      <c r="V138" s="118" t="n"/>
      <c r="W138" s="119" t="n"/>
      <c r="X138" s="119" t="n"/>
    </row>
    <row r="139" ht="68" customHeight="1">
      <c r="A139" s="117" t="inlineStr">
        <is>
          <t>select_multiple best_time</t>
        </is>
      </c>
      <c r="B139" s="117" t="inlineStr">
        <is>
          <t>confirm_best_time</t>
        </is>
      </c>
      <c r="C139" s="120" t="inlineStr">
        <is>
          <t>When is the best day and time for me to call you in the coming weeks for our tutoring sessions?</t>
        </is>
      </c>
      <c r="D139" s="118" t="n"/>
      <c r="E139" s="119" t="n"/>
      <c r="F139" s="117" t="inlineStr">
        <is>
          <t>label</t>
        </is>
      </c>
      <c r="G139" s="120" t="inlineStr">
        <is>
          <t>if(selected(., "NA"), count-selected(.) = 1 , count-selected(.) &gt;= 1)</t>
        </is>
      </c>
      <c r="H139" s="120" t="inlineStr">
        <is>
          <t>WARNING! If selected "&lt;i&gt;Not available&lt;/i&gt;", can't select other times.</t>
        </is>
      </c>
      <c r="I139" s="120" t="n"/>
      <c r="J139" s="117" t="n"/>
      <c r="K139" s="119" t="n"/>
      <c r="L139" s="118" t="n"/>
      <c r="M139" s="119" t="n"/>
      <c r="N139" s="118" t="n"/>
      <c r="O139" s="119" t="n"/>
      <c r="P139" s="119" t="n"/>
      <c r="Q139" s="119" t="n"/>
      <c r="R139" s="119" t="n"/>
      <c r="S139" s="118" t="n"/>
      <c r="T139" s="119" t="n"/>
      <c r="U139" s="118" t="n"/>
      <c r="V139" s="118" t="n"/>
      <c r="W139" s="119" t="n"/>
      <c r="X139" s="119" t="n"/>
    </row>
    <row r="140" ht="68" customHeight="1">
      <c r="A140" s="117" t="inlineStr">
        <is>
          <t>select_multiple best_time</t>
        </is>
      </c>
      <c r="B140" s="117" t="inlineStr">
        <is>
          <t>best_time_mon</t>
        </is>
      </c>
      <c r="C140" s="120" t="inlineStr">
        <is>
          <t>(1) Monday:</t>
        </is>
      </c>
      <c r="D140" s="118" t="n"/>
      <c r="E140" s="119" t="n"/>
      <c r="F140" s="117" t="inlineStr">
        <is>
          <t>list-nolabel</t>
        </is>
      </c>
      <c r="G140" s="120" t="inlineStr">
        <is>
          <t>if(selected(., "NA"), count-selected(.) = 1 , count-selected(.) &gt;= 1)</t>
        </is>
      </c>
      <c r="H140" s="120" t="inlineStr">
        <is>
          <t>WARNING! If selected "&lt;i&gt;Not available&lt;/i&gt;", can't select other times.</t>
        </is>
      </c>
      <c r="I140" s="120" t="n"/>
      <c r="J140" s="117" t="n"/>
      <c r="K140" s="119" t="n"/>
      <c r="L140" s="118" t="n"/>
      <c r="M140" s="119" t="n"/>
      <c r="N140" s="118" t="n"/>
      <c r="O140" s="119" t="n"/>
      <c r="P140" s="119" t="n"/>
      <c r="Q140" s="119" t="n"/>
      <c r="R140" s="119" t="n"/>
      <c r="S140" s="118" t="n"/>
      <c r="T140" s="119" t="n"/>
      <c r="U140" s="118" t="n"/>
      <c r="V140" s="118" t="n"/>
      <c r="W140" s="119" t="n"/>
      <c r="X140" s="119" t="n"/>
    </row>
    <row r="141" ht="68" customHeight="1">
      <c r="A141" s="117" t="inlineStr">
        <is>
          <t>select_multiple best_time</t>
        </is>
      </c>
      <c r="B141" s="117" t="inlineStr">
        <is>
          <t>best_time_tue</t>
        </is>
      </c>
      <c r="C141" s="120" t="inlineStr">
        <is>
          <t>(2) Tuesday:</t>
        </is>
      </c>
      <c r="D141" s="118" t="n"/>
      <c r="E141" s="119" t="n"/>
      <c r="F141" s="117" t="inlineStr">
        <is>
          <t>list-nolabel</t>
        </is>
      </c>
      <c r="G141" s="120" t="inlineStr">
        <is>
          <t>if(selected(., "NA"), count-selected(.) = 1 , count-selected(.) &gt;= 1)</t>
        </is>
      </c>
      <c r="H141" s="120" t="inlineStr">
        <is>
          <t>WARNING! If selected "&lt;i&gt;Not available&lt;/i&gt;", can't select other times.</t>
        </is>
      </c>
      <c r="I141" s="120" t="n"/>
      <c r="J141" s="117" t="n"/>
      <c r="K141" s="119" t="n"/>
      <c r="L141" s="118" t="n"/>
      <c r="M141" s="119" t="n"/>
      <c r="N141" s="118" t="n"/>
      <c r="O141" s="119" t="n"/>
      <c r="P141" s="119" t="n"/>
      <c r="Q141" s="119" t="n"/>
      <c r="R141" s="119" t="n"/>
      <c r="S141" s="118" t="n"/>
      <c r="T141" s="119" t="n"/>
      <c r="U141" s="118" t="n"/>
      <c r="V141" s="118" t="n"/>
      <c r="W141" s="119" t="n"/>
      <c r="X141" s="119" t="n"/>
    </row>
    <row r="142" ht="68" customHeight="1">
      <c r="A142" s="117" t="inlineStr">
        <is>
          <t>select_multiple best_time</t>
        </is>
      </c>
      <c r="B142" s="117" t="inlineStr">
        <is>
          <t>best_time_wed</t>
        </is>
      </c>
      <c r="C142" s="120" t="inlineStr">
        <is>
          <t>(3) Wednesday:</t>
        </is>
      </c>
      <c r="D142" s="118" t="n"/>
      <c r="E142" s="119" t="n"/>
      <c r="F142" s="117" t="inlineStr">
        <is>
          <t>list-nolabel</t>
        </is>
      </c>
      <c r="G142" s="120" t="inlineStr">
        <is>
          <t>if(selected(., "NA"), count-selected(.) = 1 , count-selected(.) &gt;= 1)</t>
        </is>
      </c>
      <c r="H142" s="120" t="inlineStr">
        <is>
          <t>WARNING! If selected "&lt;i&gt;Not available&lt;/i&gt;", can't select other times.</t>
        </is>
      </c>
      <c r="I142" s="120" t="n"/>
      <c r="J142" s="117" t="n"/>
      <c r="K142" s="119" t="n"/>
      <c r="L142" s="118" t="n"/>
      <c r="M142" s="119" t="n"/>
      <c r="N142" s="118" t="n"/>
      <c r="O142" s="119" t="n"/>
      <c r="P142" s="119" t="n"/>
      <c r="Q142" s="119" t="n"/>
      <c r="R142" s="119" t="n"/>
      <c r="S142" s="118" t="n"/>
      <c r="T142" s="119" t="n"/>
      <c r="U142" s="118" t="n"/>
      <c r="V142" s="118" t="n"/>
      <c r="W142" s="119" t="n"/>
      <c r="X142" s="119" t="n"/>
    </row>
    <row r="143" ht="68" customHeight="1">
      <c r="A143" s="117" t="inlineStr">
        <is>
          <t>select_multiple best_time</t>
        </is>
      </c>
      <c r="B143" s="117" t="inlineStr">
        <is>
          <t>best_time_thu</t>
        </is>
      </c>
      <c r="C143" s="120" t="inlineStr">
        <is>
          <t>(4) Thursday:</t>
        </is>
      </c>
      <c r="D143" s="118" t="n"/>
      <c r="E143" s="119" t="n"/>
      <c r="F143" s="117" t="inlineStr">
        <is>
          <t>list-nolabel</t>
        </is>
      </c>
      <c r="G143" s="120" t="inlineStr">
        <is>
          <t>if(selected(., "NA"), count-selected(.) = 1 , count-selected(.) &gt;= 1)</t>
        </is>
      </c>
      <c r="H143" s="120" t="inlineStr">
        <is>
          <t>WARNING! If selected "&lt;i&gt;Not available&lt;/i&gt;", can't select other times.</t>
        </is>
      </c>
      <c r="I143" s="120" t="n"/>
      <c r="J143" s="117" t="n"/>
      <c r="K143" s="119" t="n"/>
      <c r="L143" s="118" t="n"/>
      <c r="M143" s="119" t="n"/>
      <c r="N143" s="118" t="n"/>
      <c r="O143" s="119" t="n"/>
      <c r="P143" s="119" t="n"/>
      <c r="Q143" s="119" t="n"/>
      <c r="R143" s="119" t="n"/>
      <c r="S143" s="118" t="n"/>
      <c r="T143" s="119" t="n"/>
      <c r="U143" s="118" t="n"/>
      <c r="V143" s="118" t="n"/>
      <c r="W143" s="119" t="n"/>
      <c r="X143" s="119" t="n"/>
    </row>
    <row r="144" ht="68" customHeight="1">
      <c r="A144" s="117" t="inlineStr">
        <is>
          <t>select_multiple best_time</t>
        </is>
      </c>
      <c r="B144" s="117" t="inlineStr">
        <is>
          <t>best_time_fri</t>
        </is>
      </c>
      <c r="C144" s="120" t="inlineStr">
        <is>
          <t>(5) Friday:</t>
        </is>
      </c>
      <c r="D144" s="118" t="n"/>
      <c r="E144" s="119" t="n"/>
      <c r="F144" s="117" t="inlineStr">
        <is>
          <t>list-nolabel</t>
        </is>
      </c>
      <c r="G144" s="120" t="inlineStr">
        <is>
          <t>if(selected(., "NA"), count-selected(.) = 1 , count-selected(.) &gt;= 1)</t>
        </is>
      </c>
      <c r="H144" s="120" t="inlineStr">
        <is>
          <t>WARNING! If selected "&lt;i&gt;Not available&lt;/i&gt;", can't select other times.</t>
        </is>
      </c>
      <c r="I144" s="120" t="n"/>
      <c r="J144" s="117" t="n"/>
      <c r="K144" s="119" t="n"/>
      <c r="L144" s="118" t="n"/>
      <c r="M144" s="119" t="n"/>
      <c r="N144" s="118" t="n"/>
      <c r="O144" s="119" t="n"/>
      <c r="P144" s="119" t="n"/>
      <c r="Q144" s="119" t="n"/>
      <c r="R144" s="119" t="n"/>
      <c r="S144" s="118" t="n"/>
      <c r="T144" s="119" t="n"/>
      <c r="U144" s="118" t="n"/>
      <c r="V144" s="118" t="n"/>
      <c r="W144" s="119" t="n"/>
      <c r="X144" s="119" t="n"/>
    </row>
    <row r="145" ht="68" customHeight="1">
      <c r="A145" s="117" t="inlineStr">
        <is>
          <t>select_multiple best_time</t>
        </is>
      </c>
      <c r="B145" s="117" t="inlineStr">
        <is>
          <t>best_time_sat</t>
        </is>
      </c>
      <c r="C145" s="120" t="inlineStr">
        <is>
          <t>(6) Saturday:</t>
        </is>
      </c>
      <c r="D145" s="118" t="n"/>
      <c r="E145" s="119" t="n"/>
      <c r="F145" s="117" t="inlineStr">
        <is>
          <t>list-nolabel</t>
        </is>
      </c>
      <c r="G145" s="120" t="inlineStr">
        <is>
          <t>if(selected(., "NA"), count-selected(.) = 1 , count-selected(.) &gt;= 1)</t>
        </is>
      </c>
      <c r="H145" s="120" t="inlineStr">
        <is>
          <t>WARNING! If selected "&lt;i&gt;Not available&lt;/i&gt;", can't select other times.</t>
        </is>
      </c>
      <c r="I145" s="120" t="n"/>
      <c r="J145" s="117" t="n"/>
      <c r="K145" s="119" t="n"/>
      <c r="L145" s="118" t="n"/>
      <c r="M145" s="119" t="n"/>
      <c r="N145" s="118" t="n"/>
      <c r="O145" s="119" t="n"/>
      <c r="P145" s="119" t="n"/>
      <c r="Q145" s="119" t="n"/>
      <c r="R145" s="119" t="n"/>
      <c r="S145" s="118" t="n"/>
      <c r="T145" s="119" t="n"/>
      <c r="U145" s="118" t="n"/>
      <c r="V145" s="118" t="n"/>
      <c r="W145" s="119" t="n"/>
      <c r="X145" s="119" t="n"/>
    </row>
    <row r="146" ht="68" customHeight="1">
      <c r="A146" s="117" t="inlineStr">
        <is>
          <t>select_multiple best_time</t>
        </is>
      </c>
      <c r="B146" s="117" t="inlineStr">
        <is>
          <t>best_time_sun</t>
        </is>
      </c>
      <c r="C146" s="120" t="inlineStr">
        <is>
          <t>(7) Sunday:</t>
        </is>
      </c>
      <c r="D146" s="118" t="n"/>
      <c r="E146" s="119" t="n"/>
      <c r="F146" s="117" t="inlineStr">
        <is>
          <t>list-nolabel</t>
        </is>
      </c>
      <c r="G146" s="120" t="inlineStr">
        <is>
          <t>if(selected(., "NA"), count-selected(.) = 1 , count-selected(.) &gt;= 1)</t>
        </is>
      </c>
      <c r="H146" s="120" t="inlineStr">
        <is>
          <t>WARNING! If selected "&lt;i&gt;Not available&lt;/i&gt;", can't select other times.</t>
        </is>
      </c>
      <c r="I146" s="120" t="n"/>
      <c r="J146" s="117" t="n"/>
      <c r="K146" s="119" t="n"/>
      <c r="L146" s="118" t="n"/>
      <c r="M146" s="119" t="n"/>
      <c r="N146" s="118" t="n"/>
      <c r="O146" s="119" t="n"/>
      <c r="P146" s="119" t="n"/>
      <c r="Q146" s="119" t="n"/>
      <c r="R146" s="119" t="n"/>
      <c r="S146" s="118" t="n"/>
      <c r="T146" s="119" t="n"/>
      <c r="U146" s="118" t="n"/>
      <c r="V146" s="118" t="n"/>
      <c r="W146" s="119" t="n"/>
      <c r="X146" s="119" t="n"/>
    </row>
    <row r="147">
      <c r="A147" s="117" t="inlineStr">
        <is>
          <t>end group</t>
        </is>
      </c>
      <c r="B147" s="117" t="inlineStr">
        <is>
          <t>best_time</t>
        </is>
      </c>
      <c r="C147" s="120" t="n"/>
      <c r="D147" s="118" t="n"/>
      <c r="E147" s="119" t="n"/>
      <c r="F147" s="119" t="n"/>
      <c r="G147" s="118" t="n"/>
      <c r="H147" s="118" t="n"/>
      <c r="I147" s="120" t="n"/>
      <c r="J147" s="117" t="n"/>
      <c r="K147" s="119" t="n"/>
      <c r="L147" s="118" t="n"/>
      <c r="M147" s="119" t="n"/>
      <c r="N147" s="118" t="n"/>
      <c r="O147" s="119" t="n"/>
      <c r="P147" s="119" t="n"/>
      <c r="Q147" s="119" t="n"/>
      <c r="R147" s="119" t="n"/>
      <c r="S147" s="118" t="n"/>
      <c r="T147" s="119" t="n"/>
      <c r="U147" s="118" t="n"/>
      <c r="V147" s="118" t="n"/>
      <c r="W147" s="119" t="n"/>
      <c r="X147" s="119" t="n"/>
    </row>
    <row r="148" ht="51" customHeight="1">
      <c r="A148" s="117" t="inlineStr">
        <is>
          <t>note</t>
        </is>
      </c>
      <c r="B148" s="117" t="inlineStr">
        <is>
          <t>note_nobesttime</t>
        </is>
      </c>
      <c r="C148" s="120" t="inlineStr">
        <is>
          <t xml:space="preserve">You have not selected any best time to call the household. Please select at least one time slot per week. </t>
        </is>
      </c>
      <c r="D148" s="118" t="n"/>
      <c r="E148" s="119" t="n"/>
      <c r="F148" s="119" t="n"/>
      <c r="G148" s="118" t="n"/>
      <c r="H148" s="118" t="n"/>
      <c r="I148" s="120" t="inlineStr">
        <is>
          <t>${best_time_mon} = null and ${best_time_tue} = null and ${best_time_wed} = null and ${best_time_thu} = null and ${best_time_fri} = null and ${best_time_sat} = null and ${best_time_sun} = null</t>
        </is>
      </c>
      <c r="J148" s="117" t="n"/>
      <c r="K148" s="117" t="inlineStr">
        <is>
          <t>yes</t>
        </is>
      </c>
      <c r="L148" s="118" t="n"/>
      <c r="M148" s="119" t="n"/>
      <c r="N148" s="118" t="n"/>
      <c r="O148" s="119" t="n"/>
      <c r="P148" s="119" t="n"/>
      <c r="Q148" s="119" t="n"/>
      <c r="R148" s="119" t="n"/>
      <c r="S148" s="118" t="n"/>
      <c r="T148" s="119" t="n"/>
      <c r="U148" s="118" t="n"/>
      <c r="V148" s="118" t="n"/>
      <c r="W148" s="119" t="n"/>
      <c r="X148" s="119" t="n"/>
    </row>
    <row r="149">
      <c r="A149" s="117" t="inlineStr">
        <is>
          <t>begin group</t>
        </is>
      </c>
      <c r="B149" s="117" t="inlineStr">
        <is>
          <t>best_contact_info</t>
        </is>
      </c>
      <c r="C149" s="120" t="n"/>
      <c r="D149" s="118" t="n"/>
      <c r="E149" s="119" t="n"/>
      <c r="F149" s="119" t="n"/>
      <c r="G149" s="118" t="n"/>
      <c r="H149" s="118" t="n"/>
      <c r="I149" s="120" t="n"/>
      <c r="J149" s="117" t="n"/>
      <c r="K149" s="119" t="n"/>
      <c r="L149" s="118" t="n"/>
      <c r="M149" s="119" t="n"/>
      <c r="N149" s="118" t="n"/>
      <c r="O149" s="119" t="n"/>
      <c r="P149" s="119" t="n"/>
      <c r="Q149" s="119" t="n"/>
      <c r="R149" s="119" t="n"/>
      <c r="S149" s="118" t="n"/>
      <c r="T149" s="119" t="n"/>
      <c r="U149" s="118" t="n"/>
      <c r="V149" s="118" t="n"/>
      <c r="W149" s="119" t="n"/>
      <c r="X149" s="119" t="n"/>
    </row>
    <row r="150" ht="34" customHeight="1">
      <c r="A150" s="117" t="inlineStr">
        <is>
          <t>select_one yesno</t>
        </is>
      </c>
      <c r="B150" s="117" t="inlineStr">
        <is>
          <t>confirm_best_phone</t>
        </is>
      </c>
      <c r="C150" s="120" t="inlineStr">
        <is>
          <t>Should we continue reaching out to you on this number (&lt;font color="#14b14b"&gt;&lt;b&gt;&lt;u&gt;${selected_phone_no}&lt;/u&gt;&lt;/b&gt;&lt;/font&gt;) about the program?</t>
        </is>
      </c>
      <c r="D150" s="118" t="n"/>
      <c r="E150" s="119" t="n"/>
      <c r="F150" s="119" t="n"/>
      <c r="G150" s="118" t="n"/>
      <c r="H150" s="118" t="n"/>
      <c r="I150" s="120" t="n"/>
      <c r="J150" s="117" t="n"/>
      <c r="K150" s="117" t="inlineStr">
        <is>
          <t>yes</t>
        </is>
      </c>
      <c r="L150" s="118" t="n"/>
      <c r="M150" s="119" t="n"/>
      <c r="N150" s="118" t="n"/>
      <c r="O150" s="119" t="n"/>
      <c r="P150" s="119" t="n"/>
      <c r="Q150" s="119" t="n"/>
      <c r="R150" s="119" t="n"/>
      <c r="S150" s="118" t="n"/>
      <c r="T150" s="119" t="n"/>
      <c r="U150" s="118" t="n"/>
      <c r="V150" s="118" t="n"/>
      <c r="W150" s="119" t="n"/>
      <c r="X150" s="119" t="n"/>
    </row>
    <row r="151" ht="17" customHeight="1">
      <c r="A151" s="117" t="inlineStr">
        <is>
          <t>select_one phones</t>
        </is>
      </c>
      <c r="B151" s="117" t="inlineStr">
        <is>
          <t>confirm_new_best_phone</t>
        </is>
      </c>
      <c r="C151" s="120" t="inlineStr">
        <is>
          <t>What phone number should we reach out to about the tutoring program?</t>
        </is>
      </c>
      <c r="D151" s="118" t="n"/>
      <c r="E151" s="119" t="n"/>
      <c r="F151" s="119" t="n"/>
      <c r="G151" s="118" t="n"/>
      <c r="H151" s="118" t="n"/>
      <c r="I151" s="120" t="inlineStr">
        <is>
          <t>selected(${confirm_best_phone}, '0')</t>
        </is>
      </c>
      <c r="J151" s="117" t="n"/>
      <c r="K151" s="117" t="inlineStr">
        <is>
          <t>yes</t>
        </is>
      </c>
      <c r="L151" s="118" t="n"/>
      <c r="M151" s="119" t="n"/>
      <c r="N151" s="118" t="n"/>
      <c r="O151" s="119" t="n"/>
      <c r="P151" s="119" t="n"/>
      <c r="Q151" s="119" t="n"/>
      <c r="R151" s="119" t="n"/>
      <c r="S151" s="118" t="n"/>
      <c r="T151" s="124" t="inlineStr">
        <is>
          <t>(selected(${contacts}, filter) and not(selected(${phone_select}, filter))) or (filter = 95)</t>
        </is>
      </c>
      <c r="U151" s="118" t="n"/>
      <c r="V151" s="118" t="n"/>
      <c r="W151" s="119" t="n"/>
      <c r="X151" s="119" t="n"/>
    </row>
    <row r="152" ht="51" customHeight="1">
      <c r="A152" s="117" t="inlineStr">
        <is>
          <t>text</t>
        </is>
      </c>
      <c r="B152" s="117" t="inlineStr">
        <is>
          <t>new_best_phone</t>
        </is>
      </c>
      <c r="C152" s="120" t="inlineStr">
        <is>
          <t>Please enter the best phone number to reach you:</t>
        </is>
      </c>
      <c r="D152" s="118" t="n"/>
      <c r="E152" s="119" t="n"/>
      <c r="F152" s="117" t="inlineStr">
        <is>
          <t>numbers</t>
        </is>
      </c>
      <c r="G152" s="120" t="inlineStr">
        <is>
          <t>regex(., '^0\d{10}$')</t>
        </is>
      </c>
      <c r="H152" s="120" t="inlineStr">
        <is>
          <t>Please enter the 11-digit phone number starting with 0.</t>
        </is>
      </c>
      <c r="I152" s="120" t="inlineStr">
        <is>
          <t>selected(${confirm_new_best_phone}, '95')</t>
        </is>
      </c>
      <c r="J152" s="117" t="n"/>
      <c r="K152" s="117" t="inlineStr">
        <is>
          <t>yes</t>
        </is>
      </c>
      <c r="L152" s="118" t="n"/>
      <c r="M152" s="119" t="n"/>
      <c r="N152" s="118" t="n"/>
      <c r="O152" s="119" t="n"/>
      <c r="P152" s="119" t="n"/>
      <c r="Q152" s="119" t="n"/>
      <c r="R152" s="119" t="n"/>
      <c r="S152" s="118" t="n"/>
      <c r="T152" s="119" t="n"/>
      <c r="U152" s="118" t="n"/>
      <c r="V152" s="118" t="n"/>
      <c r="W152" s="119" t="n"/>
      <c r="X152" s="119" t="n"/>
    </row>
    <row r="153" ht="17" customHeight="1">
      <c r="A153" s="117" t="inlineStr">
        <is>
          <t>select_one phone_owner</t>
        </is>
      </c>
      <c r="B153" s="117" t="inlineStr">
        <is>
          <t>new_best_phone_owner</t>
        </is>
      </c>
      <c r="C153" s="120" t="inlineStr">
        <is>
          <t>Who owns this phone number?</t>
        </is>
      </c>
      <c r="D153" s="118" t="n"/>
      <c r="E153" s="119" t="n"/>
      <c r="F153" s="119" t="n"/>
      <c r="G153" s="120" t="n"/>
      <c r="H153" s="118" t="n"/>
      <c r="I153" s="120" t="inlineStr">
        <is>
          <t>selected(${confirm_new_best_phone}, '95')</t>
        </is>
      </c>
      <c r="J153" s="117" t="n"/>
      <c r="K153" s="117" t="inlineStr">
        <is>
          <t>yes</t>
        </is>
      </c>
      <c r="L153" s="118" t="n"/>
      <c r="M153" s="119" t="n"/>
      <c r="N153" s="118" t="n"/>
      <c r="O153" s="119" t="n"/>
      <c r="P153" s="119" t="n"/>
      <c r="Q153" s="119" t="n"/>
      <c r="R153" s="119" t="n"/>
      <c r="S153" s="118" t="n"/>
      <c r="T153" s="119" t="n"/>
      <c r="U153" s="118" t="n"/>
      <c r="V153" s="118" t="n"/>
      <c r="W153" s="119" t="n"/>
      <c r="X153" s="119" t="n"/>
    </row>
    <row r="154" ht="17" customHeight="1">
      <c r="A154" s="117" t="inlineStr">
        <is>
          <t>begin group</t>
        </is>
      </c>
      <c r="B154" s="125" t="inlineStr">
        <is>
          <t>new_best_phone_other_owner</t>
        </is>
      </c>
      <c r="C154" s="120" t="n"/>
      <c r="D154" s="118" t="n"/>
      <c r="E154" s="119" t="n"/>
      <c r="F154" s="117" t="inlineStr">
        <is>
          <t>field-list</t>
        </is>
      </c>
      <c r="G154" s="120" t="n"/>
      <c r="H154" s="118" t="n"/>
      <c r="I154" s="120" t="inlineStr">
        <is>
          <t>selected(${new_best_phone_owner}, '2')</t>
        </is>
      </c>
      <c r="J154" s="117" t="n"/>
      <c r="K154" s="119" t="n"/>
      <c r="L154" s="118" t="n"/>
      <c r="M154" s="119" t="n"/>
      <c r="N154" s="118" t="n"/>
      <c r="O154" s="119" t="n"/>
      <c r="P154" s="119" t="n"/>
      <c r="Q154" s="119" t="n"/>
      <c r="R154" s="119" t="n"/>
      <c r="S154" s="118" t="n"/>
      <c r="T154" s="119" t="n"/>
      <c r="U154" s="118" t="n"/>
      <c r="V154" s="118" t="n"/>
      <c r="W154" s="119" t="n"/>
      <c r="X154" s="119" t="n"/>
    </row>
    <row r="155" ht="34" customHeight="1">
      <c r="A155" s="117" t="inlineStr">
        <is>
          <t>note</t>
        </is>
      </c>
      <c r="B155" s="117" t="inlineStr">
        <is>
          <t>note_new_best_phone_other_owner_intro</t>
        </is>
      </c>
      <c r="C155" s="120" t="inlineStr">
        <is>
          <t>Please enter the following information about the owner of &lt;font color="#14b14b"&gt;&lt;b&gt;&lt;u&gt;${new_best_phone}&lt;/u&gt;&lt;/b&gt;&lt;/font&gt;:</t>
        </is>
      </c>
      <c r="D155" s="118" t="n"/>
      <c r="E155" s="119" t="n"/>
      <c r="F155" s="119" t="n"/>
      <c r="G155" s="120" t="n"/>
      <c r="H155" s="118" t="n"/>
      <c r="I155" s="120" t="n"/>
      <c r="J155" s="117" t="n"/>
      <c r="K155" s="119" t="n"/>
      <c r="L155" s="118" t="n"/>
      <c r="M155" s="119" t="n"/>
      <c r="N155" s="118" t="n"/>
      <c r="O155" s="119" t="n"/>
      <c r="P155" s="119" t="n"/>
      <c r="Q155" s="119" t="n"/>
      <c r="R155" s="119" t="n"/>
      <c r="S155" s="118" t="n"/>
      <c r="T155" s="119" t="n"/>
      <c r="U155" s="118" t="n"/>
      <c r="V155" s="118" t="n"/>
      <c r="W155" s="119" t="n"/>
      <c r="X155" s="119" t="n"/>
    </row>
    <row r="156" ht="153" customHeight="1">
      <c r="A156" s="117" t="inlineStr">
        <is>
          <t>text</t>
        </is>
      </c>
      <c r="B156" s="117" t="inlineStr">
        <is>
          <t>new_best_phone_other_owner_firstname</t>
        </is>
      </c>
      <c r="C156" s="121" t="inlineStr">
        <is>
          <t>First Name:</t>
        </is>
      </c>
      <c r="D156" s="118" t="n"/>
      <c r="E156" s="119" t="n"/>
      <c r="F156" s="119" t="n"/>
      <c r="G156" s="120" t="inlineStr">
        <is>
          <t>regex(.,'^[A-Z][a-z]*$')</t>
        </is>
      </c>
      <c r="H156" s="120" t="inlineStr">
        <is>
          <t>The first letter should be uppercase. 
Subsequent letters should be lowercase. Numbers, spaces, punctuation and special characters are not allowed in the name field.</t>
        </is>
      </c>
      <c r="I156" s="120" t="n"/>
      <c r="J156" s="117" t="n"/>
      <c r="K156" s="117" t="inlineStr">
        <is>
          <t>yes</t>
        </is>
      </c>
      <c r="L156" s="118" t="n"/>
      <c r="M156" s="119" t="n"/>
      <c r="N156" s="118" t="n"/>
      <c r="O156" s="119" t="n"/>
      <c r="P156" s="119" t="n"/>
      <c r="Q156" s="119" t="n"/>
      <c r="R156" s="119" t="n"/>
      <c r="S156" s="118" t="n"/>
      <c r="T156" s="119" t="n"/>
      <c r="U156" s="118" t="n"/>
      <c r="V156" s="118" t="n"/>
      <c r="W156" s="119" t="n"/>
      <c r="X156" s="119" t="n"/>
    </row>
    <row r="157" ht="153" customHeight="1">
      <c r="A157" s="117" t="inlineStr">
        <is>
          <t>text</t>
        </is>
      </c>
      <c r="B157" s="117" t="inlineStr">
        <is>
          <t>new_best_phone_other_owner_surname</t>
        </is>
      </c>
      <c r="C157" s="121" t="inlineStr">
        <is>
          <t>Surname:</t>
        </is>
      </c>
      <c r="D157" s="118" t="n"/>
      <c r="E157" s="119" t="n"/>
      <c r="F157" s="119" t="n"/>
      <c r="G157" s="120" t="inlineStr">
        <is>
          <t>regex(.,'^[A-Z][a-z]*$')</t>
        </is>
      </c>
      <c r="H157" s="120" t="inlineStr">
        <is>
          <t>The first letter should be uppercase. 
Subsequent letters should be lowercase. Numbers, spaces, punctuation and special characters are not allowed in the name field.</t>
        </is>
      </c>
      <c r="I157" s="120" t="n"/>
      <c r="J157" s="117" t="n"/>
      <c r="K157" s="117" t="inlineStr">
        <is>
          <t>yes</t>
        </is>
      </c>
      <c r="L157" s="118" t="n"/>
      <c r="M157" s="119" t="n"/>
      <c r="N157" s="118" t="n"/>
      <c r="O157" s="119" t="n"/>
      <c r="P157" s="119" t="n"/>
      <c r="Q157" s="119" t="n"/>
      <c r="R157" s="119" t="n"/>
      <c r="S157" s="118" t="n"/>
      <c r="T157" s="119" t="n"/>
      <c r="U157" s="118" t="n"/>
      <c r="V157" s="118" t="n"/>
      <c r="W157" s="119" t="n"/>
      <c r="X157" s="119" t="n"/>
    </row>
    <row r="158" ht="17" customHeight="1">
      <c r="A158" s="117" t="inlineStr">
        <is>
          <t>calculate</t>
        </is>
      </c>
      <c r="B158" s="117" t="inlineStr">
        <is>
          <t>new_best_phone_other_owner_name</t>
        </is>
      </c>
      <c r="C158" s="120" t="inlineStr">
        <is>
          <t>Calculates other owner of best phone number</t>
        </is>
      </c>
      <c r="D158" s="118" t="n"/>
      <c r="E158" s="119" t="n"/>
      <c r="F158" s="119" t="n"/>
      <c r="G158" s="120" t="n"/>
      <c r="H158" s="118" t="n"/>
      <c r="I158" s="120" t="n"/>
      <c r="J158" s="117" t="n"/>
      <c r="K158" s="119" t="n"/>
      <c r="L158" s="118" t="n"/>
      <c r="M158" s="119" t="n"/>
      <c r="N158" s="120" t="inlineStr">
        <is>
          <t>concat(${new_best_phone_other_owner_firstname}, ' ', ${new_best_phone_other_owner_surname})</t>
        </is>
      </c>
      <c r="O158" s="119" t="n"/>
      <c r="P158" s="119" t="n"/>
      <c r="Q158" s="119" t="n"/>
      <c r="R158" s="119" t="n"/>
      <c r="S158" s="118" t="n"/>
      <c r="T158" s="119" t="n"/>
      <c r="U158" s="118" t="n"/>
      <c r="V158" s="118" t="n"/>
      <c r="W158" s="119" t="n"/>
      <c r="X158" s="119" t="n"/>
    </row>
    <row r="159" ht="17" customHeight="1">
      <c r="A159" s="117" t="inlineStr">
        <is>
          <t>select_one relationship</t>
        </is>
      </c>
      <c r="B159" s="117" t="inlineStr">
        <is>
          <t>new_best_phone_other_owner_rel</t>
        </is>
      </c>
      <c r="C159" s="120" t="inlineStr">
        <is>
          <t>Relationship to child (&lt;font color="#14b14b"&gt;&lt;b&gt;&lt;u&gt;${stud_name_b}&lt;/u&gt;&lt;/b&gt;&lt;/font&gt;)</t>
        </is>
      </c>
      <c r="D159" s="118" t="n"/>
      <c r="E159" s="119" t="n"/>
      <c r="F159" s="119" t="n"/>
      <c r="G159" s="120" t="n"/>
      <c r="H159" s="118" t="n"/>
      <c r="I159" s="120" t="n"/>
      <c r="J159" s="117" t="n"/>
      <c r="K159" s="117" t="inlineStr">
        <is>
          <t>yes</t>
        </is>
      </c>
      <c r="L159" s="118" t="n"/>
      <c r="M159" s="119" t="n"/>
      <c r="N159" s="118" t="n"/>
      <c r="O159" s="119" t="n"/>
      <c r="P159" s="119" t="n"/>
      <c r="Q159" s="119" t="n"/>
      <c r="R159" s="119" t="n"/>
      <c r="S159" s="118" t="n"/>
      <c r="T159" s="119" t="n"/>
      <c r="U159" s="118" t="n"/>
      <c r="V159" s="118" t="n"/>
      <c r="W159" s="119" t="n"/>
      <c r="X159" s="119" t="n"/>
    </row>
    <row r="160" ht="17" customHeight="1">
      <c r="A160" s="117" t="inlineStr">
        <is>
          <t>calculate</t>
        </is>
      </c>
      <c r="B160" s="117" t="inlineStr">
        <is>
          <t>new_best_phone_other_owner_rel_lab</t>
        </is>
      </c>
      <c r="C160" s="120" t="inlineStr">
        <is>
          <t>Returns choice label of "new_best_phone_other_owner_rel"</t>
        </is>
      </c>
      <c r="D160" s="118" t="n"/>
      <c r="E160" s="119" t="n"/>
      <c r="F160" s="119" t="n"/>
      <c r="G160" s="120" t="n"/>
      <c r="H160" s="118" t="n"/>
      <c r="I160" s="120" t="n"/>
      <c r="J160" s="117" t="n"/>
      <c r="K160" s="119" t="n"/>
      <c r="L160" s="118" t="n"/>
      <c r="M160" s="119" t="n"/>
      <c r="N160" s="120" t="inlineStr">
        <is>
          <t>choice-label(${new_best_phone_other_owner_rel}, ${new_best_phone_other_owner_rel})</t>
        </is>
      </c>
      <c r="O160" s="119" t="n"/>
      <c r="P160" s="119" t="n"/>
      <c r="Q160" s="119" t="n"/>
      <c r="R160" s="119" t="n"/>
      <c r="S160" s="118" t="n"/>
      <c r="T160" s="119" t="n"/>
      <c r="U160" s="118" t="n"/>
      <c r="V160" s="118" t="n"/>
      <c r="W160" s="119" t="n"/>
      <c r="X160" s="119" t="n"/>
    </row>
    <row r="161">
      <c r="A161" s="117" t="inlineStr">
        <is>
          <t>end group</t>
        </is>
      </c>
      <c r="B161" s="117" t="inlineStr">
        <is>
          <t>new_best_phone_other_owner</t>
        </is>
      </c>
      <c r="C161" s="120" t="n"/>
      <c r="D161" s="118" t="n"/>
      <c r="E161" s="119" t="n"/>
      <c r="F161" s="119" t="n"/>
      <c r="G161" s="120" t="n"/>
      <c r="H161" s="118" t="n"/>
      <c r="I161" s="120" t="n"/>
      <c r="J161" s="117" t="n"/>
      <c r="K161" s="119" t="n"/>
      <c r="L161" s="118" t="n"/>
      <c r="M161" s="119" t="n"/>
      <c r="N161" s="118" t="n"/>
      <c r="O161" s="119" t="n"/>
      <c r="P161" s="119" t="n"/>
      <c r="Q161" s="119" t="n"/>
      <c r="R161" s="119" t="n"/>
      <c r="S161" s="118" t="n"/>
      <c r="T161" s="119" t="n"/>
      <c r="U161" s="118" t="n"/>
      <c r="V161" s="118" t="n"/>
      <c r="W161" s="119" t="n"/>
      <c r="X161" s="119" t="n"/>
    </row>
    <row r="162" ht="17" customHeight="1">
      <c r="A162" s="117" t="inlineStr">
        <is>
          <t>calculate</t>
        </is>
      </c>
      <c r="B162" s="117" t="inlineStr">
        <is>
          <t>new_best_phone_name</t>
        </is>
      </c>
      <c r="C162" s="120" t="inlineStr">
        <is>
          <t>Returns name of best phone owner</t>
        </is>
      </c>
      <c r="D162" s="118" t="n"/>
      <c r="E162" s="119" t="n"/>
      <c r="F162" s="119" t="n"/>
      <c r="G162" s="120" t="n"/>
      <c r="H162" s="118" t="n"/>
      <c r="I162" s="120" t="n"/>
      <c r="J162" s="117" t="n"/>
      <c r="K162" s="119" t="n"/>
      <c r="L162" s="118" t="n"/>
      <c r="M162" s="119" t="n"/>
      <c r="N162" s="120" t="inlineStr">
        <is>
          <t>if(${new_best_phone_owner} = 2, ${new_best_phone_other_owner_name}, ${care_name_b})</t>
        </is>
      </c>
      <c r="O162" s="119" t="n"/>
      <c r="P162" s="119" t="n"/>
      <c r="Q162" s="119" t="n"/>
      <c r="R162" s="119" t="n"/>
      <c r="S162" s="118" t="n"/>
      <c r="T162" s="119" t="n"/>
      <c r="U162" s="118" t="n"/>
      <c r="V162" s="118" t="n"/>
      <c r="W162" s="119" t="n"/>
      <c r="X162" s="119" t="n"/>
    </row>
    <row r="163" ht="17" customHeight="1">
      <c r="A163" s="117" t="inlineStr">
        <is>
          <t>calculate</t>
        </is>
      </c>
      <c r="B163" s="117" t="inlineStr">
        <is>
          <t>new_best_phone_rel</t>
        </is>
      </c>
      <c r="C163" s="120" t="inlineStr">
        <is>
          <t>Returns relationship to student (choice label) of best phone owner</t>
        </is>
      </c>
      <c r="D163" s="118" t="n"/>
      <c r="E163" s="119" t="n"/>
      <c r="F163" s="119" t="n"/>
      <c r="G163" s="120" t="n"/>
      <c r="H163" s="118" t="n"/>
      <c r="I163" s="120" t="n"/>
      <c r="J163" s="117" t="n"/>
      <c r="K163" s="119" t="n"/>
      <c r="L163" s="118" t="n"/>
      <c r="M163" s="119" t="n"/>
      <c r="N163" s="120" t="inlineStr">
        <is>
          <t>if(${new_best_phone_owner} = 2, ${new_best_phone_other_owner_rel_lab}, ${care_rel2_lab_b})</t>
        </is>
      </c>
      <c r="O163" s="119" t="n"/>
      <c r="P163" s="119" t="n"/>
      <c r="Q163" s="119" t="n"/>
      <c r="R163" s="119" t="n"/>
      <c r="S163" s="118" t="n"/>
      <c r="T163" s="119" t="n"/>
      <c r="U163" s="118" t="n"/>
      <c r="V163" s="118" t="n"/>
      <c r="W163" s="119" t="n"/>
      <c r="X163" s="119" t="n"/>
    </row>
    <row r="164" ht="119" customHeight="1">
      <c r="A164" s="117" t="inlineStr">
        <is>
          <t>calculate</t>
        </is>
      </c>
      <c r="B164" s="117" t="inlineStr">
        <is>
          <t>best_phone_index</t>
        </is>
      </c>
      <c r="C164" s="120" t="inlineStr">
        <is>
          <t>Returns ordinal no. of best phone</t>
        </is>
      </c>
      <c r="D164" s="118" t="n"/>
      <c r="E164" s="119" t="n"/>
      <c r="F164" s="119" t="n"/>
      <c r="G164" s="120" t="n"/>
      <c r="H164" s="118" t="n"/>
      <c r="I164" s="120" t="n"/>
      <c r="J164" s="117" t="n"/>
      <c r="K164" s="119" t="n"/>
      <c r="L164" s="118" t="n"/>
      <c r="M164" s="119" t="n"/>
      <c r="N164" s="120" t="inlineStr">
        <is>
          <t>if(${confirm_best_phone} = 1 and ${phone_select} = 1, '1',
if(${confirm_best_phone} = 1 and ${phone_select} = 2, '2',
if(${confirm_best_phone} = 1 and ${phone_select} = 3, '3',
if(${confirm_best_phone} = 0 and ${confirm_new_best_phone} = 1, '1',
if(${confirm_best_phone} = 0 and ${confirm_new_best_phone} = 2, '2',
if(${confirm_best_phone} = 0 and ${confirm_new_best_phone} = 3, '3',
if(${confirm_best_phone} = 0 and ${confirm_new_best_phone} = 95, '4', '')))))))</t>
        </is>
      </c>
      <c r="O164" s="119" t="n"/>
      <c r="P164" s="119" t="n"/>
      <c r="Q164" s="119" t="n"/>
      <c r="R164" s="119" t="n"/>
      <c r="S164" s="118" t="n"/>
      <c r="T164" s="119" t="n"/>
      <c r="U164" s="118" t="n"/>
      <c r="V164" s="118" t="n"/>
      <c r="W164" s="119" t="n"/>
      <c r="X164" s="119" t="n"/>
    </row>
    <row r="165" ht="119" customHeight="1">
      <c r="A165" s="117" t="inlineStr">
        <is>
          <t>calculate</t>
        </is>
      </c>
      <c r="B165" s="117" t="inlineStr">
        <is>
          <t>best_phone</t>
        </is>
      </c>
      <c r="C165" s="120" t="inlineStr">
        <is>
          <t>Returns the best phone number to reach the household</t>
        </is>
      </c>
      <c r="D165" s="118" t="n"/>
      <c r="E165" s="119" t="n"/>
      <c r="F165" s="119" t="n"/>
      <c r="G165" s="118" t="n"/>
      <c r="H165" s="118" t="n"/>
      <c r="I165" s="120" t="n"/>
      <c r="J165" s="117" t="n"/>
      <c r="K165" s="119" t="n"/>
      <c r="L165" s="118" t="n"/>
      <c r="M165" s="119" t="n"/>
      <c r="N165" s="120" t="inlineStr">
        <is>
          <t>if(${confirm_best_phone} = 1 and ${phone_select} = 1, ${phone1},
if(${confirm_best_phone} = 1 and ${phone_select} = 2, ${phone2},
if(${confirm_best_phone} = 1 and ${phone_select} = 3, ${phone3},
if(${confirm_best_phone} = 0 and ${confirm_new_best_phone} = 1, ${phone1},
if(${confirm_best_phone} = 0 and ${confirm_new_best_phone} = 2, ${phone2},
if(${confirm_best_phone} = 0 and ${confirm_new_best_phone} = 3, ${phone3},
if(${confirm_best_phone} = 0 and ${confirm_new_best_phone} = 95, ${new_best_phone}, '')))))))</t>
        </is>
      </c>
      <c r="O165" s="119" t="n"/>
      <c r="P165" s="119" t="n"/>
      <c r="Q165" s="119" t="n"/>
      <c r="R165" s="119" t="n"/>
      <c r="S165" s="118" t="n"/>
      <c r="T165" s="119" t="n"/>
      <c r="U165" s="118" t="n"/>
      <c r="V165" s="118" t="n"/>
      <c r="W165" s="119" t="n"/>
      <c r="X165" s="119" t="n"/>
    </row>
    <row r="166" ht="119" customHeight="1">
      <c r="A166" s="117" t="inlineStr">
        <is>
          <t>calculate</t>
        </is>
      </c>
      <c r="B166" s="117" t="inlineStr">
        <is>
          <t>best_phone_name</t>
        </is>
      </c>
      <c r="C166" s="120" t="inlineStr">
        <is>
          <t>Returns the name of the person who owns the best phone number to reach the household</t>
        </is>
      </c>
      <c r="D166" s="118" t="n"/>
      <c r="E166" s="119" t="n"/>
      <c r="F166" s="119" t="n"/>
      <c r="G166" s="118" t="n"/>
      <c r="H166" s="118" t="n"/>
      <c r="I166" s="120" t="n"/>
      <c r="J166" s="117" t="n"/>
      <c r="K166" s="119" t="n"/>
      <c r="L166" s="118" t="n"/>
      <c r="M166" s="119" t="n"/>
      <c r="N166" s="120" t="inlineStr">
        <is>
          <t>if(${confirm_best_phone} = 1 and ${phone_select} = 1, ${phone1_name},
if(${confirm_best_phone} = 1 and ${phone_select} = 2, ${phone2_name},
if(${confirm_best_phone} = 1 and ${phone_select} = 3, ${phone3_name},
if(${confirm_best_phone} = 0 and ${confirm_new_best_phone} = 1, ${phone1_name},
if(${confirm_best_phone} = 0 and ${confirm_new_best_phone} = 2, ${phone2_name},
if(${confirm_best_phone} = 0 and ${confirm_new_best_phone} = 3, ${phone3_name},
if(${confirm_best_phone} = 0 and ${confirm_new_best_phone} = 95, ${new_best_phone_name}, '')))))))</t>
        </is>
      </c>
      <c r="O166" s="119" t="n"/>
      <c r="P166" s="119" t="n"/>
      <c r="Q166" s="119" t="n"/>
      <c r="R166" s="119" t="n"/>
      <c r="S166" s="118" t="n"/>
      <c r="T166" s="119" t="n"/>
      <c r="U166" s="118" t="n"/>
      <c r="V166" s="118" t="n"/>
      <c r="W166" s="119" t="n"/>
      <c r="X166" s="119" t="n"/>
    </row>
    <row r="167" ht="119" customHeight="1">
      <c r="A167" s="117" t="inlineStr">
        <is>
          <t>calculate</t>
        </is>
      </c>
      <c r="B167" s="117" t="inlineStr">
        <is>
          <t>best_phone_rel</t>
        </is>
      </c>
      <c r="C167" s="120" t="inlineStr">
        <is>
          <t>Returns the relationship to student of the person who owns the best phone number to reach the household</t>
        </is>
      </c>
      <c r="D167" s="118" t="n"/>
      <c r="E167" s="119" t="n"/>
      <c r="F167" s="119" t="n"/>
      <c r="G167" s="118" t="n"/>
      <c r="H167" s="118" t="n"/>
      <c r="I167" s="120" t="n"/>
      <c r="J167" s="117" t="n"/>
      <c r="K167" s="119" t="n"/>
      <c r="L167" s="118" t="n"/>
      <c r="M167" s="119" t="n"/>
      <c r="N167" s="120" t="inlineStr">
        <is>
          <t>if(${confirm_best_phone} = 1 and ${phone_select} = 1, ${phone1_rel},
if(${confirm_best_phone} = 1 and ${phone_select} = 2, ${phone2_rel},
if(${confirm_best_phone} = 1 and ${phone_select} = 3, ${phone3_rel},
if(${confirm_best_phone} = 0 and ${confirm_new_best_phone} = 1, ${phone1_rel},
if(${confirm_best_phone} = 0 and ${confirm_new_best_phone} = 2, ${phone2_rel},
if(${confirm_best_phone} = 0 and ${confirm_new_best_phone} = 3, ${phone3_rel},
if(${confirm_best_phone} = 0 and ${confirm_new_best_phone} = 95, ${new_best_phone_rel}, '')))))))</t>
        </is>
      </c>
      <c r="O167" s="119" t="n"/>
      <c r="P167" s="119" t="n"/>
      <c r="Q167" s="119" t="n"/>
      <c r="R167" s="119" t="n"/>
      <c r="S167" s="118" t="n"/>
      <c r="T167" s="119" t="n"/>
      <c r="U167" s="118" t="n"/>
      <c r="V167" s="118" t="n"/>
      <c r="W167" s="119" t="n"/>
      <c r="X167" s="119" t="n"/>
    </row>
    <row r="168" ht="17" customHeight="1">
      <c r="A168" s="117" t="inlineStr">
        <is>
          <t>calculate</t>
        </is>
      </c>
      <c r="B168" s="117" t="inlineStr">
        <is>
          <t>contacts_new</t>
        </is>
      </c>
      <c r="C168" s="120" t="inlineStr">
        <is>
          <t>Counts the number of avail phone number</t>
        </is>
      </c>
      <c r="D168" s="118" t="n"/>
      <c r="E168" s="119" t="n"/>
      <c r="F168" s="119" t="n"/>
      <c r="G168" s="118" t="n"/>
      <c r="H168" s="118" t="n"/>
      <c r="I168" s="120" t="n"/>
      <c r="J168" s="117" t="n"/>
      <c r="K168" s="119" t="n"/>
      <c r="L168" s="118" t="n"/>
      <c r="M168" s="119" t="n"/>
      <c r="N168" s="120" t="inlineStr">
        <is>
          <t>if(${confirm_new_best_phone} = 95, ${contacts} + 1, ${contacts})</t>
        </is>
      </c>
      <c r="O168" s="119" t="n"/>
      <c r="P168" s="119" t="n"/>
      <c r="Q168" s="119" t="n"/>
      <c r="R168" s="119" t="n"/>
      <c r="S168" s="118" t="n"/>
      <c r="T168" s="119" t="n"/>
      <c r="U168" s="118" t="n"/>
      <c r="V168" s="118" t="n"/>
      <c r="W168" s="119" t="n"/>
      <c r="X168" s="119" t="n"/>
    </row>
    <row r="169" ht="409.6" customHeight="1">
      <c r="A169" s="117" t="inlineStr">
        <is>
          <t>note</t>
        </is>
      </c>
      <c r="B169" s="117" t="inlineStr">
        <is>
          <t>note_test_phone_nos</t>
        </is>
      </c>
      <c r="C169" s="120" t="inlineStr">
        <is>
          <t>&lt;b&gt;DISABLE AFTER TESTING:&lt;/b&gt;
&lt;br&gt;&lt;br&gt;
Best phone: ${best_phone} &lt;br&gt;
Owner: ${best_phone_name} &lt;br&gt;
Rel: ${best_phone_rel} &lt;br&gt;
&lt;br&gt;
Phone1: ${phone1} &lt;br&gt;
Owner: ${phone1_name} &lt;br&gt;
Rel: ${phone1_rel} &lt;br&gt;
&lt;br&gt;
Phone2: ${phone2} &lt;br&gt;
Owner: ${phone2_name} &lt;br&gt;
Rel: ${phone2_rel} &lt;br&gt;
&lt;br&gt;
Phone3: ${phone3} &lt;br&gt;
Owner: ${phone3_name} &lt;br&gt;
Rel: ${phone3_rel}</t>
        </is>
      </c>
      <c r="D169" s="118" t="n"/>
      <c r="E169" s="119" t="n"/>
      <c r="F169" s="119" t="n"/>
      <c r="G169" s="118" t="n"/>
      <c r="H169" s="118" t="n"/>
      <c r="I169" s="120" t="n"/>
      <c r="J169" s="117" t="inlineStr">
        <is>
          <t>yes</t>
        </is>
      </c>
      <c r="K169" s="119" t="n"/>
      <c r="L169" s="118" t="n"/>
      <c r="M169" s="119" t="n"/>
      <c r="N169" s="120" t="n"/>
      <c r="O169" s="119" t="n"/>
      <c r="P169" s="119" t="n"/>
      <c r="Q169" s="119" t="n"/>
      <c r="R169" s="119" t="n"/>
      <c r="S169" s="118" t="n"/>
      <c r="T169" s="119" t="n"/>
      <c r="U169" s="118" t="n"/>
      <c r="V169" s="118" t="n"/>
      <c r="W169" s="119" t="n"/>
      <c r="X169" s="119" t="n"/>
    </row>
    <row r="170">
      <c r="A170" s="117" t="inlineStr">
        <is>
          <t>end group</t>
        </is>
      </c>
      <c r="B170" s="117" t="inlineStr">
        <is>
          <t>best_contact_info</t>
        </is>
      </c>
      <c r="C170" s="120" t="n"/>
      <c r="D170" s="118" t="n"/>
      <c r="E170" s="119" t="n"/>
      <c r="F170" s="119" t="n"/>
      <c r="G170" s="120" t="n"/>
      <c r="H170" s="118" t="n"/>
      <c r="I170" s="120" t="n"/>
      <c r="J170" s="117" t="n"/>
      <c r="K170" s="119" t="n"/>
      <c r="L170" s="118" t="n"/>
      <c r="M170" s="119" t="n"/>
      <c r="N170" s="118" t="n"/>
      <c r="O170" s="119" t="n"/>
      <c r="P170" s="119" t="n"/>
      <c r="Q170" s="119" t="n"/>
      <c r="R170" s="119" t="n"/>
      <c r="S170" s="118" t="n"/>
      <c r="T170" s="119" t="n"/>
      <c r="U170" s="118" t="n"/>
      <c r="V170" s="118" t="n"/>
      <c r="W170" s="119" t="n"/>
      <c r="X170" s="119" t="n"/>
    </row>
    <row r="171" ht="187" customHeight="1">
      <c r="A171" s="117" t="inlineStr">
        <is>
          <t>select_one yesno</t>
        </is>
      </c>
      <c r="B171" s="117" t="inlineStr">
        <is>
          <t>stud_avail</t>
        </is>
      </c>
      <c r="C171" s="120" t="inlineStr">
        <is>
          <t>Thank you! Now, I would like to speak with &lt;font color="#14b14b"&gt;&lt;b&gt;&lt;u&gt;${stud_name_b}&lt;/u&gt;&lt;/b&gt;&lt;/font&gt;, we'll have a short game to try a couple of math problems during this call. 
&lt;br&gt;&lt;br&gt;
This shouldn't take long and this discussion won't affect your child's grade or class standing.
&lt;br&gt;&lt;br&gt;
Is &lt;font color="#14b14b"&gt;&lt;b&gt;&lt;u&gt;${stud_name_b}&lt;/u&gt;&lt;/b&gt;&lt;/font&gt; available?</t>
        </is>
      </c>
      <c r="D171" s="118" t="n"/>
      <c r="E171" s="119" t="n"/>
      <c r="F171" s="119" t="n"/>
      <c r="G171" s="118" t="n"/>
      <c r="H171" s="118" t="n"/>
      <c r="I171" s="120" t="n"/>
      <c r="J171" s="117" t="n"/>
      <c r="K171" s="117" t="inlineStr">
        <is>
          <t>yes</t>
        </is>
      </c>
      <c r="L171" s="118" t="n"/>
      <c r="M171" s="119" t="n"/>
      <c r="N171" s="118" t="n"/>
      <c r="O171" s="119" t="n"/>
      <c r="P171" s="119" t="n"/>
      <c r="Q171" s="119" t="n"/>
      <c r="R171" s="119" t="n"/>
      <c r="S171" s="118" t="n"/>
      <c r="T171" s="119" t="n"/>
      <c r="U171" s="118" t="n"/>
      <c r="V171" s="118" t="n"/>
      <c r="W171" s="119" t="n"/>
      <c r="X171" s="119" t="n"/>
    </row>
    <row r="172" ht="17" customHeight="1">
      <c r="A172" s="117" t="inlineStr">
        <is>
          <t>select_one stud_unavail</t>
        </is>
      </c>
      <c r="B172" s="117" t="inlineStr">
        <is>
          <t>stud_unavail</t>
        </is>
      </c>
      <c r="C172" s="120" t="inlineStr">
        <is>
          <t xml:space="preserve">Could you share why &lt;font color="#14b14b"&gt;&lt;b&gt;&lt;u&gt;${stud_name_b}&lt;/u&gt;&lt;/b&gt;&lt;/font&gt; is not available? </t>
        </is>
      </c>
      <c r="D172" s="118" t="n"/>
      <c r="E172" s="119" t="n"/>
      <c r="F172" s="119" t="n"/>
      <c r="G172" s="118" t="n"/>
      <c r="H172" s="118" t="n"/>
      <c r="I172" s="120" t="inlineStr">
        <is>
          <t>${stud_avail} = 0</t>
        </is>
      </c>
      <c r="J172" s="117" t="n"/>
      <c r="K172" s="117" t="inlineStr">
        <is>
          <t>yes</t>
        </is>
      </c>
      <c r="L172" s="118" t="n"/>
      <c r="M172" s="119" t="n"/>
      <c r="N172" s="118" t="n"/>
      <c r="O172" s="119" t="n"/>
      <c r="P172" s="119" t="n"/>
      <c r="Q172" s="119" t="n"/>
      <c r="R172" s="119" t="n"/>
      <c r="S172" s="118" t="n"/>
      <c r="T172" s="119" t="n"/>
      <c r="U172" s="118" t="n"/>
      <c r="V172" s="118" t="n"/>
      <c r="W172" s="119" t="n"/>
      <c r="X172" s="119" t="n"/>
    </row>
    <row r="173" ht="85" customHeight="1">
      <c r="A173" s="117" t="inlineStr">
        <is>
          <t>text</t>
        </is>
      </c>
      <c r="B173" s="117" t="inlineStr">
        <is>
          <t>stud_unavail_other</t>
        </is>
      </c>
      <c r="C173" s="120" t="inlineStr">
        <is>
          <t xml:space="preserve">What other reason did the caregiver cite for the student not being available? </t>
        </is>
      </c>
      <c r="D173" s="118" t="n"/>
      <c r="E173" s="119" t="n"/>
      <c r="F173" s="119" t="n"/>
      <c r="G173" s="120" t="inlineStr">
        <is>
          <t>string-length(.) &gt; 2</t>
        </is>
      </c>
      <c r="H173" s="120" t="inlineStr">
        <is>
          <t>Please enter the surname/last name of the person who typically helps the child.</t>
        </is>
      </c>
      <c r="I173" s="120" t="inlineStr">
        <is>
          <t>${stud_unavail} = 5</t>
        </is>
      </c>
      <c r="J173" s="117" t="n"/>
      <c r="K173" s="117" t="inlineStr">
        <is>
          <t>yes</t>
        </is>
      </c>
      <c r="L173" s="118" t="n"/>
      <c r="M173" s="119" t="n"/>
      <c r="N173" s="118" t="n"/>
      <c r="O173" s="119" t="n"/>
      <c r="P173" s="119" t="n"/>
      <c r="Q173" s="119" t="n"/>
      <c r="R173" s="119" t="n"/>
      <c r="S173" s="118" t="n"/>
      <c r="T173" s="119" t="n"/>
      <c r="U173" s="118" t="n"/>
      <c r="V173" s="118" t="n"/>
      <c r="W173" s="119" t="n"/>
      <c r="X173" s="119" t="n"/>
    </row>
    <row r="174" ht="17" customHeight="1">
      <c r="A174" s="117" t="inlineStr">
        <is>
          <t>calculate_here</t>
        </is>
      </c>
      <c r="B174" s="117" t="inlineStr">
        <is>
          <t>caregiver_interviewed_b</t>
        </is>
      </c>
      <c r="C174" s="120" t="inlineStr">
        <is>
          <t>[=1] to indicate caregiver is interviewed</t>
        </is>
      </c>
      <c r="D174" s="118" t="n"/>
      <c r="E174" s="119" t="n"/>
      <c r="F174" s="119" t="n"/>
      <c r="G174" s="118" t="n"/>
      <c r="H174" s="118" t="n"/>
      <c r="I174" s="120" t="n"/>
      <c r="J174" s="117" t="n"/>
      <c r="K174" s="119" t="n"/>
      <c r="L174" s="118" t="n"/>
      <c r="M174" s="119" t="n"/>
      <c r="N174" s="120" t="n">
        <v>1</v>
      </c>
      <c r="O174" s="119" t="n"/>
      <c r="P174" s="119" t="n"/>
      <c r="Q174" s="119" t="n"/>
      <c r="R174" s="119" t="n"/>
      <c r="S174" s="118" t="n"/>
      <c r="T174" s="119" t="n"/>
      <c r="U174" s="118" t="n"/>
      <c r="V174" s="118" t="n"/>
      <c r="W174" s="119" t="n"/>
      <c r="X174" s="119" t="n"/>
    </row>
    <row r="175">
      <c r="A175" s="117" t="inlineStr">
        <is>
          <t>end group</t>
        </is>
      </c>
      <c r="B175" s="117" t="inlineStr">
        <is>
          <t>caregiver_qs</t>
        </is>
      </c>
      <c r="C175" s="118" t="n"/>
      <c r="D175" s="118" t="n"/>
      <c r="E175" s="119" t="n"/>
      <c r="F175" s="119" t="n"/>
      <c r="G175" s="118" t="n"/>
      <c r="H175" s="118" t="n"/>
      <c r="I175" s="118" t="n"/>
      <c r="J175" s="119" t="n"/>
      <c r="K175" s="119" t="n"/>
      <c r="L175" s="118" t="n"/>
      <c r="M175" s="119" t="n"/>
      <c r="N175" s="118" t="n"/>
      <c r="O175" s="119" t="n"/>
      <c r="P175" s="119" t="n"/>
      <c r="Q175" s="119" t="n"/>
      <c r="R175" s="119" t="n"/>
      <c r="S175" s="118" t="n"/>
      <c r="T175" s="119" t="n"/>
      <c r="U175" s="118" t="n"/>
      <c r="V175" s="118" t="n"/>
      <c r="W175" s="119" t="n"/>
      <c r="X175" s="119" t="n"/>
    </row>
    <row r="176">
      <c r="A176" s="117" t="inlineStr">
        <is>
          <t>end group</t>
        </is>
      </c>
      <c r="B176" s="117" t="inlineStr">
        <is>
          <t>caregiver_consented</t>
        </is>
      </c>
      <c r="C176" s="118" t="n"/>
      <c r="D176" s="118" t="n"/>
      <c r="E176" s="119" t="n"/>
      <c r="F176" s="119" t="n"/>
      <c r="G176" s="118" t="n"/>
      <c r="H176" s="118" t="n"/>
      <c r="I176" s="118" t="n"/>
      <c r="J176" s="119" t="n"/>
      <c r="K176" s="119" t="n"/>
      <c r="L176" s="118" t="n"/>
      <c r="M176" s="119" t="n"/>
      <c r="N176" s="118" t="n"/>
      <c r="O176" s="119" t="n"/>
      <c r="P176" s="119" t="n"/>
      <c r="Q176" s="119" t="n"/>
      <c r="R176" s="119" t="n"/>
      <c r="S176" s="118" t="n"/>
      <c r="T176" s="119" t="n"/>
      <c r="U176" s="118" t="n"/>
      <c r="V176" s="118" t="n"/>
      <c r="W176" s="119" t="n"/>
      <c r="X176" s="119" t="n"/>
    </row>
    <row r="177">
      <c r="A177" s="117" t="inlineStr">
        <is>
          <t>end group</t>
        </is>
      </c>
      <c r="B177" s="117" t="inlineStr">
        <is>
          <t>caregiver</t>
        </is>
      </c>
      <c r="C177" s="118" t="n"/>
      <c r="D177" s="118" t="n"/>
      <c r="E177" s="119" t="n"/>
      <c r="F177" s="119" t="n"/>
      <c r="G177" s="118" t="n"/>
      <c r="H177" s="118" t="n"/>
      <c r="I177" s="118" t="n"/>
      <c r="J177" s="119" t="n"/>
      <c r="K177" s="119" t="n"/>
      <c r="L177" s="118" t="n"/>
      <c r="M177" s="119" t="n"/>
      <c r="N177" s="118" t="n"/>
      <c r="O177" s="119" t="n"/>
      <c r="P177" s="119" t="n"/>
      <c r="Q177" s="119" t="n"/>
      <c r="R177" s="119" t="n"/>
      <c r="S177" s="118" t="n"/>
      <c r="T177" s="119" t="n"/>
      <c r="U177" s="118" t="n"/>
      <c r="V177" s="118" t="n"/>
      <c r="W177" s="119" t="n"/>
      <c r="X177" s="119" t="n"/>
    </row>
    <row r="178">
      <c r="A178" s="119" t="n"/>
      <c r="B178" s="119" t="n"/>
      <c r="C178" s="118" t="n"/>
      <c r="D178" s="118" t="n"/>
      <c r="E178" s="119" t="n"/>
      <c r="F178" s="119" t="n"/>
      <c r="G178" s="118" t="n"/>
      <c r="H178" s="118" t="n"/>
      <c r="I178" s="118" t="n"/>
      <c r="J178" s="119" t="n"/>
      <c r="K178" s="119" t="n"/>
      <c r="L178" s="118" t="n"/>
      <c r="M178" s="119" t="n"/>
      <c r="N178" s="118" t="n"/>
      <c r="O178" s="119" t="n"/>
      <c r="P178" s="119" t="n"/>
      <c r="Q178" s="119" t="n"/>
      <c r="R178" s="119" t="n"/>
      <c r="S178" s="118" t="n"/>
      <c r="T178" s="119" t="n"/>
      <c r="U178" s="118" t="n"/>
      <c r="V178" s="118" t="n"/>
      <c r="W178" s="119" t="n"/>
      <c r="X178" s="119" t="n"/>
    </row>
    <row r="179" ht="17" customHeight="1">
      <c r="A179" s="117" t="inlineStr">
        <is>
          <t>calculate</t>
        </is>
      </c>
      <c r="B179" s="117" t="inlineStr">
        <is>
          <t>care_name_b</t>
        </is>
      </c>
      <c r="C179" s="120" t="inlineStr">
        <is>
          <t>Returns name of the primary caregiver at sensitization</t>
        </is>
      </c>
      <c r="D179" s="118" t="n"/>
      <c r="E179" s="119" t="n"/>
      <c r="F179" s="119" t="n"/>
      <c r="G179" s="118" t="n"/>
      <c r="H179" s="118" t="n"/>
      <c r="I179" s="120" t="n"/>
      <c r="J179" s="117" t="n"/>
      <c r="K179" s="119" t="n"/>
      <c r="L179" s="118" t="n"/>
      <c r="M179" s="119" t="n"/>
      <c r="N179" s="120" t="inlineStr">
        <is>
          <t>if(${caregiver_confirm} = 0, ${new_care_name}, ${care_name})</t>
        </is>
      </c>
      <c r="O179" s="119" t="n"/>
      <c r="P179" s="119" t="n"/>
      <c r="Q179" s="119" t="n"/>
      <c r="R179" s="119" t="n"/>
      <c r="S179" s="118" t="n"/>
      <c r="T179" s="119" t="n"/>
      <c r="U179" s="118" t="n"/>
      <c r="V179" s="118" t="n"/>
      <c r="W179" s="119" t="n"/>
      <c r="X179" s="119" t="n"/>
    </row>
    <row r="180" ht="17" customHeight="1">
      <c r="A180" s="117" t="inlineStr">
        <is>
          <t>calculate</t>
        </is>
      </c>
      <c r="B180" s="117" t="inlineStr">
        <is>
          <t>care_rel2_b</t>
        </is>
      </c>
      <c r="C180" s="120" t="inlineStr">
        <is>
          <t>Returns relationship of primary caregiver to student at sensitization</t>
        </is>
      </c>
      <c r="D180" s="118" t="n"/>
      <c r="E180" s="119" t="n"/>
      <c r="F180" s="119" t="n"/>
      <c r="G180" s="118" t="n"/>
      <c r="H180" s="118" t="n"/>
      <c r="I180" s="120" t="n"/>
      <c r="J180" s="117" t="n"/>
      <c r="K180" s="119" t="n"/>
      <c r="L180" s="118" t="n"/>
      <c r="M180" s="119" t="n"/>
      <c r="N180" s="120" t="inlineStr">
        <is>
          <t>if(${caregiver_confirm} = 0, ${new_care_rel}, ${care_rel})</t>
        </is>
      </c>
      <c r="O180" s="119" t="n"/>
      <c r="P180" s="119" t="n"/>
      <c r="Q180" s="119" t="n"/>
      <c r="R180" s="119" t="n"/>
      <c r="S180" s="118" t="n"/>
      <c r="T180" s="119" t="n"/>
      <c r="U180" s="118" t="n"/>
      <c r="V180" s="118" t="n"/>
      <c r="W180" s="119" t="n"/>
      <c r="X180" s="119" t="n"/>
    </row>
    <row r="181" ht="17" customHeight="1">
      <c r="A181" s="117" t="inlineStr">
        <is>
          <t>calculate</t>
        </is>
      </c>
      <c r="B181" s="117" t="inlineStr">
        <is>
          <t>care_rel2_lab_b</t>
        </is>
      </c>
      <c r="C181" s="120" t="inlineStr">
        <is>
          <t>Returns relationship of primary caregiver to student (choice label) at sensitization</t>
        </is>
      </c>
      <c r="D181" s="118" t="n"/>
      <c r="E181" s="119" t="n"/>
      <c r="F181" s="119" t="n"/>
      <c r="G181" s="118" t="n"/>
      <c r="H181" s="118" t="n"/>
      <c r="I181" s="120" t="n"/>
      <c r="J181" s="117" t="n"/>
      <c r="K181" s="119" t="n"/>
      <c r="L181" s="118" t="n"/>
      <c r="M181" s="119" t="n"/>
      <c r="N181" s="120" t="inlineStr">
        <is>
          <t>if(${caregiver_confirm} = 0, ${new_care_rel_lab}, ${care_rel_lab})</t>
        </is>
      </c>
      <c r="O181" s="119" t="n"/>
      <c r="P181" s="119" t="n"/>
      <c r="Q181" s="119" t="n"/>
      <c r="R181" s="119" t="n"/>
      <c r="S181" s="118" t="n"/>
      <c r="T181" s="119" t="n"/>
      <c r="U181" s="118" t="n"/>
      <c r="V181" s="118" t="n"/>
      <c r="W181" s="119" t="n"/>
      <c r="X181" s="119" t="n"/>
    </row>
    <row r="182" ht="17" customHeight="1">
      <c r="A182" s="117" t="inlineStr">
        <is>
          <t>calculate</t>
        </is>
      </c>
      <c r="B182" s="117" t="inlineStr">
        <is>
          <t>stud_name_b</t>
        </is>
      </c>
      <c r="C182" s="120" t="inlineStr">
        <is>
          <t>Returns correct student name at sensitization</t>
        </is>
      </c>
      <c r="D182" s="118" t="n"/>
      <c r="E182" s="119" t="n"/>
      <c r="F182" s="119" t="n"/>
      <c r="G182" s="118" t="n"/>
      <c r="H182" s="118" t="n"/>
      <c r="I182" s="120" t="n"/>
      <c r="J182" s="117" t="n"/>
      <c r="K182" s="119" t="n"/>
      <c r="L182" s="118" t="n"/>
      <c r="M182" s="119" t="n"/>
      <c r="N182" s="120" t="inlineStr">
        <is>
          <t>if(${stud_confirm} = 0, ${new_stud_name}, ${stud_name})</t>
        </is>
      </c>
      <c r="O182" s="119" t="n"/>
      <c r="P182" s="119" t="n"/>
      <c r="Q182" s="119" t="n"/>
      <c r="R182" s="119" t="n"/>
      <c r="S182" s="118" t="n"/>
      <c r="T182" s="119" t="n"/>
      <c r="U182" s="118" t="n"/>
      <c r="V182" s="118" t="n"/>
      <c r="W182" s="119" t="n"/>
      <c r="X182" s="119" t="n"/>
    </row>
    <row r="183">
      <c r="A183" s="119" t="n"/>
      <c r="B183" s="119" t="n"/>
      <c r="C183" s="118" t="n"/>
      <c r="D183" s="118" t="n"/>
      <c r="E183" s="119" t="n"/>
      <c r="F183" s="119" t="n"/>
      <c r="G183" s="118" t="n"/>
      <c r="H183" s="118" t="n"/>
      <c r="I183" s="118" t="n"/>
      <c r="J183" s="119" t="n"/>
      <c r="K183" s="119" t="n"/>
      <c r="L183" s="118" t="n"/>
      <c r="M183" s="119" t="n"/>
      <c r="N183" s="118" t="n"/>
      <c r="O183" s="119" t="n"/>
      <c r="P183" s="119" t="n"/>
      <c r="Q183" s="119" t="n"/>
      <c r="R183" s="119" t="n"/>
      <c r="S183" s="118" t="n"/>
      <c r="T183" s="119" t="n"/>
      <c r="U183" s="118" t="n"/>
      <c r="V183" s="118" t="n"/>
      <c r="W183" s="119" t="n"/>
      <c r="X183" s="119" t="n"/>
    </row>
    <row r="184" ht="17" customHeight="1">
      <c r="A184" s="117" t="inlineStr">
        <is>
          <t>calculate</t>
        </is>
      </c>
      <c r="B184" s="117" t="inlineStr">
        <is>
          <t>upd_consent_b</t>
        </is>
      </c>
      <c r="C184" s="121" t="inlineStr">
        <is>
          <t>Updates value with previous response if caregiver is interviewed in previous call</t>
        </is>
      </c>
      <c r="D184" s="118" t="n"/>
      <c r="E184" s="119" t="n"/>
      <c r="F184" s="119" t="n"/>
      <c r="G184" s="118" t="n"/>
      <c r="H184" s="118" t="n"/>
      <c r="I184" s="118" t="n"/>
      <c r="J184" s="119" t="n"/>
      <c r="K184" s="119" t="n"/>
      <c r="L184" s="118" t="n"/>
      <c r="M184" s="119" t="n"/>
      <c r="N184" s="120" t="inlineStr">
        <is>
          <t>if(${caregiver_interviewed_prev}  = 1, pulldata('cases_connected_ph', 'consent_b', 'hhid', ${hhid}), ${consent_b})</t>
        </is>
      </c>
      <c r="O184" s="119" t="n"/>
      <c r="P184" s="119" t="n"/>
      <c r="Q184" s="119" t="n"/>
      <c r="R184" s="119" t="n"/>
      <c r="S184" s="118" t="n"/>
      <c r="T184" s="119" t="n"/>
      <c r="U184" s="118" t="n"/>
      <c r="V184" s="118" t="n"/>
      <c r="W184" s="119" t="n"/>
      <c r="X184" s="119" t="n"/>
    </row>
    <row r="185" ht="17" customHeight="1">
      <c r="A185" s="117" t="inlineStr">
        <is>
          <t>calculate</t>
        </is>
      </c>
      <c r="B185" s="117" t="inlineStr">
        <is>
          <t>upd_care_rel2_b</t>
        </is>
      </c>
      <c r="C185" s="121" t="inlineStr">
        <is>
          <t>Updates value with previous response if caregiver is interviewed in previous call</t>
        </is>
      </c>
      <c r="D185" s="118" t="n"/>
      <c r="E185" s="119" t="n"/>
      <c r="F185" s="119" t="n"/>
      <c r="G185" s="118" t="n"/>
      <c r="H185" s="118" t="n"/>
      <c r="I185" s="118" t="n"/>
      <c r="J185" s="117" t="inlineStr">
        <is>
          <t>yes</t>
        </is>
      </c>
      <c r="K185" s="119" t="n"/>
      <c r="L185" s="118" t="n"/>
      <c r="M185" s="119" t="n"/>
      <c r="N185" s="120" t="inlineStr">
        <is>
          <t>if(${caregiver_interviewed_prev}  = 1, pulldata('cases_connected_ph', 'care_rel2_b', 'hhid', ${hhid}), ${care_rel2_b})</t>
        </is>
      </c>
      <c r="O185" s="119" t="n"/>
      <c r="P185" s="119" t="n"/>
      <c r="Q185" s="119" t="n"/>
      <c r="R185" s="119" t="n"/>
      <c r="S185" s="118" t="n"/>
      <c r="T185" s="119" t="n"/>
      <c r="U185" s="118" t="n"/>
      <c r="V185" s="118" t="n"/>
      <c r="W185" s="119" t="n"/>
      <c r="X185" s="119" t="n"/>
    </row>
    <row r="186" ht="17" customHeight="1">
      <c r="A186" s="117" t="inlineStr">
        <is>
          <t>calculate</t>
        </is>
      </c>
      <c r="B186" s="117" t="inlineStr">
        <is>
          <t>upd_care_rel2_lab_b</t>
        </is>
      </c>
      <c r="C186" s="121" t="inlineStr">
        <is>
          <t>Updates value with previous response if caregiver is interviewed in previous call</t>
        </is>
      </c>
      <c r="D186" s="118" t="n"/>
      <c r="E186" s="119" t="n"/>
      <c r="F186" s="119" t="n"/>
      <c r="G186" s="118" t="n"/>
      <c r="H186" s="118" t="n"/>
      <c r="I186" s="118" t="n"/>
      <c r="J186" s="117" t="inlineStr">
        <is>
          <t>yes</t>
        </is>
      </c>
      <c r="K186" s="119" t="n"/>
      <c r="L186" s="118" t="n"/>
      <c r="M186" s="119" t="n"/>
      <c r="N186" s="120" t="inlineStr">
        <is>
          <t>if(${caregiver_interviewed_prev}  = 1, pulldata('cases_connected_ph', 'care_rel2_lab_b', 'hhid', ${hhid}), ${care_rel2_lab_b})</t>
        </is>
      </c>
      <c r="O186" s="119" t="n"/>
      <c r="P186" s="119" t="n"/>
      <c r="Q186" s="119" t="n"/>
      <c r="R186" s="119" t="n"/>
      <c r="S186" s="118" t="n"/>
      <c r="T186" s="119" t="n"/>
      <c r="U186" s="118" t="n"/>
      <c r="V186" s="118" t="n"/>
      <c r="W186" s="119" t="n"/>
      <c r="X186" s="119" t="n"/>
    </row>
    <row r="187" ht="17" customHeight="1">
      <c r="A187" s="117" t="inlineStr">
        <is>
          <t>calculate</t>
        </is>
      </c>
      <c r="B187" s="117" t="inlineStr">
        <is>
          <t>upd_educ_support_person_b</t>
        </is>
      </c>
      <c r="C187" s="121" t="inlineStr">
        <is>
          <t>Updates value with previous response if caregiver is interviewed in previous call</t>
        </is>
      </c>
      <c r="D187" s="118" t="n"/>
      <c r="E187" s="119" t="n"/>
      <c r="F187" s="119" t="n"/>
      <c r="G187" s="118" t="n"/>
      <c r="H187" s="118" t="n"/>
      <c r="I187" s="118" t="n"/>
      <c r="J187" s="119" t="n"/>
      <c r="K187" s="119" t="n"/>
      <c r="L187" s="118" t="n"/>
      <c r="M187" s="119" t="n"/>
      <c r="N187" s="120" t="inlineStr">
        <is>
          <t>if(${caregiver_interviewed_prev}  = 1, pulldata('cases_connected_ph', 'educ_support_person_b', 'hhid', ${hhid}), ${educ_support_person_b})</t>
        </is>
      </c>
      <c r="O187" s="119" t="n"/>
      <c r="P187" s="119" t="n"/>
      <c r="Q187" s="119" t="n"/>
      <c r="R187" s="119" t="n"/>
      <c r="S187" s="118" t="n"/>
      <c r="T187" s="119" t="n"/>
      <c r="U187" s="118" t="n"/>
      <c r="V187" s="118" t="n"/>
      <c r="W187" s="119" t="n"/>
      <c r="X187" s="119" t="n"/>
    </row>
    <row r="188" ht="17" customHeight="1">
      <c r="A188" s="117" t="inlineStr">
        <is>
          <t>calculate</t>
        </is>
      </c>
      <c r="B188" s="117" t="inlineStr">
        <is>
          <t>upd_name_educ_support_person_b</t>
        </is>
      </c>
      <c r="C188" s="121" t="inlineStr">
        <is>
          <t>Updates value with previous response if caregiver is interviewed in previous call</t>
        </is>
      </c>
      <c r="D188" s="118" t="n"/>
      <c r="E188" s="119" t="n"/>
      <c r="F188" s="119" t="n"/>
      <c r="G188" s="118" t="n"/>
      <c r="H188" s="118" t="n"/>
      <c r="I188" s="118" t="n"/>
      <c r="J188" s="117" t="inlineStr">
        <is>
          <t>yes</t>
        </is>
      </c>
      <c r="K188" s="119" t="n"/>
      <c r="L188" s="118" t="n"/>
      <c r="M188" s="119" t="n"/>
      <c r="N188" s="120" t="inlineStr">
        <is>
          <t>if(${caregiver_interviewed_prev}  = 1, pulldata('cases_connected_ph', 'name_educ_support_person_b', 'hhid', ${hhid}), ${name_educ_support_person_b})</t>
        </is>
      </c>
      <c r="O188" s="119" t="n"/>
      <c r="P188" s="119" t="n"/>
      <c r="Q188" s="119" t="n"/>
      <c r="R188" s="119" t="n"/>
      <c r="S188" s="118" t="n"/>
      <c r="T188" s="119" t="n"/>
      <c r="U188" s="118" t="n"/>
      <c r="V188" s="118" t="n"/>
      <c r="W188" s="119" t="n"/>
      <c r="X188" s="119" t="n"/>
    </row>
    <row r="189" ht="17" customHeight="1">
      <c r="A189" s="117" t="inlineStr">
        <is>
          <t>calculate</t>
        </is>
      </c>
      <c r="B189" s="117" t="inlineStr">
        <is>
          <t>upd_stud_age_b</t>
        </is>
      </c>
      <c r="C189" s="121" t="inlineStr">
        <is>
          <t>Updates value with previous response if caregiver is interviewed in previous call</t>
        </is>
      </c>
      <c r="D189" s="118" t="n"/>
      <c r="E189" s="119" t="n"/>
      <c r="F189" s="119" t="n"/>
      <c r="G189" s="118" t="n"/>
      <c r="H189" s="118" t="n"/>
      <c r="I189" s="118" t="n"/>
      <c r="J189" s="117" t="inlineStr">
        <is>
          <t>yes</t>
        </is>
      </c>
      <c r="K189" s="119" t="n"/>
      <c r="L189" s="118" t="n"/>
      <c r="M189" s="119" t="n"/>
      <c r="N189" s="120" t="inlineStr">
        <is>
          <t>if(${caregiver_interviewed_prev}  = 1, pulldata('cases_connected_ph', 'stud_age_b', 'hhid', ${hhid}), ${stud_age_b})</t>
        </is>
      </c>
      <c r="O189" s="119" t="n"/>
      <c r="P189" s="119" t="n"/>
      <c r="Q189" s="119" t="n"/>
      <c r="R189" s="119" t="n"/>
      <c r="S189" s="118" t="n"/>
      <c r="T189" s="119" t="n"/>
      <c r="U189" s="118" t="n"/>
      <c r="V189" s="118" t="n"/>
      <c r="W189" s="119" t="n"/>
      <c r="X189" s="119" t="n"/>
    </row>
    <row r="190" ht="17" customHeight="1">
      <c r="A190" s="117" t="inlineStr">
        <is>
          <t>calculate</t>
        </is>
      </c>
      <c r="B190" s="117" t="inlineStr">
        <is>
          <t>upd_stud_std_b</t>
        </is>
      </c>
      <c r="C190" s="121" t="inlineStr">
        <is>
          <t>Updates value with previous response if caregiver is interviewed in previous call</t>
        </is>
      </c>
      <c r="D190" s="118" t="n"/>
      <c r="E190" s="119" t="n"/>
      <c r="F190" s="119" t="n"/>
      <c r="G190" s="118" t="n"/>
      <c r="H190" s="118" t="n"/>
      <c r="I190" s="118" t="n"/>
      <c r="J190" s="117" t="inlineStr">
        <is>
          <t>yes</t>
        </is>
      </c>
      <c r="K190" s="119" t="n"/>
      <c r="L190" s="118" t="n"/>
      <c r="M190" s="119" t="n"/>
      <c r="N190" s="120" t="inlineStr">
        <is>
          <t>if(${caregiver_interviewed_prev}  = 1, pulldata('cases_connected_ph', 'stud_std_b', 'hhid', ${hhid}), ${stud_std_b})</t>
        </is>
      </c>
      <c r="O190" s="119" t="n"/>
      <c r="P190" s="119" t="n"/>
      <c r="Q190" s="119" t="n"/>
      <c r="R190" s="119" t="n"/>
      <c r="S190" s="118" t="n"/>
      <c r="T190" s="119" t="n"/>
      <c r="U190" s="118" t="n"/>
      <c r="V190" s="118" t="n"/>
      <c r="W190" s="119" t="n"/>
      <c r="X190" s="119" t="n"/>
    </row>
    <row r="191" ht="17" customHeight="1">
      <c r="A191" s="117" t="inlineStr">
        <is>
          <t>calculate</t>
        </is>
      </c>
      <c r="B191" s="117" t="inlineStr">
        <is>
          <t>upd_stud_female_b</t>
        </is>
      </c>
      <c r="C191" s="121" t="inlineStr">
        <is>
          <t>Updates value with previous response if caregiver is interviewed in previous call</t>
        </is>
      </c>
      <c r="D191" s="118" t="n"/>
      <c r="E191" s="119" t="n"/>
      <c r="F191" s="119" t="n"/>
      <c r="G191" s="118" t="n"/>
      <c r="H191" s="118" t="n"/>
      <c r="I191" s="118" t="n"/>
      <c r="J191" s="117" t="inlineStr">
        <is>
          <t>yes</t>
        </is>
      </c>
      <c r="K191" s="119" t="n"/>
      <c r="L191" s="118" t="n"/>
      <c r="M191" s="119" t="n"/>
      <c r="N191" s="120" t="inlineStr">
        <is>
          <t>if(${caregiver_interviewed_prev}  = 1, pulldata('cases_connected_ph', 'stud_female_b', 'hhid', ${hhid}), ${stud_female_b})</t>
        </is>
      </c>
      <c r="O191" s="119" t="n"/>
      <c r="P191" s="119" t="n"/>
      <c r="Q191" s="119" t="n"/>
      <c r="R191" s="119" t="n"/>
      <c r="S191" s="118" t="n"/>
      <c r="T191" s="119" t="n"/>
      <c r="U191" s="118" t="n"/>
      <c r="V191" s="118" t="n"/>
      <c r="W191" s="119" t="n"/>
      <c r="X191" s="119" t="n"/>
    </row>
    <row r="192" ht="17" customHeight="1">
      <c r="A192" s="117" t="inlineStr">
        <is>
          <t>calculate</t>
        </is>
      </c>
      <c r="B192" s="117" t="inlineStr">
        <is>
          <t>upd_stud_disability_b</t>
        </is>
      </c>
      <c r="C192" s="121" t="inlineStr">
        <is>
          <t>Updates value with previous response if caregiver is interviewed in previous call</t>
        </is>
      </c>
      <c r="D192" s="118" t="n"/>
      <c r="E192" s="119" t="n"/>
      <c r="F192" s="119" t="n"/>
      <c r="G192" s="118" t="n"/>
      <c r="H192" s="118" t="n"/>
      <c r="I192" s="118" t="n"/>
      <c r="J192" s="117" t="inlineStr">
        <is>
          <t>yes</t>
        </is>
      </c>
      <c r="K192" s="119" t="n"/>
      <c r="L192" s="118" t="n"/>
      <c r="M192" s="119" t="n"/>
      <c r="N192" s="120" t="inlineStr">
        <is>
          <t>if(${caregiver_interviewed_prev}  = 1, pulldata('cases_connected_ph', 'stud_disability_b', 'hhid', ${hhid}), ${stud_disability_b})</t>
        </is>
      </c>
      <c r="O192" s="119" t="n"/>
      <c r="P192" s="119" t="n"/>
      <c r="Q192" s="119" t="n"/>
      <c r="R192" s="119" t="n"/>
      <c r="S192" s="118" t="n"/>
      <c r="T192" s="119" t="n"/>
      <c r="U192" s="118" t="n"/>
      <c r="V192" s="118" t="n"/>
      <c r="W192" s="119" t="n"/>
      <c r="X192" s="119" t="n"/>
    </row>
    <row r="193" ht="17" customHeight="1">
      <c r="A193" s="117" t="inlineStr">
        <is>
          <t>calculate</t>
        </is>
      </c>
      <c r="B193" s="117" t="inlineStr">
        <is>
          <t>upd_school_id_b</t>
        </is>
      </c>
      <c r="C193" s="121" t="inlineStr">
        <is>
          <t>Updates value with previous response if caregiver is interviewed in previous call</t>
        </is>
      </c>
      <c r="D193" s="118" t="n"/>
      <c r="E193" s="119" t="n"/>
      <c r="F193" s="119" t="n"/>
      <c r="G193" s="118" t="n"/>
      <c r="H193" s="118" t="n"/>
      <c r="I193" s="118" t="n"/>
      <c r="J193" s="117" t="inlineStr">
        <is>
          <t>yes</t>
        </is>
      </c>
      <c r="K193" s="119" t="n"/>
      <c r="L193" s="118" t="n"/>
      <c r="M193" s="119" t="n"/>
      <c r="N193" s="120" t="inlineStr">
        <is>
          <t>if(${caregiver_interviewed_prev}  = 1, pulldata('cases_connected_ph', 'school_id_b', 'hhid', ${hhid}), ${school_id_b})</t>
        </is>
      </c>
      <c r="O193" s="119" t="n"/>
      <c r="P193" s="119" t="n"/>
      <c r="Q193" s="119" t="n"/>
      <c r="R193" s="119" t="n"/>
      <c r="S193" s="118" t="n"/>
      <c r="T193" s="119" t="n"/>
      <c r="U193" s="118" t="n"/>
      <c r="V193" s="118" t="n"/>
      <c r="W193" s="119" t="n"/>
      <c r="X193" s="119" t="n"/>
    </row>
    <row r="194" ht="17" customHeight="1">
      <c r="A194" s="117" t="inlineStr">
        <is>
          <t>calculate</t>
        </is>
      </c>
      <c r="B194" s="117" t="inlineStr">
        <is>
          <t>upd_school_b</t>
        </is>
      </c>
      <c r="C194" s="121" t="inlineStr">
        <is>
          <t>Updates value with previous response if caregiver is interviewed in previous call</t>
        </is>
      </c>
      <c r="D194" s="118" t="n"/>
      <c r="E194" s="119" t="n"/>
      <c r="F194" s="119" t="n"/>
      <c r="G194" s="118" t="n"/>
      <c r="H194" s="118" t="n"/>
      <c r="I194" s="118" t="n"/>
      <c r="J194" s="117" t="inlineStr">
        <is>
          <t>yes</t>
        </is>
      </c>
      <c r="K194" s="119" t="n"/>
      <c r="L194" s="118" t="n"/>
      <c r="M194" s="119" t="n"/>
      <c r="N194" s="120" t="inlineStr">
        <is>
          <t>if(${caregiver_interviewed_prev}  = 1, pulldata('cases_connected_ph', 'school_b', 'hhid', ${hhid}), ${school_b})</t>
        </is>
      </c>
      <c r="O194" s="119" t="n"/>
      <c r="P194" s="119" t="n"/>
      <c r="Q194" s="119" t="n"/>
      <c r="R194" s="119" t="n"/>
      <c r="S194" s="118" t="n"/>
      <c r="T194" s="119" t="n"/>
      <c r="U194" s="118" t="n"/>
      <c r="V194" s="118" t="n"/>
      <c r="W194" s="119" t="n"/>
      <c r="X194" s="119" t="n"/>
    </row>
    <row r="195" ht="17" customHeight="1">
      <c r="A195" s="117" t="inlineStr">
        <is>
          <t>calculate</t>
        </is>
      </c>
      <c r="B195" s="117" t="inlineStr">
        <is>
          <t>upd_school_disruptions_b</t>
        </is>
      </c>
      <c r="C195" s="121" t="inlineStr">
        <is>
          <t>Updates value with previous response if caregiver is interviewed in previous call</t>
        </is>
      </c>
      <c r="D195" s="118" t="n"/>
      <c r="E195" s="119" t="n"/>
      <c r="F195" s="119" t="n"/>
      <c r="G195" s="118" t="n"/>
      <c r="H195" s="118" t="n"/>
      <c r="I195" s="118" t="n"/>
      <c r="J195" s="119" t="n"/>
      <c r="K195" s="119" t="n"/>
      <c r="L195" s="118" t="n"/>
      <c r="M195" s="119" t="n"/>
      <c r="N195" s="120" t="inlineStr">
        <is>
          <t>if(${caregiver_interviewed_prev}  = 1, pulldata('cases_connected_ph', 'school_disruptions_b', 'hhid', ${hhid}), ${school_disruptions_b})</t>
        </is>
      </c>
      <c r="O195" s="119" t="n"/>
      <c r="P195" s="119" t="n"/>
      <c r="Q195" s="119" t="n"/>
      <c r="R195" s="119" t="n"/>
      <c r="S195" s="118" t="n"/>
      <c r="T195" s="119" t="n"/>
      <c r="U195" s="118" t="n"/>
      <c r="V195" s="118" t="n"/>
      <c r="W195" s="119" t="n"/>
      <c r="X195" s="119" t="n"/>
    </row>
    <row r="196" ht="17" customHeight="1">
      <c r="A196" s="117" t="inlineStr">
        <is>
          <t>calculate</t>
        </is>
      </c>
      <c r="B196" s="117" t="inlineStr">
        <is>
          <t>upd_best_time_mon</t>
        </is>
      </c>
      <c r="C196" s="121" t="inlineStr">
        <is>
          <t>Updates value with previous response if caregiver is interviewed in previous call</t>
        </is>
      </c>
      <c r="D196" s="118" t="n"/>
      <c r="E196" s="119" t="n"/>
      <c r="F196" s="119" t="n"/>
      <c r="G196" s="118" t="n"/>
      <c r="H196" s="118" t="n"/>
      <c r="I196" s="118" t="n"/>
      <c r="J196" s="119" t="n"/>
      <c r="K196" s="119" t="n"/>
      <c r="L196" s="118" t="n"/>
      <c r="M196" s="119" t="n"/>
      <c r="N196" s="120" t="inlineStr">
        <is>
          <t>if(${caregiver_interviewed_prev}  = 1, pulldata('cases_connected_ph', 'best_time_mon', 'hhid', ${hhid}), ${best_time_mon})</t>
        </is>
      </c>
      <c r="O196" s="119" t="n"/>
      <c r="P196" s="119" t="n"/>
      <c r="Q196" s="119" t="n"/>
      <c r="R196" s="119" t="n"/>
      <c r="S196" s="118" t="n"/>
      <c r="T196" s="119" t="n"/>
      <c r="U196" s="118" t="n"/>
      <c r="V196" s="118" t="n"/>
      <c r="W196" s="119" t="n"/>
      <c r="X196" s="119" t="n"/>
    </row>
    <row r="197" ht="17" customHeight="1">
      <c r="A197" s="117" t="inlineStr">
        <is>
          <t>calculate</t>
        </is>
      </c>
      <c r="B197" s="117" t="inlineStr">
        <is>
          <t>upd_best_time_tue</t>
        </is>
      </c>
      <c r="C197" s="121" t="inlineStr">
        <is>
          <t>Updates value with previous response if caregiver is interviewed in previous call</t>
        </is>
      </c>
      <c r="D197" s="118" t="n"/>
      <c r="E197" s="119" t="n"/>
      <c r="F197" s="119" t="n"/>
      <c r="G197" s="118" t="n"/>
      <c r="H197" s="118" t="n"/>
      <c r="I197" s="118" t="n"/>
      <c r="J197" s="119" t="n"/>
      <c r="K197" s="119" t="n"/>
      <c r="L197" s="118" t="n"/>
      <c r="M197" s="119" t="n"/>
      <c r="N197" s="120" t="inlineStr">
        <is>
          <t>if(${caregiver_interviewed_prev}  = 1, pulldata('cases_connected_ph', 'best_time_tue', 'hhid', ${hhid}), ${best_time_tue})</t>
        </is>
      </c>
      <c r="O197" s="119" t="n"/>
      <c r="P197" s="119" t="n"/>
      <c r="Q197" s="119" t="n"/>
      <c r="R197" s="119" t="n"/>
      <c r="S197" s="118" t="n"/>
      <c r="T197" s="119" t="n"/>
      <c r="U197" s="118" t="n"/>
      <c r="V197" s="118" t="n"/>
      <c r="W197" s="119" t="n"/>
      <c r="X197" s="119" t="n"/>
    </row>
    <row r="198" ht="17" customHeight="1">
      <c r="A198" s="117" t="inlineStr">
        <is>
          <t>calculate</t>
        </is>
      </c>
      <c r="B198" s="117" t="inlineStr">
        <is>
          <t>upd_best_time_wed</t>
        </is>
      </c>
      <c r="C198" s="121" t="inlineStr">
        <is>
          <t>Updates value with previous response if caregiver is interviewed in previous call</t>
        </is>
      </c>
      <c r="D198" s="118" t="n"/>
      <c r="E198" s="119" t="n"/>
      <c r="F198" s="119" t="n"/>
      <c r="G198" s="118" t="n"/>
      <c r="H198" s="118" t="n"/>
      <c r="I198" s="118" t="n"/>
      <c r="J198" s="119" t="n"/>
      <c r="K198" s="119" t="n"/>
      <c r="L198" s="118" t="n"/>
      <c r="M198" s="119" t="n"/>
      <c r="N198" s="120" t="inlineStr">
        <is>
          <t>if(${caregiver_interviewed_prev}  = 1, pulldata('cases_connected_ph', 'best_time_wed', 'hhid', ${hhid}), ${best_time_wed})</t>
        </is>
      </c>
      <c r="O198" s="119" t="n"/>
      <c r="P198" s="119" t="n"/>
      <c r="Q198" s="119" t="n"/>
      <c r="R198" s="119" t="n"/>
      <c r="S198" s="118" t="n"/>
      <c r="T198" s="119" t="n"/>
      <c r="U198" s="118" t="n"/>
      <c r="V198" s="118" t="n"/>
      <c r="W198" s="119" t="n"/>
      <c r="X198" s="119" t="n"/>
    </row>
    <row r="199" ht="17" customHeight="1">
      <c r="A199" s="117" t="inlineStr">
        <is>
          <t>calculate</t>
        </is>
      </c>
      <c r="B199" s="117" t="inlineStr">
        <is>
          <t>upd_best_time_thu</t>
        </is>
      </c>
      <c r="C199" s="121" t="inlineStr">
        <is>
          <t>Updates value with previous response if caregiver is interviewed in previous call</t>
        </is>
      </c>
      <c r="D199" s="118" t="n"/>
      <c r="E199" s="119" t="n"/>
      <c r="F199" s="119" t="n"/>
      <c r="G199" s="118" t="n"/>
      <c r="H199" s="118" t="n"/>
      <c r="I199" s="118" t="n"/>
      <c r="J199" s="119" t="n"/>
      <c r="K199" s="119" t="n"/>
      <c r="L199" s="118" t="n"/>
      <c r="M199" s="119" t="n"/>
      <c r="N199" s="120" t="inlineStr">
        <is>
          <t>if(${caregiver_interviewed_prev}  = 1, pulldata('cases_connected_ph', 'best_time_thu', 'hhid', ${hhid}), ${best_time_thu})</t>
        </is>
      </c>
      <c r="O199" s="119" t="n"/>
      <c r="P199" s="119" t="n"/>
      <c r="Q199" s="119" t="n"/>
      <c r="R199" s="119" t="n"/>
      <c r="S199" s="118" t="n"/>
      <c r="T199" s="119" t="n"/>
      <c r="U199" s="118" t="n"/>
      <c r="V199" s="118" t="n"/>
      <c r="W199" s="119" t="n"/>
      <c r="X199" s="119" t="n"/>
    </row>
    <row r="200" ht="17" customHeight="1">
      <c r="A200" s="117" t="inlineStr">
        <is>
          <t>calculate</t>
        </is>
      </c>
      <c r="B200" s="117" t="inlineStr">
        <is>
          <t>upd_best_time_fri</t>
        </is>
      </c>
      <c r="C200" s="121" t="inlineStr">
        <is>
          <t>Updates value with previous response if caregiver is interviewed in previous call</t>
        </is>
      </c>
      <c r="D200" s="118" t="n"/>
      <c r="E200" s="119" t="n"/>
      <c r="F200" s="119" t="n"/>
      <c r="G200" s="118" t="n"/>
      <c r="H200" s="118" t="n"/>
      <c r="I200" s="118" t="n"/>
      <c r="J200" s="119" t="n"/>
      <c r="K200" s="119" t="n"/>
      <c r="L200" s="118" t="n"/>
      <c r="M200" s="119" t="n"/>
      <c r="N200" s="120" t="inlineStr">
        <is>
          <t>if(${caregiver_interviewed_prev}  = 1, pulldata('cases_connected_ph', 'best_time_fri', 'hhid', ${hhid}), ${best_time_fri})</t>
        </is>
      </c>
      <c r="O200" s="119" t="n"/>
      <c r="P200" s="119" t="n"/>
      <c r="Q200" s="119" t="n"/>
      <c r="R200" s="119" t="n"/>
      <c r="S200" s="118" t="n"/>
      <c r="T200" s="119" t="n"/>
      <c r="U200" s="118" t="n"/>
      <c r="V200" s="118" t="n"/>
      <c r="W200" s="119" t="n"/>
      <c r="X200" s="119" t="n"/>
    </row>
    <row r="201" ht="17" customHeight="1">
      <c r="A201" s="117" t="inlineStr">
        <is>
          <t>calculate</t>
        </is>
      </c>
      <c r="B201" s="117" t="inlineStr">
        <is>
          <t>upd_best_time_sat</t>
        </is>
      </c>
      <c r="C201" s="121" t="inlineStr">
        <is>
          <t>Updates value with previous response if caregiver is interviewed in previous call</t>
        </is>
      </c>
      <c r="D201" s="118" t="n"/>
      <c r="E201" s="119" t="n"/>
      <c r="F201" s="119" t="n"/>
      <c r="G201" s="118" t="n"/>
      <c r="H201" s="118" t="n"/>
      <c r="I201" s="118" t="n"/>
      <c r="J201" s="119" t="n"/>
      <c r="K201" s="119" t="n"/>
      <c r="L201" s="118" t="n"/>
      <c r="M201" s="119" t="n"/>
      <c r="N201" s="120" t="inlineStr">
        <is>
          <t>if(${caregiver_interviewed_prev}  = 1, pulldata('cases_connected_ph', 'best_time_sat', 'hhid', ${hhid}), ${best_time_sat})</t>
        </is>
      </c>
      <c r="O201" s="119" t="n"/>
      <c r="P201" s="119" t="n"/>
      <c r="Q201" s="119" t="n"/>
      <c r="R201" s="119" t="n"/>
      <c r="S201" s="118" t="n"/>
      <c r="T201" s="119" t="n"/>
      <c r="U201" s="118" t="n"/>
      <c r="V201" s="118" t="n"/>
      <c r="W201" s="119" t="n"/>
      <c r="X201" s="119" t="n"/>
    </row>
    <row r="202" ht="17" customHeight="1">
      <c r="A202" s="117" t="inlineStr">
        <is>
          <t>calculate</t>
        </is>
      </c>
      <c r="B202" s="117" t="inlineStr">
        <is>
          <t>upd_best_time_sun</t>
        </is>
      </c>
      <c r="C202" s="121" t="inlineStr">
        <is>
          <t>Updates value with previous response if caregiver is interviewed in previous call</t>
        </is>
      </c>
      <c r="D202" s="118" t="n"/>
      <c r="E202" s="119" t="n"/>
      <c r="F202" s="119" t="n"/>
      <c r="G202" s="118" t="n"/>
      <c r="H202" s="118" t="n"/>
      <c r="I202" s="118" t="n"/>
      <c r="J202" s="119" t="n"/>
      <c r="K202" s="119" t="n"/>
      <c r="L202" s="118" t="n"/>
      <c r="M202" s="119" t="n"/>
      <c r="N202" s="120" t="inlineStr">
        <is>
          <t>if(${caregiver_interviewed_prev}  = 1, pulldata('cases_connected_ph', 'best_time_sun', 'hhid', ${hhid}), ${best_time_sun})</t>
        </is>
      </c>
      <c r="O202" s="119" t="n"/>
      <c r="P202" s="119" t="n"/>
      <c r="Q202" s="119" t="n"/>
      <c r="R202" s="119" t="n"/>
      <c r="S202" s="118" t="n"/>
      <c r="T202" s="119" t="n"/>
      <c r="U202" s="118" t="n"/>
      <c r="V202" s="118" t="n"/>
      <c r="W202" s="119" t="n"/>
      <c r="X202" s="119" t="n"/>
    </row>
    <row r="203" ht="17" customHeight="1">
      <c r="A203" s="117" t="inlineStr">
        <is>
          <t>calculate</t>
        </is>
      </c>
      <c r="B203" s="117" t="inlineStr">
        <is>
          <t>upd_best_phone</t>
        </is>
      </c>
      <c r="C203" s="121" t="inlineStr">
        <is>
          <t>Updates value with previous response if caregiver is interviewed in previous call</t>
        </is>
      </c>
      <c r="D203" s="118" t="n"/>
      <c r="E203" s="119" t="n"/>
      <c r="F203" s="119" t="n"/>
      <c r="G203" s="118" t="n"/>
      <c r="H203" s="118" t="n"/>
      <c r="I203" s="118" t="n"/>
      <c r="J203" s="119" t="n"/>
      <c r="K203" s="119" t="n"/>
      <c r="L203" s="118" t="n"/>
      <c r="M203" s="119" t="n"/>
      <c r="N203" s="120" t="inlineStr">
        <is>
          <t>if(${caregiver_interviewed_prev}  = 1, pulldata('cases_connected_ph', 'best_phone', 'hhid', ${hhid}), ${best_phone})</t>
        </is>
      </c>
      <c r="O203" s="119" t="n"/>
      <c r="P203" s="119" t="n"/>
      <c r="Q203" s="119" t="n"/>
      <c r="R203" s="119" t="n"/>
      <c r="S203" s="118" t="n"/>
      <c r="T203" s="119" t="n"/>
      <c r="U203" s="118" t="n"/>
      <c r="V203" s="118" t="n"/>
      <c r="W203" s="119" t="n"/>
      <c r="X203" s="119" t="n"/>
    </row>
    <row r="204" ht="17" customHeight="1">
      <c r="A204" s="117" t="inlineStr">
        <is>
          <t>calculate</t>
        </is>
      </c>
      <c r="B204" s="117" t="inlineStr">
        <is>
          <t>upd_best_phone_name</t>
        </is>
      </c>
      <c r="C204" s="121" t="inlineStr">
        <is>
          <t>Updates value with previous response if caregiver is interviewed in previous call</t>
        </is>
      </c>
      <c r="D204" s="118" t="n"/>
      <c r="E204" s="119" t="n"/>
      <c r="F204" s="119" t="n"/>
      <c r="G204" s="118" t="n"/>
      <c r="H204" s="118" t="n"/>
      <c r="I204" s="118" t="n"/>
      <c r="J204" s="119" t="n"/>
      <c r="K204" s="119" t="n"/>
      <c r="L204" s="118" t="n"/>
      <c r="M204" s="119" t="n"/>
      <c r="N204" s="120" t="inlineStr">
        <is>
          <t>if(${caregiver_interviewed_prev}  = 1, pulldata('cases_connected_ph', 'best_phone_name', 'hhid', ${hhid}), ${best_phone_name})</t>
        </is>
      </c>
      <c r="O204" s="119" t="n"/>
      <c r="P204" s="119" t="n"/>
      <c r="Q204" s="119" t="n"/>
      <c r="R204" s="119" t="n"/>
      <c r="S204" s="118" t="n"/>
      <c r="T204" s="119" t="n"/>
      <c r="U204" s="118" t="n"/>
      <c r="V204" s="118" t="n"/>
      <c r="W204" s="119" t="n"/>
      <c r="X204" s="119" t="n"/>
    </row>
    <row r="205" ht="17" customHeight="1">
      <c r="A205" s="117" t="inlineStr">
        <is>
          <t>calculate</t>
        </is>
      </c>
      <c r="B205" s="117" t="inlineStr">
        <is>
          <t>upd_best_phone_rel</t>
        </is>
      </c>
      <c r="C205" s="121" t="inlineStr">
        <is>
          <t>Updates value with previous response if caregiver is interviewed in previous call</t>
        </is>
      </c>
      <c r="D205" s="118" t="n"/>
      <c r="E205" s="119" t="n"/>
      <c r="F205" s="119" t="n"/>
      <c r="G205" s="118" t="n"/>
      <c r="H205" s="118" t="n"/>
      <c r="I205" s="118" t="n"/>
      <c r="J205" s="119" t="n"/>
      <c r="K205" s="119" t="n"/>
      <c r="L205" s="118" t="n"/>
      <c r="M205" s="119" t="n"/>
      <c r="N205" s="120" t="inlineStr">
        <is>
          <t>if(${caregiver_interviewed_prev}  = 1, pulldata('cases_connected_ph', 'best_phone_rel', 'hhid', ${hhid}), ${best_phone_rel})</t>
        </is>
      </c>
      <c r="O205" s="119" t="n"/>
      <c r="P205" s="119" t="n"/>
      <c r="Q205" s="119" t="n"/>
      <c r="R205" s="119" t="n"/>
      <c r="S205" s="118" t="n"/>
      <c r="T205" s="119" t="n"/>
      <c r="U205" s="118" t="n"/>
      <c r="V205" s="118" t="n"/>
      <c r="W205" s="119" t="n"/>
      <c r="X205" s="119" t="n"/>
    </row>
    <row r="206">
      <c r="A206" s="119" t="n"/>
      <c r="B206" s="119" t="n"/>
      <c r="C206" s="118" t="n"/>
      <c r="D206" s="118" t="n"/>
      <c r="E206" s="119" t="n"/>
      <c r="F206" s="119" t="n"/>
      <c r="G206" s="118" t="n"/>
      <c r="H206" s="118" t="n"/>
      <c r="I206" s="118" t="n"/>
      <c r="J206" s="119" t="n"/>
      <c r="K206" s="119" t="n"/>
      <c r="L206" s="118" t="n"/>
      <c r="M206" s="119" t="n"/>
      <c r="N206" s="118" t="n"/>
      <c r="O206" s="119" t="n"/>
      <c r="P206" s="119" t="n"/>
      <c r="Q206" s="119" t="n"/>
      <c r="R206" s="119" t="n"/>
      <c r="S206" s="118" t="n"/>
      <c r="T206" s="119" t="n"/>
      <c r="U206" s="118" t="n"/>
      <c r="V206" s="118" t="n"/>
      <c r="W206" s="119" t="n"/>
      <c r="X206" s="119" t="n"/>
    </row>
    <row r="207" ht="17" customHeight="1">
      <c r="A207" s="117" t="inlineStr">
        <is>
          <t>begin group</t>
        </is>
      </c>
      <c r="B207" s="117" t="inlineStr">
        <is>
          <t>stud_resched</t>
        </is>
      </c>
      <c r="C207" s="121" t="inlineStr">
        <is>
          <t>Ask if student is available, caregiver previously interviewed</t>
        </is>
      </c>
      <c r="D207" s="118" t="n"/>
      <c r="E207" s="119" t="n"/>
      <c r="F207" s="117" t="inlineStr">
        <is>
          <t>field-list</t>
        </is>
      </c>
      <c r="G207" s="118" t="n"/>
      <c r="H207" s="118" t="n"/>
      <c r="I207" s="120" t="inlineStr">
        <is>
          <t>${caregiver_interviewed_prev} = 1</t>
        </is>
      </c>
      <c r="J207" s="119" t="n"/>
      <c r="K207" s="119" t="n"/>
      <c r="L207" s="118" t="n"/>
      <c r="M207" s="119" t="n"/>
      <c r="N207" s="118" t="n"/>
      <c r="O207" s="119" t="n"/>
      <c r="P207" s="119" t="n"/>
      <c r="Q207" s="119" t="n"/>
      <c r="R207" s="119" t="n"/>
      <c r="S207" s="118" t="n"/>
      <c r="T207" s="119" t="n"/>
      <c r="U207" s="118" t="n"/>
      <c r="V207" s="118" t="n"/>
      <c r="W207" s="119" t="n"/>
      <c r="X207" s="119" t="n"/>
    </row>
    <row r="208" ht="187" customHeight="1">
      <c r="A208" s="117" t="inlineStr">
        <is>
          <t>note</t>
        </is>
      </c>
      <c r="B208" s="117" t="inlineStr">
        <is>
          <t>note_intro_stud_resched</t>
        </is>
      </c>
      <c r="C208" s="121" t="inlineStr">
        <is>
          <t>Hello! We spoke earlier about enrolling &lt;font color="#14b14b"&gt;&lt;b&gt;&lt;u&gt;${stud_name_b}&lt;/u&gt;&lt;/b&gt;&lt;/font&gt; to mEducation, our free phone-based tutoring program in math.
&lt;br&gt;&lt;br&gt;
I would like to speak with &lt;font color="#14b14b"&gt;&lt;b&gt;&lt;u&gt;${stud_name_b}&lt;/u&gt;&lt;/b&gt;&lt;/font&gt;, we'll have a short game to try a couple of math problems during this call. 
&lt;br&gt;&lt;br&gt;
This shouldn't take long and it won't affect your child's grade or class standing.</t>
        </is>
      </c>
      <c r="D208" s="118" t="n"/>
      <c r="E208" s="119" t="n"/>
      <c r="F208" s="119" t="n"/>
      <c r="G208" s="118" t="n"/>
      <c r="H208" s="118" t="n"/>
      <c r="I208" s="118" t="n"/>
      <c r="J208" s="119" t="n"/>
      <c r="K208" s="119" t="n"/>
      <c r="L208" s="118" t="n"/>
      <c r="M208" s="119" t="n"/>
      <c r="N208" s="118" t="n"/>
      <c r="O208" s="119" t="n"/>
      <c r="P208" s="119" t="n"/>
      <c r="Q208" s="119" t="n"/>
      <c r="R208" s="119" t="n"/>
      <c r="S208" s="118" t="n"/>
      <c r="T208" s="119" t="n"/>
      <c r="U208" s="118" t="n"/>
      <c r="V208" s="118" t="n"/>
      <c r="W208" s="119" t="n"/>
      <c r="X208" s="119" t="n"/>
    </row>
    <row r="209" ht="17" customHeight="1">
      <c r="A209" s="117" t="inlineStr">
        <is>
          <t>select_one yesno</t>
        </is>
      </c>
      <c r="B209" s="117" t="inlineStr">
        <is>
          <t>stud_avail2</t>
        </is>
      </c>
      <c r="C209" s="121" t="inlineStr">
        <is>
          <t>Is &lt;font color="#14b14b"&gt;&lt;b&gt;&lt;u&gt;${stud_name_b}&lt;/u&gt;&lt;/b&gt;&lt;/font&gt; available?</t>
        </is>
      </c>
      <c r="D209" s="118" t="n"/>
      <c r="E209" s="119" t="n"/>
      <c r="F209" s="119" t="n"/>
      <c r="G209" s="118" t="n"/>
      <c r="H209" s="118" t="n"/>
      <c r="I209" s="118" t="n"/>
      <c r="J209" s="119" t="n"/>
      <c r="K209" s="117" t="inlineStr">
        <is>
          <t>yes</t>
        </is>
      </c>
      <c r="L209" s="118" t="n"/>
      <c r="M209" s="119" t="n"/>
      <c r="N209" s="118" t="n"/>
      <c r="O209" s="119" t="n"/>
      <c r="P209" s="119" t="n"/>
      <c r="Q209" s="119" t="n"/>
      <c r="R209" s="119" t="n"/>
      <c r="S209" s="118" t="n"/>
      <c r="T209" s="119" t="n"/>
      <c r="U209" s="118" t="n"/>
      <c r="V209" s="118" t="n"/>
      <c r="W209" s="119" t="n"/>
      <c r="X209" s="119" t="n"/>
    </row>
    <row r="210">
      <c r="A210" s="117" t="inlineStr">
        <is>
          <t>end group</t>
        </is>
      </c>
      <c r="B210" s="117" t="inlineStr">
        <is>
          <t>stud_resched</t>
        </is>
      </c>
      <c r="C210" s="118" t="n"/>
      <c r="D210" s="118" t="n"/>
      <c r="E210" s="119" t="n"/>
      <c r="F210" s="119" t="n"/>
      <c r="G210" s="118" t="n"/>
      <c r="H210" s="118" t="n"/>
      <c r="I210" s="118" t="n"/>
      <c r="J210" s="119" t="n"/>
      <c r="K210" s="119" t="n"/>
      <c r="L210" s="118" t="n"/>
      <c r="M210" s="119" t="n"/>
      <c r="N210" s="118" t="n"/>
      <c r="O210" s="119" t="n"/>
      <c r="P210" s="119" t="n"/>
      <c r="Q210" s="119" t="n"/>
      <c r="R210" s="119" t="n"/>
      <c r="S210" s="118" t="n"/>
      <c r="T210" s="119" t="n"/>
      <c r="U210" s="118" t="n"/>
      <c r="V210" s="118" t="n"/>
      <c r="W210" s="119" t="n"/>
      <c r="X210" s="119" t="n"/>
    </row>
    <row r="211">
      <c r="A211" s="119" t="n"/>
      <c r="B211" s="119" t="n"/>
      <c r="C211" s="118" t="n"/>
      <c r="D211" s="118" t="n"/>
      <c r="E211" s="119" t="n"/>
      <c r="F211" s="119" t="n"/>
      <c r="G211" s="118" t="n"/>
      <c r="H211" s="118" t="n"/>
      <c r="I211" s="118" t="n"/>
      <c r="J211" s="119" t="n"/>
      <c r="K211" s="119" t="n"/>
      <c r="L211" s="118" t="n"/>
      <c r="M211" s="119" t="n"/>
      <c r="N211" s="118" t="n"/>
      <c r="O211" s="119" t="n"/>
      <c r="P211" s="119" t="n"/>
      <c r="Q211" s="119" t="n"/>
      <c r="R211" s="119" t="n"/>
      <c r="S211" s="118" t="n"/>
      <c r="T211" s="119" t="n"/>
      <c r="U211" s="118" t="n"/>
      <c r="V211" s="118" t="n"/>
      <c r="W211" s="119" t="n"/>
      <c r="X211" s="119" t="n"/>
    </row>
    <row r="212" ht="34" customHeight="1">
      <c r="A212" s="117" t="inlineStr">
        <is>
          <t>begin group</t>
        </is>
      </c>
      <c r="B212" s="117" t="inlineStr">
        <is>
          <t>reschedule</t>
        </is>
      </c>
      <c r="C212" s="120" t="inlineStr">
        <is>
          <t>Reschedule call</t>
        </is>
      </c>
      <c r="D212" s="118" t="n"/>
      <c r="E212" s="119" t="n"/>
      <c r="F212" s="119" t="n"/>
      <c r="G212" s="118" t="n"/>
      <c r="H212" s="118" t="n"/>
      <c r="I212" s="120" t="inlineStr">
        <is>
          <t>${temp_caregiver_nearby} = 0 or ${caregiver_avail} = 0 or ${caregiver_confirm} = 1 or${stud_avail} = 0 or ${stud_avail2} = 0</t>
        </is>
      </c>
      <c r="J212" s="117" t="n"/>
      <c r="K212" s="119" t="n"/>
      <c r="L212" s="118" t="n"/>
      <c r="M212" s="119" t="n"/>
      <c r="N212" s="118" t="n"/>
      <c r="O212" s="119" t="n"/>
      <c r="P212" s="119" t="n"/>
      <c r="Q212" s="119" t="n"/>
      <c r="R212" s="119" t="n"/>
      <c r="S212" s="118" t="n"/>
      <c r="T212" s="119" t="n"/>
      <c r="U212" s="118" t="n"/>
      <c r="V212" s="118" t="n"/>
      <c r="W212" s="119" t="n"/>
      <c r="X212" s="119" t="n"/>
    </row>
    <row r="213" ht="17" customHeight="1">
      <c r="A213" s="117" t="inlineStr">
        <is>
          <t>begin group</t>
        </is>
      </c>
      <c r="B213" s="117" t="inlineStr">
        <is>
          <t>resched_datetime</t>
        </is>
      </c>
      <c r="C213" s="120" t="n"/>
      <c r="D213" s="118" t="n"/>
      <c r="E213" s="119" t="n"/>
      <c r="F213" s="117" t="inlineStr">
        <is>
          <t>field-list</t>
        </is>
      </c>
      <c r="G213" s="118" t="n"/>
      <c r="H213" s="118" t="n"/>
      <c r="I213" s="120" t="n"/>
      <c r="J213" s="117" t="n"/>
      <c r="K213" s="119" t="n"/>
      <c r="L213" s="118" t="n"/>
      <c r="M213" s="119" t="n"/>
      <c r="N213" s="118" t="n"/>
      <c r="O213" s="119" t="n"/>
      <c r="P213" s="119" t="n"/>
      <c r="Q213" s="119" t="n"/>
      <c r="R213" s="119" t="n"/>
      <c r="S213" s="118" t="n"/>
      <c r="T213" s="119" t="n"/>
      <c r="U213" s="118" t="n"/>
      <c r="V213" s="118" t="n"/>
      <c r="W213" s="119" t="n"/>
      <c r="X213" s="119" t="n"/>
    </row>
    <row r="214" ht="17" customHeight="1">
      <c r="A214" s="117" t="inlineStr">
        <is>
          <t>note</t>
        </is>
      </c>
      <c r="B214" s="117" t="inlineStr">
        <is>
          <t>note_resched</t>
        </is>
      </c>
      <c r="C214" s="120" t="inlineStr">
        <is>
          <t>That's alright. Can you let me know a time when I should call back?</t>
        </is>
      </c>
      <c r="D214" s="118" t="n"/>
      <c r="E214" s="119" t="n"/>
      <c r="F214" s="119" t="n"/>
      <c r="G214" s="118" t="n"/>
      <c r="H214" s="118" t="n"/>
      <c r="I214" s="120" t="n"/>
      <c r="J214" s="117" t="n"/>
      <c r="K214" s="119" t="n"/>
      <c r="L214" s="118" t="n"/>
      <c r="M214" s="119" t="n"/>
      <c r="N214" s="118" t="n"/>
      <c r="O214" s="119" t="n"/>
      <c r="P214" s="119" t="n"/>
      <c r="Q214" s="119" t="n"/>
      <c r="R214" s="119" t="n"/>
      <c r="S214" s="118" t="n"/>
      <c r="T214" s="119" t="n"/>
      <c r="U214" s="118" t="n"/>
      <c r="V214" s="118" t="n"/>
      <c r="W214" s="119" t="n"/>
      <c r="X214" s="119" t="n"/>
    </row>
    <row r="215" ht="68" customHeight="1">
      <c r="A215" s="117" t="inlineStr">
        <is>
          <t>datetime</t>
        </is>
      </c>
      <c r="B215" s="117" t="inlineStr">
        <is>
          <t>temp_resched</t>
        </is>
      </c>
      <c r="C215" s="120" t="inlineStr">
        <is>
          <t>Select the date and time you will call the household back:</t>
        </is>
      </c>
      <c r="D215" s="120" t="inlineStr">
        <is>
          <t>NOTE: When scheduling the callback, check your calendar to make sure you are available for that time.</t>
        </is>
      </c>
      <c r="E215" s="119" t="n"/>
      <c r="F215" s="119" t="n"/>
      <c r="G215" s="120" t="inlineStr">
        <is>
          <t>decimal-date-time(.) &gt; decimal-date-time(now())</t>
        </is>
      </c>
      <c r="H215" s="120" t="inlineStr">
        <is>
          <t>Please select a date and time that is after right now.</t>
        </is>
      </c>
      <c r="I215" s="120" t="n"/>
      <c r="J215" s="117" t="n"/>
      <c r="K215" s="117" t="inlineStr">
        <is>
          <t>yes</t>
        </is>
      </c>
      <c r="L215" s="118" t="n"/>
      <c r="M215" s="119" t="n"/>
      <c r="N215" s="118" t="n"/>
      <c r="O215" s="119" t="n"/>
      <c r="P215" s="119" t="n"/>
      <c r="Q215" s="119" t="n"/>
      <c r="R215" s="119" t="n"/>
      <c r="S215" s="118" t="n"/>
      <c r="T215" s="119" t="n"/>
      <c r="U215" s="118" t="n"/>
      <c r="V215" s="118" t="n"/>
      <c r="W215" s="119" t="n"/>
      <c r="X215" s="119" t="n"/>
    </row>
    <row r="216">
      <c r="A216" s="117" t="inlineStr">
        <is>
          <t>end group</t>
        </is>
      </c>
      <c r="B216" s="117" t="inlineStr">
        <is>
          <t>resched_datetime</t>
        </is>
      </c>
      <c r="C216" s="120" t="n"/>
      <c r="D216" s="118" t="n"/>
      <c r="E216" s="119" t="n"/>
      <c r="F216" s="119" t="n"/>
      <c r="G216" s="118" t="n"/>
      <c r="H216" s="118" t="n"/>
      <c r="I216" s="120" t="n"/>
      <c r="J216" s="117" t="n"/>
      <c r="K216" s="119" t="n"/>
      <c r="L216" s="118" t="n"/>
      <c r="M216" s="119" t="n"/>
      <c r="N216" s="118" t="n"/>
      <c r="O216" s="119" t="n"/>
      <c r="P216" s="119" t="n"/>
      <c r="Q216" s="119" t="n"/>
      <c r="R216" s="119" t="n"/>
      <c r="S216" s="118" t="n"/>
      <c r="T216" s="119" t="n"/>
      <c r="U216" s="118" t="n"/>
      <c r="V216" s="118" t="n"/>
      <c r="W216" s="119" t="n"/>
      <c r="X216" s="119" t="n"/>
    </row>
    <row r="217" ht="17" customHeight="1">
      <c r="A217" s="117" t="inlineStr">
        <is>
          <t>calculate</t>
        </is>
      </c>
      <c r="B217" s="117" t="inlineStr">
        <is>
          <t>callback_time</t>
        </is>
      </c>
      <c r="C217" s="120" t="inlineStr">
        <is>
          <t>Formats the "temp_reschedule" value for publishing.</t>
        </is>
      </c>
      <c r="D217" s="118" t="n"/>
      <c r="E217" s="119" t="n"/>
      <c r="F217" s="119" t="n"/>
      <c r="G217" s="118" t="n"/>
      <c r="H217" s="118" t="n"/>
      <c r="I217" s="120" t="n"/>
      <c r="J217" s="117" t="n"/>
      <c r="K217" s="119" t="n"/>
      <c r="L217" s="118" t="n"/>
      <c r="M217" s="119" t="n"/>
      <c r="N217" s="120" t="inlineStr">
        <is>
          <t>format-date-time(${temp_resched}, '%Y-%m-%d %H:%M')</t>
        </is>
      </c>
      <c r="O217" s="119" t="n"/>
      <c r="P217" s="119" t="n"/>
      <c r="Q217" s="119" t="n"/>
      <c r="R217" s="119" t="n"/>
      <c r="S217" s="118" t="n"/>
      <c r="T217" s="119" t="n"/>
      <c r="U217" s="118" t="n"/>
      <c r="V217" s="118" t="n"/>
      <c r="W217" s="119" t="n"/>
      <c r="X217" s="119" t="n"/>
    </row>
    <row r="218" ht="153" customHeight="1">
      <c r="A218" s="117" t="inlineStr">
        <is>
          <t>note</t>
        </is>
      </c>
      <c r="B218" s="117" t="inlineStr">
        <is>
          <t>note_end_resched</t>
        </is>
      </c>
      <c r="C218" s="120" t="inlineStr">
        <is>
          <t>Thank you so much for taking your time to speak with us. 
&lt;br&gt;&lt;br&gt;
I look forward to calling you back on &lt;font color="#14b14b"&gt;&lt;b&gt;&lt;u&gt;${callback_time}&lt;/u&gt;&lt;/b&gt;&lt;/font&gt;.
&lt;br&gt;&lt;br&gt;
Have a wonderful day!</t>
        </is>
      </c>
      <c r="D218" s="118" t="n"/>
      <c r="E218" s="119" t="n"/>
      <c r="F218" s="119" t="n"/>
      <c r="G218" s="118" t="n"/>
      <c r="H218" s="118" t="n"/>
      <c r="I218" s="120" t="n"/>
      <c r="J218" s="117" t="n"/>
      <c r="K218" s="119" t="n"/>
      <c r="L218" s="118" t="n"/>
      <c r="M218" s="119" t="n"/>
      <c r="N218" s="118" t="n"/>
      <c r="O218" s="119" t="n"/>
      <c r="P218" s="119" t="n"/>
      <c r="Q218" s="119" t="n"/>
      <c r="R218" s="119" t="n"/>
      <c r="S218" s="118" t="n"/>
      <c r="T218" s="119" t="n"/>
      <c r="U218" s="118" t="n"/>
      <c r="V218" s="118" t="n"/>
      <c r="W218" s="119" t="n"/>
      <c r="X218" s="119" t="n"/>
    </row>
    <row r="219" ht="102" customHeight="1">
      <c r="A219" s="117" t="inlineStr">
        <is>
          <t>note</t>
        </is>
      </c>
      <c r="B219" s="117" t="inlineStr">
        <is>
          <t>note_callback_time</t>
        </is>
      </c>
      <c r="C219" s="120" t="inlineStr">
        <is>
          <t>&lt;p&gt;&lt;span style="color: #3366ff;"&gt;&lt;strong&gt;INSTRUCTIONS:&lt;/strong&gt;&lt;/span&gt;&lt;/p&gt;
&lt;br&gt; &lt;br&gt;
&lt;p&gt;&lt;span style="color: #3366ff;"&gt;You set an appointment to call the household back on &lt;b&gt;&lt;u&gt;${callback_time}&lt;/u&gt;&lt;/b&gt;. Please screenshot this page or note the appointment in your calendar.&lt;/span&gt;&lt;/p&gt;</t>
        </is>
      </c>
      <c r="D219" s="118" t="n"/>
      <c r="E219" s="119" t="n"/>
      <c r="F219" s="119" t="n"/>
      <c r="G219" s="118" t="n"/>
      <c r="H219" s="118" t="n"/>
      <c r="I219" s="120" t="n"/>
      <c r="J219" s="117" t="n"/>
      <c r="K219" s="119" t="n"/>
      <c r="L219" s="118" t="n"/>
      <c r="M219" s="119" t="n"/>
      <c r="N219" s="118" t="n"/>
      <c r="O219" s="119" t="n"/>
      <c r="P219" s="119" t="n"/>
      <c r="Q219" s="119" t="n"/>
      <c r="R219" s="119" t="n"/>
      <c r="S219" s="118" t="n"/>
      <c r="T219" s="119" t="n"/>
      <c r="U219" s="118" t="n"/>
      <c r="V219" s="118" t="n"/>
      <c r="W219" s="119" t="n"/>
      <c r="X219" s="119" t="n"/>
    </row>
    <row r="220">
      <c r="A220" s="117" t="inlineStr">
        <is>
          <t>end group</t>
        </is>
      </c>
      <c r="B220" s="117" t="inlineStr">
        <is>
          <t>reschedule</t>
        </is>
      </c>
      <c r="C220" s="120" t="n"/>
      <c r="D220" s="118" t="n"/>
      <c r="E220" s="119" t="n"/>
      <c r="F220" s="119" t="n"/>
      <c r="G220" s="118" t="n"/>
      <c r="H220" s="118" t="n"/>
      <c r="I220" s="120" t="n"/>
      <c r="J220" s="117" t="n"/>
      <c r="K220" s="119" t="n"/>
      <c r="L220" s="118" t="n"/>
      <c r="M220" s="119" t="n"/>
      <c r="N220" s="118" t="n"/>
      <c r="O220" s="119" t="n"/>
      <c r="P220" s="119" t="n"/>
      <c r="Q220" s="119" t="n"/>
      <c r="R220" s="119" t="n"/>
      <c r="S220" s="118" t="n"/>
      <c r="T220" s="119" t="n"/>
      <c r="U220" s="118" t="n"/>
      <c r="V220" s="118" t="n"/>
      <c r="W220" s="119" t="n"/>
      <c r="X220" s="119" t="n"/>
    </row>
    <row r="221">
      <c r="A221" s="119" t="n"/>
      <c r="B221" s="119" t="n"/>
      <c r="C221" s="118" t="n"/>
      <c r="D221" s="118" t="n"/>
      <c r="E221" s="119" t="n"/>
      <c r="F221" s="119" t="n"/>
      <c r="G221" s="118" t="n"/>
      <c r="H221" s="118" t="n"/>
      <c r="I221" s="118" t="n"/>
      <c r="J221" s="119" t="n"/>
      <c r="K221" s="119" t="n"/>
      <c r="L221" s="118" t="n"/>
      <c r="M221" s="119" t="n"/>
      <c r="N221" s="118" t="n"/>
      <c r="O221" s="119" t="n"/>
      <c r="P221" s="119" t="n"/>
      <c r="Q221" s="119" t="n"/>
      <c r="R221" s="119" t="n"/>
      <c r="S221" s="118" t="n"/>
      <c r="T221" s="119" t="n"/>
      <c r="U221" s="118" t="n"/>
      <c r="V221" s="118" t="n"/>
      <c r="W221" s="119" t="n"/>
      <c r="X221" s="119" t="n"/>
    </row>
    <row r="222" ht="17" customHeight="1">
      <c r="A222" s="117" t="inlineStr">
        <is>
          <t>begin group</t>
        </is>
      </c>
      <c r="B222" s="117" t="inlineStr">
        <is>
          <t>levelling_num</t>
        </is>
      </c>
      <c r="C222" s="121" t="inlineStr">
        <is>
          <t>Start of levelling assessment</t>
        </is>
      </c>
      <c r="D222" s="118" t="n"/>
      <c r="E222" s="119" t="n"/>
      <c r="F222" s="119" t="n"/>
      <c r="G222" s="118" t="n"/>
      <c r="H222" s="118" t="n"/>
      <c r="I222" s="120" t="inlineStr">
        <is>
          <t>${stud_avail} = 1 or ${stud_avail2} = 1</t>
        </is>
      </c>
      <c r="J222" s="119" t="n"/>
      <c r="K222" s="119" t="n"/>
      <c r="L222" s="118" t="n"/>
      <c r="M222" s="119" t="n"/>
      <c r="N222" s="118" t="n"/>
      <c r="O222" s="119" t="n"/>
      <c r="P222" s="119" t="n"/>
      <c r="Q222" s="119" t="n"/>
      <c r="R222" s="119" t="n"/>
      <c r="S222" s="118" t="n"/>
      <c r="T222" s="119" t="n"/>
      <c r="U222" s="118" t="n"/>
      <c r="V222" s="118" t="n"/>
      <c r="W222" s="119" t="n"/>
      <c r="X222" s="119" t="n"/>
    </row>
    <row r="223" ht="17" customHeight="1">
      <c r="A223" s="117" t="inlineStr">
        <is>
          <t>begin group</t>
        </is>
      </c>
      <c r="B223" s="117" t="inlineStr">
        <is>
          <t>intro_levelling_care</t>
        </is>
      </c>
      <c r="C223" s="118" t="n"/>
      <c r="D223" s="118" t="n"/>
      <c r="E223" s="119" t="n"/>
      <c r="F223" s="117" t="inlineStr">
        <is>
          <t>field-list</t>
        </is>
      </c>
      <c r="G223" s="118" t="n"/>
      <c r="H223" s="118" t="n"/>
      <c r="I223" s="118" t="n"/>
      <c r="J223" s="119" t="n"/>
      <c r="K223" s="119" t="n"/>
      <c r="L223" s="118" t="n"/>
      <c r="M223" s="119" t="n"/>
      <c r="N223" s="118" t="n"/>
      <c r="O223" s="119" t="n"/>
      <c r="P223" s="119" t="n"/>
      <c r="Q223" s="119" t="n"/>
      <c r="R223" s="119" t="n"/>
      <c r="S223" s="118" t="n"/>
      <c r="T223" s="119" t="n"/>
      <c r="U223" s="118" t="n"/>
      <c r="V223" s="118" t="n"/>
      <c r="W223" s="119" t="n"/>
      <c r="X223" s="119" t="n"/>
    </row>
    <row r="224" ht="238" customHeight="1">
      <c r="A224" s="117" t="inlineStr">
        <is>
          <t>note</t>
        </is>
      </c>
      <c r="B224" s="117" t="inlineStr">
        <is>
          <t>note_intro_levelling_care</t>
        </is>
      </c>
      <c r="C224" s="121" t="inlineStr">
        <is>
          <t>Can you please call &lt;font color="#14b14b"&gt;&lt;b&gt;&lt;u&gt;${stud_name_b}&lt;/u&gt;&lt;/b&gt;&lt;/font&gt; over and:
&lt;br&gt;&lt;br&gt;
&lt;ul&gt;
&lt;li&gt;have a pencil and paper ready,&lt;/li&gt;
&lt;li&gt;put me on speaker, and&lt;/li&gt;
&lt;li&gt;refrain from helping &lt;font color="#14b14b"&gt;&lt;b&gt;&lt;u&gt;${stud_name_b}&lt;/u&gt;&lt;/b&gt;&lt;/font&gt; when she/he is solving.&lt;/li&gt;
&lt;/ul&gt;
&lt;br&gt;&lt;br&gt;
&lt;b&gt;This is not an exam, so it's okay if your child does not get the answers correct.&lt;/b&gt;</t>
        </is>
      </c>
      <c r="D224" s="118" t="n"/>
      <c r="E224" s="119" t="n"/>
      <c r="F224" s="119" t="n"/>
      <c r="G224" s="118" t="n"/>
      <c r="H224" s="118" t="n"/>
      <c r="I224" s="118" t="n"/>
      <c r="J224" s="119" t="n"/>
      <c r="K224" s="119" t="n"/>
      <c r="L224" s="118" t="n"/>
      <c r="M224" s="119" t="n"/>
      <c r="N224" s="118" t="n"/>
      <c r="O224" s="119" t="n"/>
      <c r="P224" s="119" t="n"/>
      <c r="Q224" s="119" t="n"/>
      <c r="R224" s="119" t="n"/>
      <c r="S224" s="118" t="n"/>
      <c r="T224" s="119" t="n"/>
      <c r="U224" s="118" t="n"/>
      <c r="V224" s="118" t="n"/>
      <c r="W224" s="119" t="n"/>
      <c r="X224" s="119" t="n"/>
    </row>
    <row r="225" ht="153" customHeight="1">
      <c r="A225" s="117" t="inlineStr">
        <is>
          <t>select_one yesno</t>
        </is>
      </c>
      <c r="B225" s="117" t="inlineStr">
        <is>
          <t>confirm_stud_avail</t>
        </is>
      </c>
      <c r="C225" s="121" t="inlineStr">
        <is>
          <t>&lt;p&gt;&lt;span style="color: #3366ff;"&gt;&lt;strong&gt;INSTRUCTIONS:&lt;/strong&gt;&lt;/span&gt;&lt;/p&gt;
&lt;br&gt; &lt;br&gt;
&lt;p&gt;&lt;span style="color: #3366ff;"&gt;Click "Yes" to confirm that the child is on the phone, so you can move on to the assessment.&lt;/span&gt;&lt;/p&gt;
&lt;br&gt; &lt;br&gt;
&lt;p&gt;&lt;span style="color: #3366ff;"&gt;Otherwise, go back to the previous fields and choose "No" (the student is not available) and re-schedule the call.&lt;/span&gt;&lt;/p&gt;</t>
        </is>
      </c>
      <c r="D225" s="118" t="n"/>
      <c r="E225" s="119" t="n"/>
      <c r="F225" s="119" t="n"/>
      <c r="G225" s="118" t="n"/>
      <c r="H225" s="118" t="n"/>
      <c r="I225" s="118" t="n"/>
      <c r="J225" s="119" t="n"/>
      <c r="K225" s="119" t="n"/>
      <c r="L225" s="118" t="n"/>
      <c r="M225" s="119" t="n"/>
      <c r="N225" s="118" t="n"/>
      <c r="O225" s="119" t="n"/>
      <c r="P225" s="119" t="n"/>
      <c r="Q225" s="119" t="n"/>
      <c r="R225" s="119" t="n"/>
      <c r="S225" s="118" t="n"/>
      <c r="T225" s="117" t="inlineStr">
        <is>
          <t>filter = 1</t>
        </is>
      </c>
      <c r="U225" s="118" t="n"/>
      <c r="V225" s="118" t="n"/>
      <c r="W225" s="119" t="n"/>
      <c r="X225" s="119" t="n"/>
    </row>
    <row r="226">
      <c r="A226" s="117" t="inlineStr">
        <is>
          <t>end group</t>
        </is>
      </c>
      <c r="B226" s="117" t="inlineStr">
        <is>
          <t>intro_levelling_care</t>
        </is>
      </c>
      <c r="C226" s="118" t="n"/>
      <c r="D226" s="118" t="n"/>
      <c r="E226" s="119" t="n"/>
      <c r="F226" s="119" t="n"/>
      <c r="G226" s="118" t="n"/>
      <c r="H226" s="118" t="n"/>
      <c r="I226" s="118" t="n"/>
      <c r="J226" s="119" t="n"/>
      <c r="K226" s="119" t="n"/>
      <c r="L226" s="118" t="n"/>
      <c r="M226" s="119" t="n"/>
      <c r="N226" s="118" t="n"/>
      <c r="O226" s="119" t="n"/>
      <c r="P226" s="119" t="n"/>
      <c r="Q226" s="119" t="n"/>
      <c r="R226" s="119" t="n"/>
      <c r="S226" s="118" t="n"/>
      <c r="T226" s="119" t="n"/>
      <c r="U226" s="118" t="n"/>
      <c r="V226" s="118" t="n"/>
      <c r="W226" s="119" t="n"/>
      <c r="X226" s="119" t="n"/>
    </row>
    <row r="227" ht="17" customHeight="1">
      <c r="A227" s="117" t="inlineStr">
        <is>
          <t>begin group</t>
        </is>
      </c>
      <c r="B227" s="117" t="inlineStr">
        <is>
          <t>intro_levelling_stud</t>
        </is>
      </c>
      <c r="C227" s="118" t="n"/>
      <c r="D227" s="118" t="n"/>
      <c r="E227" s="119" t="n"/>
      <c r="F227" s="117" t="inlineStr">
        <is>
          <t>field-list</t>
        </is>
      </c>
      <c r="G227" s="118" t="n"/>
      <c r="H227" s="118" t="n"/>
      <c r="I227" s="118" t="n"/>
      <c r="J227" s="119" t="n"/>
      <c r="K227" s="119" t="n"/>
      <c r="L227" s="118" t="n"/>
      <c r="M227" s="119" t="n"/>
      <c r="N227" s="118" t="n"/>
      <c r="O227" s="119" t="n"/>
      <c r="P227" s="119" t="n"/>
      <c r="Q227" s="119" t="n"/>
      <c r="R227" s="119" t="n"/>
      <c r="S227" s="118" t="n"/>
      <c r="T227" s="119" t="n"/>
      <c r="U227" s="118" t="n"/>
      <c r="V227" s="118" t="n"/>
      <c r="W227" s="119" t="n"/>
      <c r="X227" s="119" t="n"/>
    </row>
    <row r="228" ht="170" customHeight="1">
      <c r="A228" s="117" t="inlineStr">
        <is>
          <t>note</t>
        </is>
      </c>
      <c r="B228" s="117" t="inlineStr">
        <is>
          <t>note_intro_levelling_stud</t>
        </is>
      </c>
      <c r="C228" s="121" t="inlineStr">
        <is>
          <t>Hi, &lt;font color="#14b14b"&gt;&lt;b&gt;&lt;u&gt;${stud_name_b}&lt;/u&gt;&lt;/b&gt;&lt;/font&gt;!
&lt;br&gt;&lt;br&gt;
My name is Teacher &lt;font color="#14b14b"&gt;&lt;b&gt;&lt;u&gt;${facilitator_b}&lt;/u&gt;&lt;/b&gt;&lt;/font&gt;. Today, I would like to play a quick game with you. 
&lt;br&gt;&lt;br&gt;
Do you have a pencil and paper with you?"</t>
        </is>
      </c>
      <c r="D228" s="118" t="n"/>
      <c r="E228" s="119" t="n"/>
      <c r="F228" s="119" t="n"/>
      <c r="G228" s="118" t="n"/>
      <c r="H228" s="118" t="n"/>
      <c r="I228" s="118" t="n"/>
      <c r="J228" s="119" t="n"/>
      <c r="K228" s="119" t="n"/>
      <c r="L228" s="118" t="n"/>
      <c r="M228" s="119" t="n"/>
      <c r="N228" s="118" t="n"/>
      <c r="O228" s="119" t="n"/>
      <c r="P228" s="119" t="n"/>
      <c r="Q228" s="119" t="n"/>
      <c r="R228" s="119" t="n"/>
      <c r="S228" s="118" t="n"/>
      <c r="T228" s="119" t="n"/>
      <c r="U228" s="118" t="n"/>
      <c r="V228" s="118" t="n"/>
      <c r="W228" s="119" t="n"/>
      <c r="X228" s="119" t="n"/>
    </row>
    <row r="229" ht="372" customHeight="1">
      <c r="A229" s="117" t="inlineStr">
        <is>
          <t>note</t>
        </is>
      </c>
      <c r="B229" s="117" t="inlineStr">
        <is>
          <t>note_intro_levelling_stud_instructions</t>
        </is>
      </c>
      <c r="C229" s="121" t="inlineStr">
        <is>
          <t>&lt;p&gt;&lt;span style="color: #3366ff;"&gt;&lt;b&gt;INSTRUCTIONS:&lt;/b&gt;&lt;/span&gt;&lt;/p&gt;
&lt;br&gt;&lt;br&gt;
&lt;ul&gt;
&lt;li&gt;&lt;span style="color: #3366ff;"&gt;Wait until the child confirms they have a pen and paper before moving to the questions.&lt;/span&gt;&lt;/li&gt;
&lt;li&gt;&lt;span style="color: #3366ff;"&gt;If you think the caregiver might be helping the child to answer questions, kindly ask them to let the child answer questions independently.&lt;/span&gt;&lt;/li&gt;
&lt;li&gt;&lt;span style="color: #3366ff;"&gt;If you suspect that a child has gotten extra help from a caregiver or calculator, ask the child to explain the answer to you.&lt;/span&gt;&lt;/li&gt;
&lt;li&gt;&lt;span style="color: #3366ff;"&gt;Give the child &lt;strong&gt;&lt;u&gt;30 seconds&lt;/u&gt;&lt;/strong&gt; to answer the place value question, and &lt;strong&gt;2 minutes&lt;/strong&gt; to answer the questions for each operation.&lt;/span&gt;&lt;/li&gt;
&lt;li&gt;&lt;span style="color: #3366ff;"&gt;Do not inform the child if they got the right or wrong answer. If they ask, respond only after the assessment.&lt;/span&gt;&lt;/li&gt;
&lt;/ul&gt;
&lt;br&gt;&lt;br&gt;
&lt;p&gt;&lt;span style="color: #3366ff;"&gt;&lt;i&gt;Re-assure the child and her/his caregiver that this is not a test, but  a game to help deliver the right level of content during tutorial. Remind caregivers not to help the child.&lt;/i&gt;&lt;/span&gt; &lt;/p&gt;</t>
        </is>
      </c>
      <c r="D229" s="118" t="n"/>
      <c r="E229" s="119" t="n"/>
      <c r="F229" s="119" t="n"/>
      <c r="G229" s="118" t="n"/>
      <c r="H229" s="118" t="n"/>
      <c r="I229" s="118" t="n"/>
      <c r="J229" s="119" t="n"/>
      <c r="K229" s="119" t="n"/>
      <c r="L229" s="118" t="n"/>
      <c r="M229" s="119" t="n"/>
      <c r="N229" s="118" t="n"/>
      <c r="O229" s="119" t="n"/>
      <c r="P229" s="119" t="n"/>
      <c r="Q229" s="119" t="n"/>
      <c r="R229" s="119" t="n"/>
      <c r="S229" s="118" t="n"/>
      <c r="T229" s="119" t="n"/>
      <c r="U229" s="118" t="n"/>
      <c r="V229" s="118" t="n"/>
      <c r="W229" s="119" t="n"/>
      <c r="X229" s="119" t="n"/>
    </row>
    <row r="230">
      <c r="A230" s="117" t="inlineStr">
        <is>
          <t>end group</t>
        </is>
      </c>
      <c r="B230" s="117" t="inlineStr">
        <is>
          <t>intro_levelling_stud</t>
        </is>
      </c>
      <c r="C230" s="118" t="n"/>
      <c r="D230" s="118" t="n"/>
      <c r="E230" s="119" t="n"/>
      <c r="F230" s="119" t="n"/>
      <c r="G230" s="118" t="n"/>
      <c r="H230" s="118" t="n"/>
      <c r="I230" s="118" t="n"/>
      <c r="J230" s="119" t="n"/>
      <c r="K230" s="119" t="n"/>
      <c r="L230" s="118" t="n"/>
      <c r="M230" s="119" t="n"/>
      <c r="N230" s="118" t="n"/>
      <c r="O230" s="119" t="n"/>
      <c r="P230" s="119" t="n"/>
      <c r="Q230" s="119" t="n"/>
      <c r="R230" s="119" t="n"/>
      <c r="S230" s="118" t="n"/>
      <c r="T230" s="119" t="n"/>
      <c r="U230" s="118" t="n"/>
      <c r="V230" s="118" t="n"/>
      <c r="W230" s="119" t="n"/>
      <c r="X230" s="119" t="n"/>
    </row>
    <row r="231">
      <c r="A231" s="117" t="inlineStr">
        <is>
          <t>calculate_here</t>
        </is>
      </c>
      <c r="B231" s="117" t="inlineStr">
        <is>
          <t>start_levelling_num_b</t>
        </is>
      </c>
      <c r="C231" s="118" t="n"/>
      <c r="D231" s="118" t="n"/>
      <c r="E231" s="119" t="n"/>
      <c r="F231" s="119" t="n"/>
      <c r="G231" s="118" t="n"/>
      <c r="H231" s="118" t="n"/>
      <c r="I231" s="118" t="n"/>
      <c r="J231" s="119" t="n"/>
      <c r="K231" s="119" t="n"/>
      <c r="L231" s="118" t="n"/>
      <c r="M231" s="119" t="n"/>
      <c r="N231" s="120" t="inlineStr">
        <is>
          <t>once(duration())</t>
        </is>
      </c>
      <c r="O231" s="119" t="n"/>
      <c r="P231" s="119" t="n"/>
      <c r="Q231" s="119" t="n"/>
      <c r="R231" s="119" t="n"/>
      <c r="S231" s="118" t="n"/>
      <c r="T231" s="119" t="n"/>
      <c r="U231" s="118" t="n"/>
      <c r="V231" s="118" t="n"/>
      <c r="W231" s="119" t="n"/>
      <c r="X231" s="119" t="n"/>
    </row>
    <row r="232">
      <c r="A232" s="117" t="inlineStr">
        <is>
          <t>calculate_here</t>
        </is>
      </c>
      <c r="B232" s="117" t="inlineStr">
        <is>
          <t>start_stud_pv_b</t>
        </is>
      </c>
      <c r="C232" s="118" t="n"/>
      <c r="D232" s="118" t="n"/>
      <c r="E232" s="119" t="n"/>
      <c r="F232" s="119" t="n"/>
      <c r="G232" s="118" t="n"/>
      <c r="H232" s="118" t="n"/>
      <c r="I232" s="118" t="n"/>
      <c r="J232" s="119" t="n"/>
      <c r="K232" s="119" t="n"/>
      <c r="L232" s="118" t="n"/>
      <c r="M232" s="119" t="n"/>
      <c r="N232" s="120" t="inlineStr">
        <is>
          <t>once(duration())</t>
        </is>
      </c>
      <c r="O232" s="119" t="n"/>
      <c r="P232" s="119" t="n"/>
      <c r="Q232" s="119" t="n"/>
      <c r="R232" s="119" t="n"/>
      <c r="S232" s="118" t="n"/>
      <c r="T232" s="119" t="n"/>
      <c r="U232" s="118" t="n"/>
      <c r="V232" s="118" t="n"/>
      <c r="W232" s="119" t="n"/>
      <c r="X232" s="119" t="n"/>
    </row>
    <row r="233" ht="255" customHeight="1">
      <c r="A233" s="117" t="inlineStr">
        <is>
          <t>select_one levelling</t>
        </is>
      </c>
      <c r="B233" s="117" t="inlineStr">
        <is>
          <t>stud_pv_b</t>
        </is>
      </c>
      <c r="C233" s="121" t="inlineStr">
        <is>
          <t xml:space="preserve">
&lt;p style="font-weight:bold;font-size:14pt;text-align:center;"&gt;I have &lt;b&gt;&lt;u&gt;26 mangos&lt;/u&gt;&lt;/b&gt; and organize them by place value. How many &lt;b&gt;&lt;u&gt;TENS&lt;/u&gt;&lt;/b&gt; do I have?&lt;/p&gt;
&lt;br&gt;
What did you get as the answer? &lt;p&gt;&lt;span style="color: #3366ff;"&gt;&lt;b&gt;(Ans: 2)&lt;/b&gt;&lt;/span&gt;&lt;/p&gt;
&lt;br&gt;&lt;br&gt;
&lt;hr&gt;
&lt;br&gt;&lt;br&gt;
&lt;p&gt;&lt;span style="color: #3366ff;"&gt;&lt;strong&gt;INSTRUCTIONS:&lt;/strong&gt; Record if the student got the answer right, then proceed to the next field.&lt;/span&gt;&lt;/p&gt;</t>
        </is>
      </c>
      <c r="D233" s="118" t="n"/>
      <c r="E233" s="119" t="n"/>
      <c r="F233" s="119" t="n"/>
      <c r="G233" s="118" t="n"/>
      <c r="H233" s="118" t="n"/>
      <c r="I233" s="118" t="n"/>
      <c r="J233" s="119" t="n"/>
      <c r="K233" s="117" t="inlineStr">
        <is>
          <t>yes</t>
        </is>
      </c>
      <c r="L233" s="118" t="n"/>
      <c r="M233" s="119" t="n"/>
      <c r="N233" s="118" t="n"/>
      <c r="O233" s="119" t="n"/>
      <c r="P233" s="119" t="n"/>
      <c r="Q233" s="119" t="n"/>
      <c r="R233" s="119" t="n"/>
      <c r="S233" s="118" t="n"/>
      <c r="T233" s="119" t="n"/>
      <c r="U233" s="118" t="n"/>
      <c r="V233" s="118" t="n"/>
      <c r="W233" s="119" t="n"/>
      <c r="X233" s="119" t="n"/>
    </row>
    <row r="234">
      <c r="A234" s="117" t="inlineStr">
        <is>
          <t>calculate_here</t>
        </is>
      </c>
      <c r="B234" s="117" t="inlineStr">
        <is>
          <t>end_stud_pv_b</t>
        </is>
      </c>
      <c r="C234" s="118" t="n"/>
      <c r="D234" s="118" t="n"/>
      <c r="E234" s="119" t="n"/>
      <c r="F234" s="119" t="n"/>
      <c r="G234" s="118" t="n"/>
      <c r="H234" s="118" t="n"/>
      <c r="I234" s="118" t="n"/>
      <c r="J234" s="119" t="n"/>
      <c r="K234" s="119" t="n"/>
      <c r="L234" s="118" t="n"/>
      <c r="M234" s="119" t="n"/>
      <c r="N234" s="120" t="inlineStr">
        <is>
          <t>once(duration())</t>
        </is>
      </c>
      <c r="O234" s="119" t="n"/>
      <c r="P234" s="119" t="n"/>
      <c r="Q234" s="119" t="n"/>
      <c r="R234" s="119" t="n"/>
      <c r="S234" s="118" t="n"/>
      <c r="T234" s="119" t="n"/>
      <c r="U234" s="118" t="n"/>
      <c r="V234" s="118" t="n"/>
      <c r="W234" s="119" t="n"/>
      <c r="X234" s="119" t="n"/>
    </row>
    <row r="235" ht="17" customHeight="1">
      <c r="A235" s="117" t="inlineStr">
        <is>
          <t>calculate</t>
        </is>
      </c>
      <c r="B235" s="117" t="inlineStr">
        <is>
          <t>duration_stud_pv_b</t>
        </is>
      </c>
      <c r="C235" s="121" t="inlineStr">
        <is>
          <t>Time spent in seconds on the question.</t>
        </is>
      </c>
      <c r="D235" s="118" t="n"/>
      <c r="E235" s="119" t="n"/>
      <c r="F235" s="119" t="n"/>
      <c r="G235" s="118" t="n"/>
      <c r="H235" s="118" t="n"/>
      <c r="I235" s="118" t="n"/>
      <c r="J235" s="119" t="n"/>
      <c r="K235" s="119" t="n"/>
      <c r="L235" s="118" t="n"/>
      <c r="M235" s="119" t="n"/>
      <c r="N235" s="120" t="inlineStr">
        <is>
          <t>${end_stud_pv_b} - ${start_stud_pv_b}</t>
        </is>
      </c>
      <c r="O235" s="119" t="n"/>
      <c r="P235" s="119" t="n"/>
      <c r="Q235" s="119" t="n"/>
      <c r="R235" s="119" t="n"/>
      <c r="S235" s="118" t="n"/>
      <c r="T235" s="119" t="n"/>
      <c r="U235" s="118" t="n"/>
      <c r="V235" s="118" t="n"/>
      <c r="W235" s="119" t="n"/>
      <c r="X235" s="119" t="n"/>
    </row>
    <row r="236">
      <c r="A236" s="117" t="inlineStr">
        <is>
          <t>calculate_here</t>
        </is>
      </c>
      <c r="B236" s="117" t="inlineStr">
        <is>
          <t>start_stud_add_b</t>
        </is>
      </c>
      <c r="C236" s="118" t="n"/>
      <c r="D236" s="118" t="n"/>
      <c r="E236" s="119" t="n"/>
      <c r="F236" s="119" t="n"/>
      <c r="G236" s="118" t="n"/>
      <c r="H236" s="118" t="n"/>
      <c r="I236" s="118" t="n"/>
      <c r="J236" s="119" t="n"/>
      <c r="K236" s="119" t="n"/>
      <c r="L236" s="118" t="n"/>
      <c r="M236" s="119" t="n"/>
      <c r="N236" s="120" t="inlineStr">
        <is>
          <t>once(duration())</t>
        </is>
      </c>
      <c r="O236" s="119" t="n"/>
      <c r="P236" s="119" t="n"/>
      <c r="Q236" s="119" t="n"/>
      <c r="R236" s="119" t="n"/>
      <c r="S236" s="118" t="n"/>
      <c r="T236" s="119" t="n"/>
      <c r="U236" s="118" t="n"/>
      <c r="V236" s="118" t="n"/>
      <c r="W236" s="119" t="n"/>
      <c r="X236" s="119" t="n"/>
    </row>
    <row r="237" ht="272" customHeight="1">
      <c r="A237" s="117" t="inlineStr">
        <is>
          <t>select_one levelling</t>
        </is>
      </c>
      <c r="B237" s="117" t="inlineStr">
        <is>
          <t>stud_add_b</t>
        </is>
      </c>
      <c r="C237" s="121" t="inlineStr">
        <is>
          <t>Nice job! Can you solve:
&lt;br&gt;&lt;br&gt;
&lt;p style="font-weight:bold;font-size:24pt;text-align:center;"&gt;34 + 47 = ?&lt;/p&gt;
&lt;br&gt;
What did you get as the answer? &lt;p&gt;&lt;span style="color: #3366ff;"&gt;&lt;b&gt;(Ans: 81) &lt;/b&gt;&lt;/span&gt;&lt;/p&gt;
&lt;br&gt;&lt;br&gt;
&lt;hr&gt;
&lt;br&gt;&lt;br&gt;
&lt;p&gt;&lt;span style="color: #3366ff;"&gt;&lt;strong&gt;INSTRUCTIONS:&lt;/strong&gt; Record if the student got the answer right, then proceed to the next field.&lt;/span&gt;&lt;/p&gt;</t>
        </is>
      </c>
      <c r="D237" s="118" t="n"/>
      <c r="E237" s="119" t="n"/>
      <c r="F237" s="119" t="n"/>
      <c r="G237" s="118" t="n"/>
      <c r="H237" s="118" t="n"/>
      <c r="I237" s="118" t="n"/>
      <c r="J237" s="119" t="n"/>
      <c r="K237" s="117" t="inlineStr">
        <is>
          <t>yes</t>
        </is>
      </c>
      <c r="L237" s="118" t="n"/>
      <c r="M237" s="119" t="n"/>
      <c r="N237" s="118" t="n"/>
      <c r="O237" s="119" t="n"/>
      <c r="P237" s="119" t="n"/>
      <c r="Q237" s="119" t="n"/>
      <c r="R237" s="119" t="n"/>
      <c r="S237" s="118" t="n"/>
      <c r="T237" s="119" t="n"/>
      <c r="U237" s="118" t="n"/>
      <c r="V237" s="118" t="n"/>
      <c r="W237" s="119" t="n"/>
      <c r="X237" s="119" t="n"/>
    </row>
    <row r="238">
      <c r="A238" s="117" t="inlineStr">
        <is>
          <t>calculate_here</t>
        </is>
      </c>
      <c r="B238" s="117" t="inlineStr">
        <is>
          <t>end_stud_add_b</t>
        </is>
      </c>
      <c r="C238" s="118" t="n"/>
      <c r="D238" s="118" t="n"/>
      <c r="E238" s="119" t="n"/>
      <c r="F238" s="119" t="n"/>
      <c r="G238" s="118" t="n"/>
      <c r="H238" s="118" t="n"/>
      <c r="I238" s="118" t="n"/>
      <c r="J238" s="119" t="n"/>
      <c r="K238" s="119" t="n"/>
      <c r="L238" s="118" t="n"/>
      <c r="M238" s="119" t="n"/>
      <c r="N238" s="120" t="inlineStr">
        <is>
          <t>once(duration())</t>
        </is>
      </c>
      <c r="O238" s="119" t="n"/>
      <c r="P238" s="119" t="n"/>
      <c r="Q238" s="119" t="n"/>
      <c r="R238" s="119" t="n"/>
      <c r="S238" s="118" t="n"/>
      <c r="T238" s="119" t="n"/>
      <c r="U238" s="118" t="n"/>
      <c r="V238" s="118" t="n"/>
      <c r="W238" s="119" t="n"/>
      <c r="X238" s="119" t="n"/>
    </row>
    <row r="239" ht="17" customHeight="1">
      <c r="A239" s="117" t="inlineStr">
        <is>
          <t>calculate</t>
        </is>
      </c>
      <c r="B239" s="117" t="inlineStr">
        <is>
          <t>duration_stud_add_b</t>
        </is>
      </c>
      <c r="C239" s="121" t="inlineStr">
        <is>
          <t>Time spent in seconds on the question.</t>
        </is>
      </c>
      <c r="D239" s="118" t="n"/>
      <c r="E239" s="119" t="n"/>
      <c r="F239" s="119" t="n"/>
      <c r="G239" s="118" t="n"/>
      <c r="H239" s="118" t="n"/>
      <c r="I239" s="118" t="n"/>
      <c r="J239" s="119" t="n"/>
      <c r="K239" s="119" t="n"/>
      <c r="L239" s="118" t="n"/>
      <c r="M239" s="119" t="n"/>
      <c r="N239" s="120" t="inlineStr">
        <is>
          <t>${end_stud_add_b} - ${start_stud_add_b}</t>
        </is>
      </c>
      <c r="O239" s="119" t="n"/>
      <c r="P239" s="119" t="n"/>
      <c r="Q239" s="119" t="n"/>
      <c r="R239" s="119" t="n"/>
      <c r="S239" s="118" t="n"/>
      <c r="T239" s="119" t="n"/>
      <c r="U239" s="118" t="n"/>
      <c r="V239" s="118" t="n"/>
      <c r="W239" s="119" t="n"/>
      <c r="X239" s="119" t="n"/>
    </row>
    <row r="240">
      <c r="A240" s="117" t="inlineStr">
        <is>
          <t>calculate_here</t>
        </is>
      </c>
      <c r="B240" s="117" t="inlineStr">
        <is>
          <t>start_stud_sub_b</t>
        </is>
      </c>
      <c r="C240" s="118" t="n"/>
      <c r="D240" s="118" t="n"/>
      <c r="E240" s="119" t="n"/>
      <c r="F240" s="119" t="n"/>
      <c r="G240" s="118" t="n"/>
      <c r="H240" s="118" t="n"/>
      <c r="I240" s="118" t="n"/>
      <c r="J240" s="119" t="n"/>
      <c r="K240" s="119" t="n"/>
      <c r="L240" s="118" t="n"/>
      <c r="M240" s="119" t="n"/>
      <c r="N240" s="120" t="inlineStr">
        <is>
          <t>once(duration())</t>
        </is>
      </c>
      <c r="O240" s="119" t="n"/>
      <c r="P240" s="119" t="n"/>
      <c r="Q240" s="119" t="n"/>
      <c r="R240" s="119" t="n"/>
      <c r="S240" s="118" t="n"/>
      <c r="T240" s="119" t="n"/>
      <c r="U240" s="118" t="n"/>
      <c r="V240" s="118" t="n"/>
      <c r="W240" s="119" t="n"/>
      <c r="X240" s="119" t="n"/>
    </row>
    <row r="241" ht="272" customHeight="1">
      <c r="A241" s="117" t="inlineStr">
        <is>
          <t>select_one levelling</t>
        </is>
      </c>
      <c r="B241" s="117" t="inlineStr">
        <is>
          <t>stud_sub_b</t>
        </is>
      </c>
      <c r="C241" s="121" t="inlineStr">
        <is>
          <t>Nice job! Can you solve:
&lt;br&gt;&lt;br&gt;
&lt;p style="font-weight:bold;font-size:24pt;text-align:center;"&gt;83 - 45 = ?&lt;/p&gt;
&lt;br&gt;
What did you get as the answer? &lt;p&gt;&lt;span style="color: #3366ff;"&gt;&lt;b&gt;(Ans: 38) &lt;/b&gt;&lt;/span&gt;&lt;/p&gt;
&lt;br&gt;&lt;br&gt;
&lt;hr&gt;
&lt;br&gt;&lt;br&gt;
&lt;p&gt;&lt;span style="color: #3366ff;"&gt;&lt;strong&gt;INSTRUCTIONS:&lt;/strong&gt; Record if the student got the answer right, then proceed to the next field.&lt;/span&gt;&lt;/p&gt;</t>
        </is>
      </c>
      <c r="D241" s="118" t="n"/>
      <c r="E241" s="119" t="n"/>
      <c r="F241" s="119" t="n"/>
      <c r="G241" s="118" t="n"/>
      <c r="H241" s="118" t="n"/>
      <c r="I241" s="120" t="inlineStr">
        <is>
          <t>selected(${stud_add_b}, '1')</t>
        </is>
      </c>
      <c r="J241" s="119" t="n"/>
      <c r="K241" s="117" t="inlineStr">
        <is>
          <t>yes</t>
        </is>
      </c>
      <c r="L241" s="118" t="n"/>
      <c r="M241" s="119" t="n"/>
      <c r="N241" s="118" t="n"/>
      <c r="O241" s="119" t="n"/>
      <c r="P241" s="119" t="n"/>
      <c r="Q241" s="119" t="n"/>
      <c r="R241" s="119" t="n"/>
      <c r="S241" s="118" t="n"/>
      <c r="T241" s="119" t="n"/>
      <c r="U241" s="118" t="n"/>
      <c r="V241" s="118" t="n"/>
      <c r="W241" s="119" t="n"/>
      <c r="X241" s="119" t="n"/>
    </row>
    <row r="242">
      <c r="A242" s="117" t="inlineStr">
        <is>
          <t>calculate_here</t>
        </is>
      </c>
      <c r="B242" s="117" t="inlineStr">
        <is>
          <t>end_stud_sub_b</t>
        </is>
      </c>
      <c r="C242" s="118" t="n"/>
      <c r="D242" s="118" t="n"/>
      <c r="E242" s="119" t="n"/>
      <c r="F242" s="119" t="n"/>
      <c r="G242" s="118" t="n"/>
      <c r="H242" s="118" t="n"/>
      <c r="I242" s="118" t="n"/>
      <c r="J242" s="119" t="n"/>
      <c r="K242" s="119" t="n"/>
      <c r="L242" s="118" t="n"/>
      <c r="M242" s="119" t="n"/>
      <c r="N242" s="120" t="inlineStr">
        <is>
          <t>once(duration())</t>
        </is>
      </c>
      <c r="O242" s="119" t="n"/>
      <c r="P242" s="119" t="n"/>
      <c r="Q242" s="119" t="n"/>
      <c r="R242" s="119" t="n"/>
      <c r="S242" s="118" t="n"/>
      <c r="T242" s="119" t="n"/>
      <c r="U242" s="118" t="n"/>
      <c r="V242" s="118" t="n"/>
      <c r="W242" s="119" t="n"/>
      <c r="X242" s="119" t="n"/>
    </row>
    <row r="243" ht="17" customHeight="1">
      <c r="A243" s="117" t="inlineStr">
        <is>
          <t>calculate</t>
        </is>
      </c>
      <c r="B243" s="117" t="inlineStr">
        <is>
          <t>duration_stud_sub_b</t>
        </is>
      </c>
      <c r="C243" s="121" t="inlineStr">
        <is>
          <t>Time spent in seconds on the question.</t>
        </is>
      </c>
      <c r="D243" s="118" t="n"/>
      <c r="E243" s="119" t="n"/>
      <c r="F243" s="119" t="n"/>
      <c r="G243" s="118" t="n"/>
      <c r="H243" s="118" t="n"/>
      <c r="I243" s="118" t="n"/>
      <c r="J243" s="119" t="n"/>
      <c r="K243" s="119" t="n"/>
      <c r="L243" s="118" t="n"/>
      <c r="M243" s="119" t="n"/>
      <c r="N243" s="120" t="inlineStr">
        <is>
          <t>${end_stud_sub_b} - ${start_stud_sub_b}</t>
        </is>
      </c>
      <c r="O243" s="119" t="n"/>
      <c r="P243" s="119" t="n"/>
      <c r="Q243" s="119" t="n"/>
      <c r="R243" s="119" t="n"/>
      <c r="S243" s="118" t="n"/>
      <c r="T243" s="119" t="n"/>
      <c r="U243" s="118" t="n"/>
      <c r="V243" s="118" t="n"/>
      <c r="W243" s="119" t="n"/>
      <c r="X243" s="119" t="n"/>
    </row>
    <row r="244">
      <c r="A244" s="117" t="inlineStr">
        <is>
          <t>calculate_here</t>
        </is>
      </c>
      <c r="B244" s="117" t="inlineStr">
        <is>
          <t>start_stud_mult_b</t>
        </is>
      </c>
      <c r="C244" s="118" t="n"/>
      <c r="D244" s="118" t="n"/>
      <c r="E244" s="119" t="n"/>
      <c r="F244" s="119" t="n"/>
      <c r="G244" s="118" t="n"/>
      <c r="H244" s="118" t="n"/>
      <c r="I244" s="118" t="n"/>
      <c r="J244" s="119" t="n"/>
      <c r="K244" s="119" t="n"/>
      <c r="L244" s="118" t="n"/>
      <c r="M244" s="119" t="n"/>
      <c r="N244" s="120" t="inlineStr">
        <is>
          <t>once(duration())</t>
        </is>
      </c>
      <c r="O244" s="119" t="n"/>
      <c r="P244" s="119" t="n"/>
      <c r="Q244" s="119" t="n"/>
      <c r="R244" s="119" t="n"/>
      <c r="S244" s="118" t="n"/>
      <c r="T244" s="119" t="n"/>
      <c r="U244" s="118" t="n"/>
      <c r="V244" s="118" t="n"/>
      <c r="W244" s="119" t="n"/>
      <c r="X244" s="119" t="n"/>
    </row>
    <row r="245" ht="272" customHeight="1">
      <c r="A245" s="117" t="inlineStr">
        <is>
          <t>select_one levelling</t>
        </is>
      </c>
      <c r="B245" s="117" t="inlineStr">
        <is>
          <t>stud_mult_b</t>
        </is>
      </c>
      <c r="C245" s="121" t="inlineStr">
        <is>
          <t>Nice job! Can you solve:
&lt;br&gt;&lt;br&gt;
&lt;p style="font-weight:bold;font-size:24pt;text-align:center;"&gt;36 x 2 = ?&lt;/p&gt;
&lt;br&gt;
What did you get as the answer? &lt;p&gt;&lt;span style="color: #3366ff;"&gt;&lt;b&gt;(Ans: 72) &lt;/b&gt;&lt;/span&gt;&lt;/p&gt;
&lt;br&gt;&lt;br&gt;
&lt;hr&gt;
&lt;br&gt;&lt;br&gt;
&lt;p&gt;&lt;span style="color: #3366ff;"&gt;&lt;strong&gt;INSTRUCTIONS:&lt;/strong&gt; Record if the student got the answer right, then proceed to the next field.&lt;/span&gt;&lt;/p&gt;</t>
        </is>
      </c>
      <c r="D245" s="118" t="n"/>
      <c r="E245" s="119" t="n"/>
      <c r="F245" s="119" t="n"/>
      <c r="G245" s="118" t="n"/>
      <c r="H245" s="118" t="n"/>
      <c r="I245" s="120" t="inlineStr">
        <is>
          <t>selected(${stud_sub_b}, '1')</t>
        </is>
      </c>
      <c r="J245" s="119" t="n"/>
      <c r="K245" s="117" t="inlineStr">
        <is>
          <t>yes</t>
        </is>
      </c>
      <c r="L245" s="118" t="n"/>
      <c r="M245" s="119" t="n"/>
      <c r="N245" s="118" t="n"/>
      <c r="O245" s="119" t="n"/>
      <c r="P245" s="119" t="n"/>
      <c r="Q245" s="119" t="n"/>
      <c r="R245" s="119" t="n"/>
      <c r="S245" s="118" t="n"/>
      <c r="T245" s="119" t="n"/>
      <c r="U245" s="118" t="n"/>
      <c r="V245" s="118" t="n"/>
      <c r="W245" s="119" t="n"/>
      <c r="X245" s="119" t="n"/>
    </row>
    <row r="246">
      <c r="A246" s="117" t="inlineStr">
        <is>
          <t>calculate_here</t>
        </is>
      </c>
      <c r="B246" s="117" t="inlineStr">
        <is>
          <t>end_stud_mult_b</t>
        </is>
      </c>
      <c r="C246" s="118" t="n"/>
      <c r="D246" s="118" t="n"/>
      <c r="E246" s="119" t="n"/>
      <c r="F246" s="119" t="n"/>
      <c r="G246" s="118" t="n"/>
      <c r="H246" s="118" t="n"/>
      <c r="I246" s="118" t="n"/>
      <c r="J246" s="119" t="n"/>
      <c r="K246" s="119" t="n"/>
      <c r="L246" s="118" t="n"/>
      <c r="M246" s="119" t="n"/>
      <c r="N246" s="120" t="inlineStr">
        <is>
          <t>once(duration())</t>
        </is>
      </c>
      <c r="O246" s="119" t="n"/>
      <c r="P246" s="119" t="n"/>
      <c r="Q246" s="119" t="n"/>
      <c r="R246" s="119" t="n"/>
      <c r="S246" s="118" t="n"/>
      <c r="T246" s="119" t="n"/>
      <c r="U246" s="118" t="n"/>
      <c r="V246" s="118" t="n"/>
      <c r="W246" s="119" t="n"/>
      <c r="X246" s="119" t="n"/>
    </row>
    <row r="247" ht="17" customHeight="1">
      <c r="A247" s="117" t="inlineStr">
        <is>
          <t>calculate</t>
        </is>
      </c>
      <c r="B247" s="117" t="inlineStr">
        <is>
          <t>duration_stud_mult_b</t>
        </is>
      </c>
      <c r="C247" s="121" t="inlineStr">
        <is>
          <t>Time spent in seconds on the question.</t>
        </is>
      </c>
      <c r="D247" s="118" t="n"/>
      <c r="E247" s="119" t="n"/>
      <c r="F247" s="119" t="n"/>
      <c r="G247" s="118" t="n"/>
      <c r="H247" s="118" t="n"/>
      <c r="I247" s="118" t="n"/>
      <c r="J247" s="119" t="n"/>
      <c r="K247" s="119" t="n"/>
      <c r="L247" s="118" t="n"/>
      <c r="M247" s="119" t="n"/>
      <c r="N247" s="120" t="inlineStr">
        <is>
          <t>${end_stud_mult_b} - ${start_stud_mult_b}</t>
        </is>
      </c>
      <c r="O247" s="119" t="n"/>
      <c r="P247" s="119" t="n"/>
      <c r="Q247" s="119" t="n"/>
      <c r="R247" s="119" t="n"/>
      <c r="S247" s="118" t="n"/>
      <c r="T247" s="119" t="n"/>
      <c r="U247" s="118" t="n"/>
      <c r="V247" s="118" t="n"/>
      <c r="W247" s="119" t="n"/>
      <c r="X247" s="119" t="n"/>
    </row>
    <row r="248">
      <c r="A248" s="117" t="inlineStr">
        <is>
          <t>calculate_here</t>
        </is>
      </c>
      <c r="B248" s="117" t="inlineStr">
        <is>
          <t>start_stud_div_b</t>
        </is>
      </c>
      <c r="C248" s="118" t="n"/>
      <c r="D248" s="118" t="n"/>
      <c r="E248" s="119" t="n"/>
      <c r="F248" s="119" t="n"/>
      <c r="G248" s="118" t="n"/>
      <c r="H248" s="118" t="n"/>
      <c r="I248" s="118" t="n"/>
      <c r="J248" s="119" t="n"/>
      <c r="K248" s="119" t="n"/>
      <c r="L248" s="118" t="n"/>
      <c r="M248" s="119" t="n"/>
      <c r="N248" s="120" t="inlineStr">
        <is>
          <t>once(duration())</t>
        </is>
      </c>
      <c r="O248" s="119" t="n"/>
      <c r="P248" s="119" t="n"/>
      <c r="Q248" s="119" t="n"/>
      <c r="R248" s="119" t="n"/>
      <c r="S248" s="118" t="n"/>
      <c r="T248" s="119" t="n"/>
      <c r="U248" s="118" t="n"/>
      <c r="V248" s="118" t="n"/>
      <c r="W248" s="119" t="n"/>
      <c r="X248" s="119" t="n"/>
    </row>
    <row r="249" ht="272" customHeight="1">
      <c r="A249" s="117" t="inlineStr">
        <is>
          <t>select_one levelling</t>
        </is>
      </c>
      <c r="B249" s="117" t="inlineStr">
        <is>
          <t>stud_div_b</t>
        </is>
      </c>
      <c r="C249" s="121" t="inlineStr">
        <is>
          <t>Nice job! Can you solve:
&lt;br&gt;&lt;br&gt;
&lt;p style="font-weight:bold;font-size:24pt;text-align:center;"&gt;58 / 5 = ?&lt;/p&gt;
&lt;br&gt;
What did you get as the answer? &lt;p&gt;&lt;span style="color: #3366ff;"&gt;&lt;b&gt;(Ans: 11 r3) &lt;/b&gt;&lt;/span&gt;&lt;/p&gt;
&lt;br&gt;&lt;br&gt;
&lt;hr&gt;
&lt;br&gt;&lt;br&gt;
&lt;p&gt;&lt;span style="color: #3366ff;"&gt;&lt;strong&gt;INSTRUCTIONS:&lt;/strong&gt; Record if the student got the answer right, then proceed to the next field.&lt;/span&gt;&lt;/p&gt;</t>
        </is>
      </c>
      <c r="D249" s="118" t="n"/>
      <c r="E249" s="119" t="n"/>
      <c r="F249" s="119" t="n"/>
      <c r="G249" s="118" t="n"/>
      <c r="H249" s="118" t="n"/>
      <c r="I249" s="120" t="inlineStr">
        <is>
          <t>selected(${stud_mult_b}, '1')</t>
        </is>
      </c>
      <c r="J249" s="119" t="n"/>
      <c r="K249" s="117" t="inlineStr">
        <is>
          <t>yes</t>
        </is>
      </c>
      <c r="L249" s="118" t="n"/>
      <c r="M249" s="119" t="n"/>
      <c r="N249" s="118" t="n"/>
      <c r="O249" s="119" t="n"/>
      <c r="P249" s="119" t="n"/>
      <c r="Q249" s="119" t="n"/>
      <c r="R249" s="119" t="n"/>
      <c r="S249" s="118" t="n"/>
      <c r="T249" s="119" t="n"/>
      <c r="U249" s="118" t="n"/>
      <c r="V249" s="118" t="n"/>
      <c r="W249" s="119" t="n"/>
      <c r="X249" s="119" t="n"/>
    </row>
    <row r="250">
      <c r="A250" s="117" t="inlineStr">
        <is>
          <t>calculate_here</t>
        </is>
      </c>
      <c r="B250" s="117" t="inlineStr">
        <is>
          <t>end_stud_div_b</t>
        </is>
      </c>
      <c r="C250" s="118" t="n"/>
      <c r="D250" s="118" t="n"/>
      <c r="E250" s="119" t="n"/>
      <c r="F250" s="119" t="n"/>
      <c r="G250" s="118" t="n"/>
      <c r="H250" s="118" t="n"/>
      <c r="I250" s="118" t="n"/>
      <c r="J250" s="119" t="n"/>
      <c r="K250" s="119" t="n"/>
      <c r="L250" s="118" t="n"/>
      <c r="M250" s="119" t="n"/>
      <c r="N250" s="120" t="inlineStr">
        <is>
          <t>once(duration())</t>
        </is>
      </c>
      <c r="O250" s="119" t="n"/>
      <c r="P250" s="119" t="n"/>
      <c r="Q250" s="119" t="n"/>
      <c r="R250" s="119" t="n"/>
      <c r="S250" s="118" t="n"/>
      <c r="T250" s="119" t="n"/>
      <c r="U250" s="118" t="n"/>
      <c r="V250" s="118" t="n"/>
      <c r="W250" s="119" t="n"/>
      <c r="X250" s="119" t="n"/>
    </row>
    <row r="251">
      <c r="A251" s="117" t="inlineStr">
        <is>
          <t>calculate_here</t>
        </is>
      </c>
      <c r="B251" s="117" t="inlineStr">
        <is>
          <t>end_levelling_num_b</t>
        </is>
      </c>
      <c r="C251" s="118" t="n"/>
      <c r="D251" s="118" t="n"/>
      <c r="E251" s="119" t="n"/>
      <c r="F251" s="119" t="n"/>
      <c r="G251" s="118" t="n"/>
      <c r="H251" s="118" t="n"/>
      <c r="I251" s="118" t="n"/>
      <c r="J251" s="119" t="n"/>
      <c r="K251" s="119" t="n"/>
      <c r="L251" s="118" t="n"/>
      <c r="M251" s="119" t="n"/>
      <c r="N251" s="120" t="inlineStr">
        <is>
          <t>once(duration())</t>
        </is>
      </c>
      <c r="O251" s="119" t="n"/>
      <c r="P251" s="119" t="n"/>
      <c r="Q251" s="119" t="n"/>
      <c r="R251" s="119" t="n"/>
      <c r="S251" s="118" t="n"/>
      <c r="T251" s="119" t="n"/>
      <c r="U251" s="118" t="n"/>
      <c r="V251" s="118" t="n"/>
      <c r="W251" s="119" t="n"/>
      <c r="X251" s="119" t="n"/>
    </row>
    <row r="252" ht="17" customHeight="1">
      <c r="A252" s="117" t="inlineStr">
        <is>
          <t>calculate</t>
        </is>
      </c>
      <c r="B252" s="117" t="inlineStr">
        <is>
          <t>duration_stud_div_b</t>
        </is>
      </c>
      <c r="C252" s="121" t="inlineStr">
        <is>
          <t>Time spent in seconds on the question.</t>
        </is>
      </c>
      <c r="D252" s="118" t="n"/>
      <c r="E252" s="119" t="n"/>
      <c r="F252" s="119" t="n"/>
      <c r="G252" s="118" t="n"/>
      <c r="H252" s="118" t="n"/>
      <c r="I252" s="118" t="n"/>
      <c r="J252" s="119" t="n"/>
      <c r="K252" s="119" t="n"/>
      <c r="L252" s="118" t="n"/>
      <c r="M252" s="119" t="n"/>
      <c r="N252" s="120" t="inlineStr">
        <is>
          <t>${end_stud_div_b} - ${start_stud_div_b}</t>
        </is>
      </c>
      <c r="O252" s="119" t="n"/>
      <c r="P252" s="119" t="n"/>
      <c r="Q252" s="119" t="n"/>
      <c r="R252" s="119" t="n"/>
      <c r="S252" s="118" t="n"/>
      <c r="T252" s="119" t="n"/>
      <c r="U252" s="118" t="n"/>
      <c r="V252" s="118" t="n"/>
      <c r="W252" s="119" t="n"/>
      <c r="X252" s="119" t="n"/>
    </row>
    <row r="253" ht="17" customHeight="1">
      <c r="A253" s="117" t="inlineStr">
        <is>
          <t>calculate</t>
        </is>
      </c>
      <c r="B253" s="117" t="inlineStr">
        <is>
          <t>duration_levelling_num_b</t>
        </is>
      </c>
      <c r="C253" s="121" t="inlineStr">
        <is>
          <t>Time spent in seconds on the numeracy assessment.</t>
        </is>
      </c>
      <c r="D253" s="118" t="n"/>
      <c r="E253" s="119" t="n"/>
      <c r="F253" s="119" t="n"/>
      <c r="G253" s="118" t="n"/>
      <c r="H253" s="118" t="n"/>
      <c r="I253" s="118" t="n"/>
      <c r="J253" s="119" t="n"/>
      <c r="K253" s="119" t="n"/>
      <c r="L253" s="118" t="n"/>
      <c r="M253" s="119" t="n"/>
      <c r="N253" s="120" t="inlineStr">
        <is>
          <t>${end_levelling_num_b} - ${start_levelling_num_b}</t>
        </is>
      </c>
      <c r="O253" s="119" t="n"/>
      <c r="P253" s="119" t="n"/>
      <c r="Q253" s="119" t="n"/>
      <c r="R253" s="119" t="n"/>
      <c r="S253" s="118" t="n"/>
      <c r="T253" s="119" t="n"/>
      <c r="U253" s="118" t="n"/>
      <c r="V253" s="118" t="n"/>
      <c r="W253" s="119" t="n"/>
      <c r="X253" s="119" t="n"/>
    </row>
    <row r="254" ht="68" customHeight="1">
      <c r="A254" s="117" t="inlineStr">
        <is>
          <t>calculate</t>
        </is>
      </c>
      <c r="B254" s="117" t="inlineStr">
        <is>
          <t>stud_level_num_b</t>
        </is>
      </c>
      <c r="C254" s="121" t="inlineStr">
        <is>
          <t>Returns student level from assessment.</t>
        </is>
      </c>
      <c r="D254" s="118" t="n"/>
      <c r="E254" s="119" t="n"/>
      <c r="F254" s="119" t="n"/>
      <c r="G254" s="118" t="n"/>
      <c r="H254" s="118" t="n"/>
      <c r="I254" s="118" t="n"/>
      <c r="J254" s="119" t="n"/>
      <c r="K254" s="119" t="n"/>
      <c r="L254" s="118" t="n"/>
      <c r="M254" s="119" t="n"/>
      <c r="N254" s="120" t="inlineStr">
        <is>
          <t>if(${stud_add_b} = 1 and ${stud_sub_b} != 1, '1', 
if(${stud_sub_b} = 1 and ${stud_mult_b} != 1, '2', 
if(${stud_mult_b} = 1 and ${stud_div_b} != 1, '3', 
if(${stud_div_b} = 1, '4', '0'))))</t>
        </is>
      </c>
      <c r="O254" s="119" t="n"/>
      <c r="P254" s="119" t="n"/>
      <c r="Q254" s="119" t="n"/>
      <c r="R254" s="119" t="n"/>
      <c r="S254" s="118" t="n"/>
      <c r="T254" s="119" t="n"/>
      <c r="U254" s="118" t="n"/>
      <c r="V254" s="118" t="n"/>
      <c r="W254" s="119" t="n"/>
      <c r="X254" s="119" t="n"/>
    </row>
    <row r="255" ht="68" customHeight="1">
      <c r="A255" s="117" t="inlineStr">
        <is>
          <t>calculate</t>
        </is>
      </c>
      <c r="B255" s="117" t="inlineStr">
        <is>
          <t>stud_level_num_lab_b</t>
        </is>
      </c>
      <c r="C255" s="121" t="inlineStr">
        <is>
          <t>Returns choice label of student level from assessment.</t>
        </is>
      </c>
      <c r="D255" s="118" t="n"/>
      <c r="E255" s="119" t="n"/>
      <c r="F255" s="119" t="n"/>
      <c r="G255" s="118" t="n"/>
      <c r="H255" s="118" t="n"/>
      <c r="I255" s="118" t="n"/>
      <c r="J255" s="119" t="n"/>
      <c r="K255" s="119" t="n"/>
      <c r="L255" s="118" t="n"/>
      <c r="M255" s="119" t="n"/>
      <c r="N255" s="120" t="inlineStr">
        <is>
          <t>if(${stud_add_b} = 1 and ${stud_sub_b} != 1, 'Addition', 
if(${stud_sub_b} = 1 and ${stud_mult_b} != 1, 'Subtraction', 
if(${stud_mult_b} = 1 and ${stud_div_b} != 1, 'Multiplication', 
if(${stud_div_b} = 1, 'Division', 'Beginner'))))</t>
        </is>
      </c>
      <c r="O255" s="119" t="n"/>
      <c r="P255" s="119" t="n"/>
      <c r="Q255" s="119" t="n"/>
      <c r="R255" s="119" t="n"/>
      <c r="S255" s="118" t="n"/>
      <c r="T255" s="119" t="n"/>
      <c r="U255" s="118" t="n"/>
      <c r="V255" s="118" t="n"/>
      <c r="W255" s="119" t="n"/>
      <c r="X255" s="119" t="n"/>
    </row>
    <row r="256" ht="68" customHeight="1">
      <c r="A256" s="117" t="inlineStr">
        <is>
          <t>calculate</t>
        </is>
      </c>
      <c r="B256" s="117" t="inlineStr">
        <is>
          <t>suggested_lesson1_i</t>
        </is>
      </c>
      <c r="C256" s="121" t="inlineStr">
        <is>
          <t>Returns suggested first lesson at implementation</t>
        </is>
      </c>
      <c r="D256" s="118" t="n"/>
      <c r="E256" s="119" t="n"/>
      <c r="F256" s="119" t="n"/>
      <c r="G256" s="118" t="n"/>
      <c r="H256" s="118" t="n"/>
      <c r="I256" s="118" t="n"/>
      <c r="J256" s="119" t="n"/>
      <c r="K256" s="119" t="n"/>
      <c r="L256" s="118" t="n"/>
      <c r="M256" s="119" t="n"/>
      <c r="N256" s="120" t="inlineStr">
        <is>
          <t>if(${stud_level_num_b} = 0, '1',
if(${stud_level_num_b} = 1, '2',
if(${stud_level_num_b} = 2, '3',
if(${stud_level_num_b} = 3, '4', '4'))))</t>
        </is>
      </c>
      <c r="O256" s="119" t="n"/>
      <c r="P256" s="119" t="n"/>
      <c r="Q256" s="119" t="n"/>
      <c r="R256" s="119" t="n"/>
      <c r="S256" s="118" t="n"/>
      <c r="T256" s="119" t="n"/>
      <c r="U256" s="118" t="n"/>
      <c r="V256" s="118" t="n"/>
      <c r="W256" s="119" t="n"/>
      <c r="X256" s="119" t="n"/>
    </row>
    <row r="257" ht="68" customHeight="1">
      <c r="A257" s="117" t="inlineStr">
        <is>
          <t>calculate</t>
        </is>
      </c>
      <c r="B257" s="117" t="inlineStr">
        <is>
          <t>suggested_lesson1_lab_i</t>
        </is>
      </c>
      <c r="C257" s="121" t="inlineStr">
        <is>
          <t>Returns choice label of suggested first lesson at implementation</t>
        </is>
      </c>
      <c r="D257" s="118" t="n"/>
      <c r="E257" s="119" t="n"/>
      <c r="F257" s="119" t="n"/>
      <c r="G257" s="118" t="n"/>
      <c r="H257" s="118" t="n"/>
      <c r="I257" s="118" t="n"/>
      <c r="J257" s="119" t="n"/>
      <c r="K257" s="119" t="n"/>
      <c r="L257" s="118" t="n"/>
      <c r="M257" s="119" t="n"/>
      <c r="N257" s="120" t="inlineStr">
        <is>
          <t>if(${stud_level_num_b} = 0, 'Addition',
if(${stud_level_num_b} = 1, 'Subtraction',
if(${stud_level_num_b} = 2, 'Multiplication',
if(${stud_level_num_b} = 3, 'Division', 'Division'))))</t>
        </is>
      </c>
      <c r="O257" s="119" t="n"/>
      <c r="P257" s="119" t="n"/>
      <c r="Q257" s="119" t="n"/>
      <c r="R257" s="119" t="n"/>
      <c r="S257" s="118" t="n"/>
      <c r="T257" s="119" t="n"/>
      <c r="U257" s="118" t="n"/>
      <c r="V257" s="118" t="n"/>
      <c r="W257" s="119" t="n"/>
      <c r="X257" s="119" t="n"/>
    </row>
    <row r="258" ht="17" customHeight="1">
      <c r="A258" s="117" t="inlineStr">
        <is>
          <t>begin group</t>
        </is>
      </c>
      <c r="B258" s="117" t="inlineStr">
        <is>
          <t>levelling_num_end</t>
        </is>
      </c>
      <c r="C258" s="118" t="n"/>
      <c r="D258" s="118" t="n"/>
      <c r="E258" s="119" t="n"/>
      <c r="F258" s="117" t="inlineStr">
        <is>
          <t>field-list</t>
        </is>
      </c>
      <c r="G258" s="118" t="n"/>
      <c r="H258" s="118" t="n"/>
      <c r="I258" s="118" t="n"/>
      <c r="J258" s="119" t="n"/>
      <c r="K258" s="119" t="n"/>
      <c r="L258" s="118" t="n"/>
      <c r="M258" s="119" t="n"/>
      <c r="N258" s="120" t="n"/>
      <c r="O258" s="119" t="n"/>
      <c r="P258" s="119" t="n"/>
      <c r="Q258" s="119" t="n"/>
      <c r="R258" s="119" t="n"/>
      <c r="S258" s="118" t="n"/>
      <c r="T258" s="119" t="n"/>
      <c r="U258" s="118" t="n"/>
      <c r="V258" s="118" t="n"/>
      <c r="W258" s="119" t="n"/>
      <c r="X258" s="119" t="n"/>
    </row>
    <row r="259" ht="187" customHeight="1">
      <c r="A259" s="117" t="inlineStr">
        <is>
          <t>note</t>
        </is>
      </c>
      <c r="B259" s="117" t="inlineStr">
        <is>
          <t>note_end_stud</t>
        </is>
      </c>
      <c r="C259" s="121" t="inlineStr">
        <is>
          <t xml:space="preserve">
Nice work, &lt;font color="#14b14b"&gt;&lt;b&gt;&lt;u&gt;${stud_name_b}&lt;/u&gt;&lt;/b&gt;&lt;/font&gt;! 
&lt;br&gt;&lt;br&gt;
Thanks a lot for the time you spent with me.
&lt;br&gt;&lt;br&gt;
Please hand over the phone to your &lt;font color="#14b14b"&gt;&lt;b&gt;&lt;u&gt;${care_rel2_lab_b}&lt;/u&gt;&lt;/b&gt;&lt;/font&gt;.</t>
        </is>
      </c>
      <c r="D259" s="118" t="n"/>
      <c r="E259" s="119" t="n"/>
      <c r="F259" s="119" t="n"/>
      <c r="G259" s="118" t="n"/>
      <c r="H259" s="118" t="n"/>
      <c r="I259" s="118" t="n"/>
      <c r="J259" s="119" t="n"/>
      <c r="K259" s="119" t="n"/>
      <c r="L259" s="118" t="n"/>
      <c r="M259" s="119" t="n"/>
      <c r="N259" s="118" t="n"/>
      <c r="O259" s="119" t="n"/>
      <c r="P259" s="119" t="n"/>
      <c r="Q259" s="119" t="n"/>
      <c r="R259" s="119" t="n"/>
      <c r="S259" s="118" t="n"/>
      <c r="T259" s="119" t="n"/>
      <c r="U259" s="118" t="n"/>
      <c r="V259" s="118" t="n"/>
      <c r="W259" s="119" t="n"/>
      <c r="X259" s="119" t="n"/>
    </row>
    <row r="260" ht="204" customHeight="1">
      <c r="A260" s="117" t="inlineStr">
        <is>
          <t>note</t>
        </is>
      </c>
      <c r="B260" s="117" t="inlineStr">
        <is>
          <t>note_end_care</t>
        </is>
      </c>
      <c r="C260" s="121" t="inlineStr">
        <is>
          <t xml:space="preserve">Thank you so much for taking your time to speak with us.
&lt;br&gt;&lt;br&gt;
We will be contacting you in the coming weeks for our tutoring sessions. Please expect an SMS with math exercises that you can practice with your child.
&lt;br&gt;&lt;br&gt;
Do you have questions for me or anything you would like for me to clarify?
</t>
        </is>
      </c>
      <c r="D260" s="118" t="n"/>
      <c r="E260" s="119" t="n"/>
      <c r="F260" s="119" t="n"/>
      <c r="G260" s="118" t="n"/>
      <c r="H260" s="118" t="n"/>
      <c r="I260" s="118" t="n"/>
      <c r="J260" s="119" t="n"/>
      <c r="K260" s="119" t="n"/>
      <c r="L260" s="118" t="n"/>
      <c r="M260" s="119" t="n"/>
      <c r="N260" s="118" t="n"/>
      <c r="O260" s="119" t="n"/>
      <c r="P260" s="119" t="n"/>
      <c r="Q260" s="119" t="n"/>
      <c r="R260" s="119" t="n"/>
      <c r="S260" s="118" t="n"/>
      <c r="T260" s="119" t="n"/>
      <c r="U260" s="118" t="n"/>
      <c r="V260" s="118" t="n"/>
      <c r="W260" s="119" t="n"/>
      <c r="X260" s="119" t="n"/>
    </row>
    <row r="261" ht="153" customHeight="1">
      <c r="A261" s="117" t="inlineStr">
        <is>
          <t>note</t>
        </is>
      </c>
      <c r="B261" s="117" t="inlineStr">
        <is>
          <t>note_stud_level</t>
        </is>
      </c>
      <c r="C261" s="121" t="inlineStr">
        <is>
          <t>&lt;p&gt;&lt;span style="color: #3366ff;"&gt;&lt;strong&gt;NOTE:&lt;/strong&gt;&lt;/span&gt;&lt;/p&gt;
&lt;br&gt; &lt;br&gt;
&lt;p&gt;&lt;span style="color: #3366ff;"&gt;Based on the learning game, the student mastered &lt;b&gt;&lt;u&gt;${stud_level_num_lab_b}&lt;/u&gt;&lt;/b&gt;.&lt;/span&gt;&lt;/p&gt;
&lt;br&gt; &lt;br&gt;
&lt;p&gt;&lt;span style="color: #3366ff;"&gt;During the next call, we recommend teaching &lt;b&gt;&lt;u&gt;${suggested_lesson1_lab_i}&lt;/u&gt;&lt;/b&gt;.&lt;/span&gt;&lt;/p&gt;</t>
        </is>
      </c>
      <c r="D261" s="118" t="n"/>
      <c r="E261" s="119" t="n"/>
      <c r="F261" s="119" t="n"/>
      <c r="G261" s="118" t="n"/>
      <c r="H261" s="118" t="n"/>
      <c r="I261" s="118" t="n"/>
      <c r="J261" s="119" t="n"/>
      <c r="K261" s="119" t="n"/>
      <c r="L261" s="118" t="n"/>
      <c r="M261" s="119" t="n"/>
      <c r="N261" s="118" t="n"/>
      <c r="O261" s="119" t="n"/>
      <c r="P261" s="119" t="n"/>
      <c r="Q261" s="119" t="n"/>
      <c r="R261" s="119" t="n"/>
      <c r="S261" s="118" t="n"/>
      <c r="T261" s="119" t="n"/>
      <c r="U261" s="118" t="n"/>
      <c r="V261" s="118" t="n"/>
      <c r="W261" s="119" t="n"/>
      <c r="X261" s="119" t="n"/>
    </row>
    <row r="262">
      <c r="A262" s="117" t="inlineStr">
        <is>
          <t>end group</t>
        </is>
      </c>
      <c r="B262" s="117" t="inlineStr">
        <is>
          <t>levelling_num_end</t>
        </is>
      </c>
      <c r="C262" s="118" t="n"/>
      <c r="D262" s="118" t="n"/>
      <c r="E262" s="119" t="n"/>
      <c r="F262" s="119" t="n"/>
      <c r="G262" s="118" t="n"/>
      <c r="H262" s="118" t="n"/>
      <c r="I262" s="118" t="n"/>
      <c r="J262" s="119" t="n"/>
      <c r="K262" s="119" t="n"/>
      <c r="L262" s="118" t="n"/>
      <c r="M262" s="119" t="n"/>
      <c r="N262" s="118" t="n"/>
      <c r="O262" s="119" t="n"/>
      <c r="P262" s="119" t="n"/>
      <c r="Q262" s="119" t="n"/>
      <c r="R262" s="119" t="n"/>
      <c r="S262" s="118" t="n"/>
      <c r="T262" s="119" t="n"/>
      <c r="U262" s="118" t="n"/>
      <c r="V262" s="118" t="n"/>
      <c r="W262" s="119" t="n"/>
      <c r="X262" s="119" t="n"/>
    </row>
    <row r="263" ht="153" customHeight="1">
      <c r="A263" s="117" t="inlineStr">
        <is>
          <t>note</t>
        </is>
      </c>
      <c r="B263" s="117" t="inlineStr">
        <is>
          <t>note_test_stud_level</t>
        </is>
      </c>
      <c r="C263" s="120" t="inlineStr">
        <is>
          <t>&lt;b&gt;DISABLE AFTER TESTING:&lt;/b&gt;
&lt;br&gt;&lt;br&gt;
Level mastered at sensitization: ${stud_level_num_lab_b}, ${stud_level_num_b}
&lt;br&gt;
Suggested first lesson: ${suggested_lesson1_lab_i}, ${suggested_lesson1_i}</t>
        </is>
      </c>
      <c r="D263" s="118" t="n"/>
      <c r="E263" s="119" t="n"/>
      <c r="F263" s="119" t="n"/>
      <c r="G263" s="118" t="n"/>
      <c r="H263" s="118" t="n"/>
      <c r="I263" s="118" t="n"/>
      <c r="J263" s="117" t="inlineStr">
        <is>
          <t>yes</t>
        </is>
      </c>
      <c r="K263" s="119" t="n"/>
      <c r="L263" s="118" t="n"/>
      <c r="M263" s="119" t="n"/>
      <c r="N263" s="118" t="n"/>
      <c r="O263" s="119" t="n"/>
      <c r="P263" s="119" t="n"/>
      <c r="Q263" s="119" t="n"/>
      <c r="R263" s="119" t="n"/>
      <c r="S263" s="118" t="n"/>
      <c r="T263" s="119" t="n"/>
      <c r="U263" s="118" t="n"/>
      <c r="V263" s="118" t="n"/>
      <c r="W263" s="119" t="n"/>
      <c r="X263" s="119" t="n"/>
    </row>
    <row r="264">
      <c r="A264" s="117" t="inlineStr">
        <is>
          <t>end group</t>
        </is>
      </c>
      <c r="B264" s="117" t="inlineStr">
        <is>
          <t>levelling_num</t>
        </is>
      </c>
      <c r="C264" s="118" t="n"/>
      <c r="D264" s="118" t="n"/>
      <c r="E264" s="119" t="n"/>
      <c r="F264" s="119" t="n"/>
      <c r="G264" s="118" t="n"/>
      <c r="H264" s="118" t="n"/>
      <c r="I264" s="118" t="n"/>
      <c r="J264" s="119" t="n"/>
      <c r="K264" s="119" t="n"/>
      <c r="L264" s="118" t="n"/>
      <c r="M264" s="119" t="n"/>
      <c r="N264" s="118" t="n"/>
      <c r="O264" s="119" t="n"/>
      <c r="P264" s="119" t="n"/>
      <c r="Q264" s="119" t="n"/>
      <c r="R264" s="119" t="n"/>
      <c r="S264" s="118" t="n"/>
      <c r="T264" s="119" t="n"/>
      <c r="U264" s="118" t="n"/>
      <c r="V264" s="118" t="n"/>
      <c r="W264" s="119" t="n"/>
      <c r="X264" s="119" t="n"/>
    </row>
    <row r="265">
      <c r="A265" s="119" t="n"/>
      <c r="B265" s="119" t="n"/>
      <c r="C265" s="118" t="n"/>
      <c r="D265" s="118" t="n"/>
      <c r="E265" s="119" t="n"/>
      <c r="F265" s="119" t="n"/>
      <c r="G265" s="118" t="n"/>
      <c r="H265" s="118" t="n"/>
      <c r="I265" s="118" t="n"/>
      <c r="J265" s="119" t="n"/>
      <c r="K265" s="119" t="n"/>
      <c r="L265" s="118" t="n"/>
      <c r="M265" s="119" t="n"/>
      <c r="N265" s="118" t="n"/>
      <c r="O265" s="119" t="n"/>
      <c r="P265" s="119" t="n"/>
      <c r="Q265" s="119" t="n"/>
      <c r="R265" s="119" t="n"/>
      <c r="S265" s="118" t="n"/>
      <c r="T265" s="119" t="n"/>
      <c r="U265" s="118" t="n"/>
      <c r="V265" s="118" t="n"/>
      <c r="W265" s="119" t="n"/>
      <c r="X265" s="119" t="n"/>
    </row>
    <row r="266" ht="17" customHeight="1">
      <c r="A266" s="117" t="inlineStr">
        <is>
          <t>begin group</t>
        </is>
      </c>
      <c r="B266" s="117" t="inlineStr">
        <is>
          <t>end_call</t>
        </is>
      </c>
      <c r="C266" s="121" t="inlineStr">
        <is>
          <t>End call</t>
        </is>
      </c>
      <c r="D266" s="118" t="n"/>
      <c r="E266" s="119" t="n"/>
      <c r="F266" s="119" t="n"/>
      <c r="G266" s="118" t="n"/>
      <c r="H266" s="118" t="n"/>
      <c r="I266" s="118" t="n"/>
      <c r="J266" s="119" t="n"/>
      <c r="K266" s="119" t="n"/>
      <c r="L266" s="118" t="n"/>
      <c r="M266" s="119" t="n"/>
      <c r="N266" s="118" t="n"/>
      <c r="O266" s="119" t="n"/>
      <c r="P266" s="119" t="n"/>
      <c r="Q266" s="119" t="n"/>
      <c r="R266" s="119" t="n"/>
      <c r="S266" s="118" t="n"/>
      <c r="T266" s="119" t="n"/>
      <c r="U266" s="118" t="n"/>
      <c r="V266" s="118" t="n"/>
      <c r="W266" s="119" t="n"/>
      <c r="X266" s="119" t="n"/>
    </row>
    <row r="267" ht="17" customHeight="1">
      <c r="A267" s="117" t="inlineStr">
        <is>
          <t>select_one status</t>
        </is>
      </c>
      <c r="B267" s="117" t="inlineStr">
        <is>
          <t>call_status_b</t>
        </is>
      </c>
      <c r="C267" s="121" t="inlineStr">
        <is>
          <t>Please report the status of this call:</t>
        </is>
      </c>
      <c r="D267" s="118" t="n"/>
      <c r="E267" s="119" t="n"/>
      <c r="F267" s="119" t="n"/>
      <c r="G267" s="118" t="n"/>
      <c r="H267" s="118" t="n"/>
      <c r="I267" s="118" t="n"/>
      <c r="J267" s="119" t="n"/>
      <c r="K267" s="117" t="inlineStr">
        <is>
          <t>yes</t>
        </is>
      </c>
      <c r="L267" s="118" t="n"/>
      <c r="M267" s="119" t="n"/>
      <c r="N267" s="118" t="n"/>
      <c r="O267" s="119" t="n"/>
      <c r="P267" s="119" t="n"/>
      <c r="Q267" s="119" t="n"/>
      <c r="R267" s="119" t="n"/>
      <c r="S267" s="118" t="n"/>
      <c r="T267" s="119" t="n"/>
      <c r="U267" s="118" t="n"/>
      <c r="V267" s="118" t="n"/>
      <c r="W267" s="119" t="n"/>
      <c r="X267" s="119" t="n"/>
    </row>
    <row r="268">
      <c r="A268" s="117" t="inlineStr">
        <is>
          <t>calculate</t>
        </is>
      </c>
      <c r="B268" s="117" t="inlineStr">
        <is>
          <t>call_status_lab_b</t>
        </is>
      </c>
      <c r="C268" s="118" t="n"/>
      <c r="D268" s="118" t="n"/>
      <c r="E268" s="119" t="n"/>
      <c r="F268" s="119" t="n"/>
      <c r="G268" s="118" t="n"/>
      <c r="H268" s="118" t="n"/>
      <c r="I268" s="118" t="n"/>
      <c r="J268" s="119" t="n"/>
      <c r="K268" s="119" t="n"/>
      <c r="L268" s="118" t="n"/>
      <c r="M268" s="119" t="n"/>
      <c r="N268" s="120" t="inlineStr">
        <is>
          <t>choice-label(${call_status_b}, ${call_status_b})</t>
        </is>
      </c>
      <c r="O268" s="119" t="n"/>
      <c r="P268" s="119" t="n"/>
      <c r="Q268" s="119" t="n"/>
      <c r="R268" s="119" t="n"/>
      <c r="S268" s="118" t="n"/>
      <c r="T268" s="119" t="n"/>
      <c r="U268" s="118" t="n"/>
      <c r="V268" s="118" t="n"/>
      <c r="W268" s="119" t="n"/>
      <c r="X268" s="119" t="n"/>
    </row>
    <row r="269" ht="17" customHeight="1">
      <c r="A269" s="117" t="inlineStr">
        <is>
          <t>calculate</t>
        </is>
      </c>
      <c r="B269" s="117" t="inlineStr">
        <is>
          <t>reach_b</t>
        </is>
      </c>
      <c r="C269" s="121" t="inlineStr">
        <is>
          <t>1 if household is reached (someone answered the call), 0 otherwise</t>
        </is>
      </c>
      <c r="D269" s="118" t="n"/>
      <c r="E269" s="119" t="n"/>
      <c r="F269" s="119" t="n"/>
      <c r="G269" s="118" t="n"/>
      <c r="H269" s="118" t="n"/>
      <c r="I269" s="118" t="n"/>
      <c r="J269" s="119" t="n"/>
      <c r="K269" s="119" t="n"/>
      <c r="L269" s="118" t="n"/>
      <c r="M269" s="119" t="n"/>
      <c r="N269" s="120" t="inlineStr">
        <is>
          <t>if(${call_status_b} &lt;= 3, '1', '0')</t>
        </is>
      </c>
      <c r="O269" s="119" t="n"/>
      <c r="P269" s="119" t="n"/>
      <c r="Q269" s="119" t="n"/>
      <c r="R269" s="119" t="n"/>
      <c r="S269" s="118" t="n"/>
      <c r="T269" s="119" t="n"/>
      <c r="U269" s="118" t="n"/>
      <c r="V269" s="118" t="n"/>
      <c r="W269" s="119" t="n"/>
      <c r="X269" s="119" t="n"/>
    </row>
    <row r="270" ht="17" customHeight="1">
      <c r="A270" s="117" t="inlineStr">
        <is>
          <t>calculate</t>
        </is>
      </c>
      <c r="B270" s="117" t="inlineStr">
        <is>
          <t>stud_levelled_b</t>
        </is>
      </c>
      <c r="C270" s="121" t="inlineStr">
        <is>
          <t>1 if student is levelled/assessed, 0 otherwise</t>
        </is>
      </c>
      <c r="D270" s="118" t="n"/>
      <c r="E270" s="119" t="n"/>
      <c r="F270" s="119" t="n"/>
      <c r="G270" s="118" t="n"/>
      <c r="H270" s="118" t="n"/>
      <c r="I270" s="118" t="n"/>
      <c r="J270" s="119" t="n"/>
      <c r="K270" s="119" t="n"/>
      <c r="L270" s="118" t="n"/>
      <c r="M270" s="119" t="n"/>
      <c r="N270" s="120" t="inlineStr">
        <is>
          <t>if(${stud_level_num_b} != null, '1', '0')</t>
        </is>
      </c>
      <c r="O270" s="119" t="n"/>
      <c r="P270" s="119" t="n"/>
      <c r="Q270" s="119" t="n"/>
      <c r="R270" s="119" t="n"/>
      <c r="S270" s="118" t="n"/>
      <c r="T270" s="119" t="n"/>
      <c r="U270" s="118" t="n"/>
      <c r="V270" s="118" t="n"/>
      <c r="W270" s="119" t="n"/>
      <c r="X270" s="119" t="n"/>
    </row>
    <row r="271" ht="102" customHeight="1">
      <c r="A271" s="117" t="inlineStr">
        <is>
          <t>note</t>
        </is>
      </c>
      <c r="B271" s="117" t="inlineStr">
        <is>
          <t>warning_status_completed</t>
        </is>
      </c>
      <c r="C271" s="122" t="inlineStr">
        <is>
          <t>&lt;p&gt;&lt;span style="color: #ff0000;"&gt;&lt;strong&gt;WARNING!&lt;/strong&gt;&lt;/span&gt;&lt;br /&gt; &lt;br /&gt;&lt;span style="color: #ff0000;"&gt;&lt;/p&gt;
&lt;p&gt;&lt;span style="color: #ff0000;"&gt;There is no indication that the survey is complete (i.e., caregiver is interviewed and student is levelled). Please go back and change your response accordingly.&lt;/span&gt;&lt;br /&gt; &lt;br /&gt;&lt;span style="color: #ff0000;"&gt;&lt;/p&gt;</t>
        </is>
      </c>
      <c r="D271" s="118" t="n"/>
      <c r="E271" s="119" t="n"/>
      <c r="F271" s="119" t="n"/>
      <c r="G271" s="118" t="n"/>
      <c r="H271" s="118" t="n"/>
      <c r="I271" s="120" t="inlineStr">
        <is>
          <t>selected(${call_status_b}, '1') and (${caregiver_interviewed_b} != 1 and ${stud_level_num_b} = null)</t>
        </is>
      </c>
      <c r="J271" s="119" t="n"/>
      <c r="K271" s="117" t="inlineStr">
        <is>
          <t>yes</t>
        </is>
      </c>
      <c r="L271" s="118" t="n"/>
      <c r="M271" s="119" t="n"/>
      <c r="N271" s="120" t="n"/>
      <c r="O271" s="119" t="n"/>
      <c r="P271" s="119" t="n"/>
      <c r="Q271" s="119" t="n"/>
      <c r="R271" s="119" t="n"/>
      <c r="S271" s="118" t="n"/>
      <c r="T271" s="119" t="n"/>
      <c r="U271" s="118" t="n"/>
      <c r="V271" s="118" t="n"/>
      <c r="W271" s="119" t="n"/>
      <c r="X271" s="119" t="n"/>
    </row>
    <row r="272" ht="102" customHeight="1">
      <c r="A272" s="117" t="inlineStr">
        <is>
          <t>note</t>
        </is>
      </c>
      <c r="B272" s="117" t="inlineStr">
        <is>
          <t>warning_status_onlycaregiver</t>
        </is>
      </c>
      <c r="C272" s="122" t="inlineStr">
        <is>
          <t>&lt;p&gt;&lt;span style="color: #ff0000;"&gt;&lt;strong&gt;WARNING!&lt;/strong&gt;&lt;/span&gt;&lt;br /&gt; &lt;br /&gt;&lt;span style="color: #ff0000;"&gt;&lt;/p&gt;
&lt;p&gt;&lt;span style="color: #ff0000;"&gt;It does not seem that only the caregiver is interviewed at this time. Please go back and change your response accordingly.&lt;/span&gt;&lt;br /&gt; &lt;br /&gt;&lt;span style="color: #ff0000;"&gt;&lt;/p&gt;</t>
        </is>
      </c>
      <c r="D272" s="118" t="n"/>
      <c r="E272" s="119" t="n"/>
      <c r="F272" s="119" t="n"/>
      <c r="G272" s="118" t="n"/>
      <c r="H272" s="118" t="n"/>
      <c r="I272" s="120" t="inlineStr">
        <is>
          <t>(selected(${call_status_b}, '2') and (${caregiver_interviewed_b} = 1 and ${stud_level_num_b} != null)) or (selected(${call_status_b}, '2') and ${caregiver_interviewed_b} != 1)</t>
        </is>
      </c>
      <c r="J272" s="119" t="n"/>
      <c r="K272" s="117" t="inlineStr">
        <is>
          <t>yes</t>
        </is>
      </c>
      <c r="L272" s="118" t="n"/>
      <c r="M272" s="119" t="n"/>
      <c r="N272" s="120" t="n"/>
      <c r="O272" s="119" t="n"/>
      <c r="P272" s="119" t="n"/>
      <c r="Q272" s="119" t="n"/>
      <c r="R272" s="119" t="n"/>
      <c r="S272" s="118" t="n"/>
      <c r="T272" s="119" t="n"/>
      <c r="U272" s="118" t="n"/>
      <c r="V272" s="118" t="n"/>
      <c r="W272" s="119" t="n"/>
      <c r="X272" s="119" t="n"/>
    </row>
    <row r="273" ht="102" customHeight="1">
      <c r="A273" s="117" t="inlineStr">
        <is>
          <t>note</t>
        </is>
      </c>
      <c r="B273" s="117" t="inlineStr">
        <is>
          <t>warning_status_onlystudent</t>
        </is>
      </c>
      <c r="C273" s="122" t="inlineStr">
        <is>
          <t>&lt;p&gt;&lt;span style="color: #ff0000;"&gt;&lt;strong&gt;WARNING!&lt;/strong&gt;&lt;/span&gt;&lt;br /&gt; &lt;br /&gt;&lt;span style="color: #ff0000;"&gt;&lt;/p&gt;
&lt;p&gt;&lt;span style="color: #ff0000;"&gt;It does not seem that only the student is assessed/levelled at this time. Please go back and change your response accordingly.&lt;/span&gt;&lt;br /&gt; &lt;br /&gt;&lt;span style="color: #ff0000;"&gt;&lt;/p&gt;</t>
        </is>
      </c>
      <c r="D273" s="118" t="n"/>
      <c r="E273" s="119" t="n"/>
      <c r="F273" s="119" t="n"/>
      <c r="G273" s="118" t="n"/>
      <c r="H273" s="118" t="n"/>
      <c r="I273" s="120" t="inlineStr">
        <is>
          <t>selected(${call_status_b}, '0') and (${caregiver_interviewed_prev} != 1 and ${confirm_stud_avail} != 1)</t>
        </is>
      </c>
      <c r="J273" s="119" t="n"/>
      <c r="K273" s="117" t="inlineStr">
        <is>
          <t>yes</t>
        </is>
      </c>
      <c r="L273" s="118" t="n"/>
      <c r="M273" s="119" t="n"/>
      <c r="N273" s="120" t="n"/>
      <c r="O273" s="119" t="n"/>
      <c r="P273" s="119" t="n"/>
      <c r="Q273" s="119" t="n"/>
      <c r="R273" s="119" t="n"/>
      <c r="S273" s="118" t="n"/>
      <c r="T273" s="119" t="n"/>
      <c r="U273" s="118" t="n"/>
      <c r="V273" s="118" t="n"/>
      <c r="W273" s="119" t="n"/>
      <c r="X273" s="119" t="n"/>
    </row>
    <row r="274" ht="102" customHeight="1">
      <c r="A274" s="117" t="inlineStr">
        <is>
          <t>note</t>
        </is>
      </c>
      <c r="B274" s="117" t="inlineStr">
        <is>
          <t>warning_status_resched</t>
        </is>
      </c>
      <c r="C274" s="122" t="inlineStr">
        <is>
          <t>&lt;p&gt;&lt;span style="color: #ff0000;"&gt;&lt;strong&gt;WARNING!&lt;/strong&gt;&lt;/span&gt;&lt;br /&gt; &lt;br /&gt;&lt;span style="color: #ff0000;"&gt;&lt;/p&gt;
&lt;p&gt;&lt;span style="color: #ff0000;"&gt;There is no indication that the caregiver/call recipient re-scheduled the call. Please go back and change your response accordingly.&lt;/span&gt;&lt;br /&gt; &lt;br /&gt;&lt;span style="color: #ff0000;"&gt;&lt;/p&gt;</t>
        </is>
      </c>
      <c r="D274" s="118" t="n"/>
      <c r="E274" s="119" t="n"/>
      <c r="F274" s="119" t="n"/>
      <c r="G274" s="118" t="n"/>
      <c r="H274" s="118" t="n"/>
      <c r="I274" s="120" t="inlineStr">
        <is>
          <t>selected(${call_status_b}, '3') and ${callback_time} = null</t>
        </is>
      </c>
      <c r="J274" s="119" t="n"/>
      <c r="K274" s="117" t="inlineStr">
        <is>
          <t>yes</t>
        </is>
      </c>
      <c r="L274" s="118" t="n"/>
      <c r="M274" s="119" t="n"/>
      <c r="N274" s="120" t="n"/>
      <c r="O274" s="119" t="n"/>
      <c r="P274" s="119" t="n"/>
      <c r="Q274" s="119" t="n"/>
      <c r="R274" s="119" t="n"/>
      <c r="S274" s="118" t="n"/>
      <c r="T274" s="119" t="n"/>
      <c r="U274" s="118" t="n"/>
      <c r="V274" s="118" t="n"/>
      <c r="W274" s="119" t="n"/>
      <c r="X274" s="119" t="n"/>
    </row>
    <row r="275" ht="85" customHeight="1">
      <c r="A275" s="117" t="inlineStr">
        <is>
          <t>note</t>
        </is>
      </c>
      <c r="B275" s="117" t="inlineStr">
        <is>
          <t>warning_status_noanswer</t>
        </is>
      </c>
      <c r="C275" s="122" t="inlineStr">
        <is>
          <t>&lt;p&gt;&lt;span style="color: #ff0000;"&gt;&lt;strong&gt;WARNING!&lt;/strong&gt;&lt;/span&gt;&lt;br /&gt; &lt;br /&gt;&lt;span style="color: #ff0000;"&gt;&lt;/p&gt;
&lt;p&gt;&lt;span style="color: #ff0000;"&gt;There is no indication that the call is not answered. Please go back and change your response accordingly.&lt;/span&gt;&lt;br /&gt; &lt;br /&gt;&lt;span style="color: #ff0000;"&gt;&lt;/p&gt;</t>
        </is>
      </c>
      <c r="D275" s="118" t="n"/>
      <c r="E275" s="119" t="n"/>
      <c r="F275" s="119" t="n"/>
      <c r="G275" s="118" t="n"/>
      <c r="H275" s="118" t="n"/>
      <c r="I275" s="120" t="inlineStr">
        <is>
          <t>selected(${call_status_b}, '4') and not(selected(${phone_call_response}, '3'))</t>
        </is>
      </c>
      <c r="J275" s="119" t="n"/>
      <c r="K275" s="117" t="inlineStr">
        <is>
          <t>yes</t>
        </is>
      </c>
      <c r="L275" s="118" t="n"/>
      <c r="M275" s="119" t="n"/>
      <c r="N275" s="120" t="n"/>
      <c r="O275" s="119" t="n"/>
      <c r="P275" s="119" t="n"/>
      <c r="Q275" s="119" t="n"/>
      <c r="R275" s="119" t="n"/>
      <c r="S275" s="118" t="n"/>
      <c r="T275" s="119" t="n"/>
      <c r="U275" s="118" t="n"/>
      <c r="V275" s="118" t="n"/>
      <c r="W275" s="119" t="n"/>
      <c r="X275" s="119" t="n"/>
    </row>
    <row r="276" ht="102" customHeight="1">
      <c r="A276" s="117" t="inlineStr">
        <is>
          <t>note</t>
        </is>
      </c>
      <c r="B276" s="117" t="inlineStr">
        <is>
          <t>warning_status_refusal</t>
        </is>
      </c>
      <c r="C276" s="122" t="inlineStr">
        <is>
          <t>&lt;p&gt;&lt;span style="color: #ff0000;"&gt;&lt;strong&gt;WARNING!&lt;/strong&gt;&lt;/span&gt;&lt;br /&gt; &lt;br /&gt;&lt;span style="color: #ff0000;"&gt;&lt;/p&gt;
&lt;p&gt;&lt;span style="color: #ff0000;"&gt;There is no indication that the caregiver did not consent to the survey. Please go back and change your response accordingly.&lt;/span&gt;&lt;br /&gt; &lt;br /&gt;&lt;span style="color: #ff0000;"&gt;&lt;/p&gt;</t>
        </is>
      </c>
      <c r="D276" s="118" t="n"/>
      <c r="E276" s="119" t="n"/>
      <c r="F276" s="119" t="n"/>
      <c r="G276" s="118" t="n"/>
      <c r="H276" s="118" t="n"/>
      <c r="I276" s="120" t="inlineStr">
        <is>
          <t>selected(${call_status_b}, '5') and ${consent_b} != 0</t>
        </is>
      </c>
      <c r="J276" s="119" t="n"/>
      <c r="K276" s="117" t="inlineStr">
        <is>
          <t>yes</t>
        </is>
      </c>
      <c r="L276" s="118" t="n"/>
      <c r="M276" s="119" t="n"/>
      <c r="N276" s="120" t="n"/>
      <c r="O276" s="119" t="n"/>
      <c r="P276" s="119" t="n"/>
      <c r="Q276" s="119" t="n"/>
      <c r="R276" s="119" t="n"/>
      <c r="S276" s="118" t="n"/>
      <c r="T276" s="119" t="n"/>
      <c r="U276" s="118" t="n"/>
      <c r="V276" s="118" t="n"/>
      <c r="W276" s="119" t="n"/>
      <c r="X276" s="119" t="n"/>
    </row>
    <row r="277" ht="85" customHeight="1">
      <c r="A277" s="117" t="inlineStr">
        <is>
          <t>note</t>
        </is>
      </c>
      <c r="B277" s="117" t="inlineStr">
        <is>
          <t>warning_status_wrongno</t>
        </is>
      </c>
      <c r="C277" s="122" t="inlineStr">
        <is>
          <t>&lt;p&gt;&lt;span style="color: #ff0000;"&gt;&lt;strong&gt;WARNING!&lt;/strong&gt;&lt;/span&gt;&lt;br /&gt; &lt;br /&gt;&lt;span style="color: #ff0000;"&gt;&lt;/p&gt;
&lt;p&gt;&lt;span style="color: #ff0000;"&gt;There is no indication that the phone number is wrong or invalid. Please go back and change your response accordingly.&lt;/span&gt;&lt;br /&gt; &lt;br /&gt;&lt;span style="color: #ff0000;"&gt;&lt;/p&gt;</t>
        </is>
      </c>
      <c r="D277" s="118" t="n"/>
      <c r="E277" s="119" t="n"/>
      <c r="F277" s="119" t="n"/>
      <c r="G277" s="118" t="n"/>
      <c r="H277" s="118" t="n"/>
      <c r="I277" s="120" t="inlineStr">
        <is>
          <t>selected(${call_status_b}, '6') and not(selected(${phone_call_response}, '4'))</t>
        </is>
      </c>
      <c r="J277" s="119" t="n"/>
      <c r="K277" s="117" t="inlineStr">
        <is>
          <t>yes</t>
        </is>
      </c>
      <c r="L277" s="118" t="n"/>
      <c r="M277" s="119" t="n"/>
      <c r="N277" s="120" t="n"/>
      <c r="O277" s="119" t="n"/>
      <c r="P277" s="119" t="n"/>
      <c r="Q277" s="119" t="n"/>
      <c r="R277" s="119" t="n"/>
      <c r="S277" s="118" t="n"/>
      <c r="T277" s="119" t="n"/>
      <c r="U277" s="118" t="n"/>
      <c r="V277" s="118" t="n"/>
      <c r="W277" s="119" t="n"/>
      <c r="X277" s="119" t="n"/>
    </row>
    <row r="278">
      <c r="A278" s="117" t="inlineStr">
        <is>
          <t>end group</t>
        </is>
      </c>
      <c r="B278" s="117" t="inlineStr">
        <is>
          <t>end_call</t>
        </is>
      </c>
      <c r="C278" s="118" t="n"/>
      <c r="D278" s="118" t="n"/>
      <c r="E278" s="119" t="n"/>
      <c r="F278" s="119" t="n"/>
      <c r="G278" s="118" t="n"/>
      <c r="H278" s="118" t="n"/>
      <c r="I278" s="118" t="n"/>
      <c r="J278" s="119" t="n"/>
      <c r="K278" s="119" t="n"/>
      <c r="L278" s="118" t="n"/>
      <c r="M278" s="119" t="n"/>
      <c r="N278" s="118" t="n"/>
      <c r="O278" s="119" t="n"/>
      <c r="P278" s="119" t="n"/>
      <c r="Q278" s="119" t="n"/>
      <c r="R278" s="119" t="n"/>
      <c r="S278" s="118" t="n"/>
      <c r="T278" s="119" t="n"/>
      <c r="U278" s="118" t="n"/>
      <c r="V278" s="118" t="n"/>
      <c r="W278" s="119" t="n"/>
      <c r="X278" s="119" t="n"/>
    </row>
    <row r="279">
      <c r="A279" s="119" t="n"/>
      <c r="B279" s="119" t="n"/>
      <c r="C279" s="118" t="n"/>
      <c r="D279" s="118" t="n"/>
      <c r="E279" s="119" t="n"/>
      <c r="F279" s="119" t="n"/>
      <c r="G279" s="118" t="n"/>
      <c r="H279" s="118" t="n"/>
      <c r="I279" s="118" t="n"/>
      <c r="J279" s="119" t="n"/>
      <c r="K279" s="119" t="n"/>
      <c r="L279" s="118" t="n"/>
      <c r="M279" s="119" t="n"/>
      <c r="N279" s="118" t="n"/>
      <c r="O279" s="119" t="n"/>
      <c r="P279" s="119" t="n"/>
      <c r="Q279" s="119" t="n"/>
      <c r="R279" s="119" t="n"/>
      <c r="S279" s="118" t="n"/>
      <c r="T279" s="119" t="n"/>
      <c r="U279" s="118" t="n"/>
      <c r="V279" s="118" t="n"/>
      <c r="W279" s="119" t="n"/>
      <c r="X279" s="119" t="n"/>
    </row>
    <row r="280" ht="17" customHeight="1">
      <c r="A280" s="117" t="inlineStr">
        <is>
          <t>calculate_here</t>
        </is>
      </c>
      <c r="B280" s="117" t="inlineStr">
        <is>
          <t>survey_end_ts</t>
        </is>
      </c>
      <c r="C280" s="121" t="inlineStr">
        <is>
          <t>Calculates actual end time of survey (after call status is inputted)</t>
        </is>
      </c>
      <c r="D280" s="118" t="n"/>
      <c r="E280" s="119" t="n"/>
      <c r="F280" s="119" t="n"/>
      <c r="G280" s="118" t="n"/>
      <c r="H280" s="118" t="n"/>
      <c r="I280" s="118" t="n"/>
      <c r="J280" s="119" t="n"/>
      <c r="K280" s="119" t="n"/>
      <c r="L280" s="118" t="n"/>
      <c r="M280" s="119" t="n"/>
      <c r="N280" s="120" t="inlineStr">
        <is>
          <t>once(duration())</t>
        </is>
      </c>
      <c r="O280" s="119" t="n"/>
      <c r="P280" s="119" t="n"/>
      <c r="Q280" s="119" t="n"/>
      <c r="R280" s="119" t="n"/>
      <c r="S280" s="118" t="n"/>
      <c r="T280" s="119" t="n"/>
      <c r="U280" s="118" t="n"/>
      <c r="V280" s="118" t="n"/>
      <c r="W280" s="119" t="n"/>
      <c r="X280" s="119" t="n"/>
    </row>
    <row r="281">
      <c r="A281" s="119" t="n"/>
      <c r="B281" s="119" t="n"/>
      <c r="C281" s="118" t="n"/>
      <c r="D281" s="118" t="n"/>
      <c r="E281" s="119" t="n"/>
      <c r="F281" s="119" t="n"/>
      <c r="G281" s="118" t="n"/>
      <c r="H281" s="118" t="n"/>
      <c r="I281" s="118" t="n"/>
      <c r="J281" s="119" t="n"/>
      <c r="K281" s="119" t="n"/>
      <c r="L281" s="118" t="n"/>
      <c r="M281" s="119" t="n"/>
      <c r="N281" s="118" t="n"/>
      <c r="O281" s="119" t="n"/>
      <c r="P281" s="119" t="n"/>
      <c r="Q281" s="119" t="n"/>
      <c r="R281" s="119" t="n"/>
      <c r="S281" s="118" t="n"/>
      <c r="T281" s="119" t="n"/>
      <c r="U281" s="118" t="n"/>
      <c r="V281" s="118" t="n"/>
      <c r="W281" s="119" t="n"/>
      <c r="X281" s="119" t="n"/>
    </row>
    <row r="282" ht="17" customHeight="1">
      <c r="A282" s="117" t="inlineStr">
        <is>
          <t>text</t>
        </is>
      </c>
      <c r="B282" s="117" t="inlineStr">
        <is>
          <t>fac_comments</t>
        </is>
      </c>
      <c r="C282" s="121" t="inlineStr">
        <is>
          <t>Do you have any comments you would like to record?</t>
        </is>
      </c>
      <c r="D282" s="118" t="n"/>
      <c r="E282" s="119" t="n"/>
      <c r="F282" s="119" t="n"/>
      <c r="G282" s="118" t="n"/>
      <c r="H282" s="118" t="n"/>
      <c r="I282" s="118" t="n"/>
      <c r="J282" s="119" t="n"/>
      <c r="K282" s="119" t="n"/>
      <c r="L282" s="118" t="n"/>
      <c r="M282" s="119" t="n"/>
      <c r="N282" s="118" t="n"/>
      <c r="O282" s="119" t="n"/>
      <c r="P282" s="119" t="n"/>
      <c r="Q282" s="119" t="n"/>
      <c r="R282" s="119" t="n"/>
      <c r="S282" s="118" t="n"/>
      <c r="T282" s="119" t="n"/>
      <c r="U282" s="118" t="n"/>
      <c r="V282" s="118" t="n"/>
      <c r="W282" s="119" t="n"/>
      <c r="X282" s="119" t="n"/>
    </row>
    <row r="283" ht="109.25" customHeight="1">
      <c r="A283" s="117" t="inlineStr">
        <is>
          <t>note</t>
        </is>
      </c>
      <c r="B283" s="117" t="inlineStr">
        <is>
          <t>thankyou</t>
        </is>
      </c>
      <c r="C283" s="121" t="inlineStr">
        <is>
          <t>Thank you for completing this form and for being a part of mEducation!</t>
        </is>
      </c>
      <c r="D283" s="118" t="n"/>
      <c r="E283" s="119" t="n"/>
      <c r="F283" s="117" t="inlineStr">
        <is>
          <t>thankyou</t>
        </is>
      </c>
      <c r="G283" s="118" t="n"/>
      <c r="H283" s="118" t="n"/>
      <c r="I283" s="118" t="n"/>
      <c r="J283" s="119" t="n"/>
      <c r="K283" s="119" t="n"/>
      <c r="L283" s="118" t="n"/>
      <c r="M283" s="119" t="n"/>
      <c r="N283" s="118" t="n"/>
      <c r="O283" s="119" t="n"/>
      <c r="P283" s="119" t="n"/>
      <c r="Q283" s="119" t="n"/>
      <c r="R283" s="119" t="n"/>
      <c r="S283" s="118" t="n"/>
      <c r="T283" s="119" t="n"/>
      <c r="U283" s="118" t="n"/>
      <c r="V283" s="118" t="n"/>
      <c r="W283" s="119" t="n"/>
      <c r="X283" s="119" t="n"/>
    </row>
    <row r="284">
      <c r="A284" s="119" t="n"/>
      <c r="B284" s="119" t="n"/>
      <c r="C284" s="118" t="n"/>
      <c r="D284" s="118" t="n"/>
      <c r="E284" s="119" t="n"/>
      <c r="F284" s="119" t="n"/>
      <c r="G284" s="118" t="n"/>
      <c r="H284" s="118" t="n"/>
      <c r="I284" s="118" t="n"/>
      <c r="J284" s="119" t="n"/>
      <c r="K284" s="119" t="n"/>
      <c r="L284" s="118" t="n"/>
      <c r="M284" s="119" t="n"/>
      <c r="N284" s="118" t="n"/>
      <c r="O284" s="119" t="n"/>
      <c r="P284" s="119" t="n"/>
      <c r="Q284" s="119" t="n"/>
      <c r="R284" s="119" t="n"/>
      <c r="S284" s="118" t="n"/>
      <c r="T284" s="119" t="n"/>
      <c r="U284" s="118" t="n"/>
      <c r="V284" s="118" t="n"/>
      <c r="W284" s="119" t="n"/>
      <c r="X284" s="119" t="n"/>
    </row>
    <row r="285" ht="17" customHeight="1">
      <c r="A285" s="117" t="inlineStr">
        <is>
          <t>calculate</t>
        </is>
      </c>
      <c r="B285" s="117" t="inlineStr">
        <is>
          <t>add_call</t>
        </is>
      </c>
      <c r="C285" s="121" t="inlineStr">
        <is>
          <t>Used for "Add" publishing to add to 'num_calls' in the server/cases dataset</t>
        </is>
      </c>
      <c r="D285" s="118" t="n"/>
      <c r="E285" s="119" t="n"/>
      <c r="F285" s="119" t="n"/>
      <c r="G285" s="118" t="n"/>
      <c r="H285" s="118" t="n"/>
      <c r="I285" s="118" t="n"/>
      <c r="J285" s="119" t="n"/>
      <c r="K285" s="119" t="n"/>
      <c r="L285" s="118" t="n"/>
      <c r="M285" s="119" t="n"/>
      <c r="N285" s="120" t="n">
        <v>1</v>
      </c>
      <c r="O285" s="119" t="n"/>
      <c r="P285" s="119" t="n"/>
      <c r="Q285" s="119" t="n"/>
      <c r="R285" s="119" t="n"/>
      <c r="S285" s="118" t="n"/>
      <c r="T285" s="119" t="n"/>
      <c r="U285" s="118" t="n"/>
      <c r="V285" s="118" t="n"/>
      <c r="W285" s="119" t="n"/>
      <c r="X285" s="119" t="n"/>
    </row>
  </sheetData>
  <conditionalFormatting sqref="A154 A155:X155 A156:B157 C154:X154 D156:X157">
    <cfRule type="expression" priority="639" dxfId="1" stopIfTrue="1">
      <formula>$A154="begin group"</formula>
    </cfRule>
    <cfRule type="expression" priority="638" dxfId="1" stopIfTrue="1">
      <formula>$A154="end group"</formula>
    </cfRule>
    <cfRule type="expression" priority="637" dxfId="2" stopIfTrue="1">
      <formula>$A154="begin repeat"</formula>
    </cfRule>
    <cfRule type="expression" priority="636" dxfId="2" stopIfTrue="1">
      <formula>$A154="end repeat"</formula>
    </cfRule>
    <cfRule type="expression" priority="633" dxfId="5" stopIfTrue="1">
      <formula>$A154="integer"</formula>
    </cfRule>
    <cfRule type="expression" priority="632" dxfId="6" stopIfTrue="1">
      <formula>$A154="decimal"</formula>
    </cfRule>
    <cfRule type="expression" priority="629" dxfId="0" stopIfTrue="1">
      <formula>OR($A154="username", $A154="phonenumber", $A154="start", $A154="end", $A154="deviceid", $A154="subscriberid", $A154="simserial", $A154="caseid")</formula>
    </cfRule>
    <cfRule type="expression" priority="612" dxfId="24" stopIfTrue="1">
      <formula>$A154="comments"</formula>
    </cfRule>
    <cfRule type="expression" priority="616" dxfId="22" stopIfTrue="1">
      <formula>$A154="image"</formula>
    </cfRule>
    <cfRule type="expression" priority="618" dxfId="21" stopIfTrue="1">
      <formula>OR($A154="date", $A154="datetime", $A154="time")</formula>
    </cfRule>
    <cfRule type="expression" priority="620" dxfId="11" stopIfTrue="1">
      <formula>OR($A154="calculate", $A154="calculate_here")</formula>
    </cfRule>
    <cfRule type="expression" priority="628" dxfId="8" stopIfTrue="1">
      <formula>OR($A154="audio audit", $A154="text audit", $A154="speed violations count", $A154="speed violations list", $A154="speed violations audit")</formula>
    </cfRule>
    <cfRule type="expression" priority="631" dxfId="7" stopIfTrue="1">
      <formula>OR(AND(LEFT($A154, 16)="select_multiple ", LEN($A154)&gt;16, NOT(ISNUMBER(SEARCH(" ", $A154, 17)))), AND(LEFT($A154, 11)="select_one ", LEN($A154)&gt;11, NOT(ISNUMBER(SEARCH(" ", $A154, 12)))))</formula>
    </cfRule>
    <cfRule type="expression" priority="610" dxfId="88" stopIfTrue="1">
      <formula>OR(AND(LEFT($A154, 14)="sensor_stream ", LEN($A154)&gt;14, NOT(ISNUMBER(SEARCH(" ", $A154, 15)))), AND(LEFT($A154, 17)="sensor_statistic ", LEN($A154)&gt;17, NOT(ISNUMBER(SEARCH(" ", $A154, 18)))))</formula>
    </cfRule>
    <cfRule type="expression" priority="635" dxfId="4" stopIfTrue="1">
      <formula>$A154="text"</formula>
    </cfRule>
  </conditionalFormatting>
  <conditionalFormatting sqref="A1:X12 A15:X15 A16:B16 A19:X25 A26:B26 A27:X28 A29:B31 A32:X32 A34:X39 A41:X66 A69:X96 A97 A98:X105 A106:F107 A108:X119 A121:X128 A129:F130 A131:X150 A151:S151 A153:X153 A162:M163 A165:M168 A169:X217 A219:X224 A226:X270 A271:B277 A278:X283 A285:X1048576 C97:X97 C218:X218 D16:X16 D26:X26 D29:X31 D225:X225 D271:H274 D275:X277 I106:X107 I129:X130 J271:X274 O162:X163 O165:X168 U151:X151">
    <cfRule type="expression" priority="2856" dxfId="87" stopIfTrue="1">
      <formula>$A1="enumerator"</formula>
    </cfRule>
    <cfRule type="expression" priority="6469" dxfId="85" stopIfTrue="1">
      <formula>$A1="file"</formula>
    </cfRule>
  </conditionalFormatting>
  <conditionalFormatting sqref="A218:B218">
    <cfRule type="expression" priority="330" dxfId="1" stopIfTrue="1">
      <formula>$A218="end group"</formula>
    </cfRule>
    <cfRule type="expression" priority="328" dxfId="2" stopIfTrue="1">
      <formula>$A218="end repeat"</formula>
    </cfRule>
    <cfRule type="expression" priority="307" dxfId="88" stopIfTrue="1">
      <formula>OR(AND(LEFT($A218, 14)="sensor_stream ", LEN($A218)&gt;14, NOT(ISNUMBER(SEARCH(" ", $A218, 15)))), AND(LEFT($A218, 17)="sensor_statistic ", LEN($A218)&gt;17, NOT(ISNUMBER(SEARCH(" ", $A218, 18)))))</formula>
    </cfRule>
    <cfRule type="expression" priority="304" dxfId="85" stopIfTrue="1">
      <formula>$A218="file"</formula>
    </cfRule>
    <cfRule type="expression" priority="299" dxfId="87" stopIfTrue="1">
      <formula>$A218="enumerator"</formula>
    </cfRule>
    <cfRule type="expression" priority="311" dxfId="23" stopIfTrue="1">
      <formula>OR($A218="audio", $A218="video")</formula>
    </cfRule>
    <cfRule type="expression" priority="313" dxfId="22" stopIfTrue="1">
      <formula>$A218="image"</formula>
    </cfRule>
    <cfRule type="expression" priority="315" dxfId="21" stopIfTrue="1">
      <formula>OR($A218="date", $A218="datetime", $A218="time")</formula>
    </cfRule>
    <cfRule type="expression" priority="317" dxfId="12" stopIfTrue="1">
      <formula>$A218="note"</formula>
    </cfRule>
    <cfRule type="expression" priority="329" dxfId="2" stopIfTrue="1">
      <formula>$A218="begin repeat"</formula>
    </cfRule>
    <cfRule type="expression" priority="318" dxfId="10" stopIfTrue="1">
      <formula>$A218="barcode"</formula>
    </cfRule>
    <cfRule type="expression" priority="319" dxfId="9" stopIfTrue="1">
      <formula>OR($A218="geopoint", $A218="geoshape", $A218="geotrace")</formula>
    </cfRule>
    <cfRule type="expression" priority="321" dxfId="8" stopIfTrue="1">
      <formula>OR($A218="audio audit", $A218="text audit", $A218="speed violations count", $A218="speed violations list", $A218="speed violations audit")</formula>
    </cfRule>
    <cfRule type="expression" priority="322" dxfId="0" stopIfTrue="1">
      <formula>OR($A218="username", $A218="phonenumber", $A218="start", $A218="end", $A218="deviceid", $A218="subscriberid", $A218="simserial", $A218="caseid")</formula>
    </cfRule>
    <cfRule type="expression" priority="324" dxfId="7" stopIfTrue="1">
      <formula>OR(AND(LEFT($A218, 16)="select_multiple ", LEN($A218)&gt;16, NOT(ISNUMBER(SEARCH(" ", $A218, 17)))), AND(LEFT($A218, 11)="select_one ", LEN($A218)&gt;11, NOT(ISNUMBER(SEARCH(" ", $A218, 12)))))</formula>
    </cfRule>
    <cfRule type="expression" priority="331" dxfId="1" stopIfTrue="1">
      <formula>$A218="begin group"</formula>
    </cfRule>
    <cfRule type="expression" priority="325" dxfId="6" stopIfTrue="1">
      <formula>$A218="decimal"</formula>
    </cfRule>
    <cfRule type="expression" priority="326" dxfId="5" stopIfTrue="1">
      <formula>$A218="integer"</formula>
    </cfRule>
    <cfRule type="expression" priority="327" dxfId="4" stopIfTrue="1">
      <formula>$A218="text"</formula>
    </cfRule>
    <cfRule type="expression" priority="309" dxfId="24" stopIfTrue="1">
      <formula>$A218="comments"</formula>
    </cfRule>
  </conditionalFormatting>
  <conditionalFormatting sqref="A225:C225">
    <cfRule type="expression" priority="179" dxfId="87" stopIfTrue="1">
      <formula>$A225="enumerator"</formula>
    </cfRule>
    <cfRule type="expression" priority="184" dxfId="85" stopIfTrue="1">
      <formula>$A225="file"</formula>
    </cfRule>
  </conditionalFormatting>
  <conditionalFormatting sqref="A19:X25 A27:X28 A131:X150 A158:M158 A159:X159 A160:M161 A171:X217 A285:X1048576 O158:X158 O160:X161">
    <cfRule type="expression" priority="589" dxfId="88" stopIfTrue="1">
      <formula>OR(AND(LEFT($A19, 14)="sensor_stream ", LEN($A19)&gt;14, NOT(ISNUMBER(SEARCH(" ", $A19, 15)))), AND(LEFT($A19, 17)="sensor_statistic ", LEN($A19)&gt;17, NOT(ISNUMBER(SEARCH(" ", $A19, 18)))))</formula>
    </cfRule>
  </conditionalFormatting>
  <conditionalFormatting sqref="A158:M158 A159:X159 A160:M161">
    <cfRule type="expression" priority="587" dxfId="24" stopIfTrue="1">
      <formula>$A158="comments"</formula>
    </cfRule>
    <cfRule type="expression" priority="586" dxfId="87" stopIfTrue="1">
      <formula>$A158="enumerator"</formula>
    </cfRule>
  </conditionalFormatting>
  <conditionalFormatting sqref="A19:X25 A27:X28 A131:X150 A158:M158 A159:X159 A160:M163 A170:M170 A171:X217 A285:X1048576 O158:X158 O160:X163 O170:X170">
    <cfRule type="expression" priority="596" dxfId="8" stopIfTrue="1">
      <formula>OR($A19="audio audit", $A19="text audit", $A19="speed violations count", $A19="speed violations list", $A19="speed violations audit")</formula>
    </cfRule>
  </conditionalFormatting>
  <conditionalFormatting sqref="A158:M158 A159:X159 A160:M161 O158:X158 O160:X161">
    <cfRule type="expression" priority="607" dxfId="85" stopIfTrue="1">
      <formula>$A158="file"</formula>
    </cfRule>
  </conditionalFormatting>
  <conditionalFormatting sqref="A158:M158 A159:X159 A160:M163 A170:M170 O158:X158 O160:X163 O170:X170">
    <cfRule type="expression" priority="600" dxfId="5" stopIfTrue="1">
      <formula>$A158="integer"</formula>
    </cfRule>
    <cfRule type="expression" priority="601" dxfId="4" stopIfTrue="1">
      <formula>$A158="text"</formula>
    </cfRule>
    <cfRule type="expression" priority="602" dxfId="2" stopIfTrue="1">
      <formula>$A158="end repeat"</formula>
    </cfRule>
    <cfRule type="expression" priority="603" dxfId="2" stopIfTrue="1">
      <formula>$A158="begin repeat"</formula>
    </cfRule>
    <cfRule type="expression" priority="604" dxfId="1" stopIfTrue="1">
      <formula>$A158="end group"</formula>
    </cfRule>
    <cfRule type="expression" priority="599" dxfId="6" stopIfTrue="1">
      <formula>$A158="decimal"</formula>
    </cfRule>
    <cfRule type="expression" priority="598" dxfId="7" stopIfTrue="1">
      <formula>OR(AND(LEFT($A158, 16)="select_multiple ", LEN($A158)&gt;16, NOT(ISNUMBER(SEARCH(" ", $A158, 17)))), AND(LEFT($A158, 11)="select_one ", LEN($A158)&gt;11, NOT(ISNUMBER(SEARCH(" ", $A158, 12)))))</formula>
    </cfRule>
    <cfRule type="expression" priority="597" dxfId="0" stopIfTrue="1">
      <formula>OR($A158="username", $A158="phonenumber", $A158="start", $A158="end", $A158="deviceid", $A158="subscriberid", $A158="simserial", $A158="caseid")</formula>
    </cfRule>
    <cfRule type="expression" priority="590" dxfId="22" stopIfTrue="1">
      <formula>$A158="image"</formula>
    </cfRule>
    <cfRule type="expression" priority="591" dxfId="21" stopIfTrue="1">
      <formula>OR($A158="date", $A158="datetime", $A158="time")</formula>
    </cfRule>
    <cfRule type="expression" priority="605" dxfId="1" stopIfTrue="1">
      <formula>$A158="begin group"</formula>
    </cfRule>
  </conditionalFormatting>
  <conditionalFormatting sqref="A19:X25 A27:X28 A41:X66 A131:X150 A158:M158 A159:X159 A160:M163 A170:X217 A271:B277 A278:X283 A285:X1048576 O158:X158 O160:X163">
    <cfRule type="expression" priority="592" dxfId="11" stopIfTrue="1">
      <formula>OR($A19="calculate", $A19="calculate_here")</formula>
    </cfRule>
  </conditionalFormatting>
  <conditionalFormatting sqref="A164:M164 O164:X164">
    <cfRule type="expression" priority="255" dxfId="23" stopIfTrue="1">
      <formula>OR($A164="audio", $A164="video")</formula>
    </cfRule>
    <cfRule type="expression" priority="251" dxfId="85" stopIfTrue="1">
      <formula>$A164="file"</formula>
    </cfRule>
    <cfRule type="expression" priority="226" dxfId="7" stopIfTrue="1">
      <formula>OR(AND(LEFT($A164, 16)="select_multiple ", LEN($A164)&gt;16, NOT(ISNUMBER(SEARCH(" ", $A164, 17)))), AND(LEFT($A164, 11)="select_one ", LEN($A164)&gt;11, NOT(ISNUMBER(SEARCH(" ", $A164, 12)))))</formula>
    </cfRule>
    <cfRule type="expression" priority="246" dxfId="87" stopIfTrue="1">
      <formula>$A164="enumerator"</formula>
    </cfRule>
    <cfRule type="expression" priority="230" dxfId="2" stopIfTrue="1">
      <formula>$A164="end repeat"</formula>
    </cfRule>
    <cfRule type="expression" priority="225" dxfId="0" stopIfTrue="1">
      <formula>OR($A164="username", $A164="phonenumber", $A164="start", $A164="end", $A164="deviceid", $A164="subscriberid", $A164="simserial", $A164="caseid")</formula>
    </cfRule>
    <cfRule type="expression" priority="227" dxfId="6" stopIfTrue="1">
      <formula>$A164="decimal"</formula>
    </cfRule>
    <cfRule type="expression" priority="239" dxfId="12" stopIfTrue="1">
      <formula>$A164="note"</formula>
    </cfRule>
    <cfRule type="expression" priority="236" dxfId="88" stopIfTrue="1">
      <formula>OR(AND(LEFT($A164, 14)="sensor_stream ", LEN($A164)&gt;14, NOT(ISNUMBER(SEARCH(" ", $A164, 15)))), AND(LEFT($A164, 17)="sensor_statistic ", LEN($A164)&gt;17, NOT(ISNUMBER(SEARCH(" ", $A164, 18)))))</formula>
    </cfRule>
    <cfRule type="expression" priority="259" dxfId="9" stopIfTrue="1">
      <formula>OR($A164="geopoint", $A164="geoshape", $A164="geotrace")</formula>
    </cfRule>
    <cfRule type="expression" priority="228" dxfId="5" stopIfTrue="1">
      <formula>$A164="integer"</formula>
    </cfRule>
    <cfRule type="expression" priority="224" dxfId="8" stopIfTrue="1">
      <formula>OR($A164="audio audit", $A164="text audit", $A164="speed violations count", $A164="speed violations list", $A164="speed violations audit")</formula>
    </cfRule>
    <cfRule type="expression" priority="258" dxfId="10" stopIfTrue="1">
      <formula>$A164="barcode"</formula>
    </cfRule>
    <cfRule type="expression" priority="235" dxfId="24" stopIfTrue="1">
      <formula>$A164="comments"</formula>
    </cfRule>
    <cfRule type="expression" priority="233" dxfId="1" stopIfTrue="1">
      <formula>$A164="begin group"</formula>
    </cfRule>
    <cfRule type="expression" priority="232" dxfId="1" stopIfTrue="1">
      <formula>$A164="end group"</formula>
    </cfRule>
    <cfRule type="expression" priority="231" dxfId="2" stopIfTrue="1">
      <formula>$A164="begin repeat"</formula>
    </cfRule>
    <cfRule type="expression" priority="229" dxfId="4" stopIfTrue="1">
      <formula>$A164="text"</formula>
    </cfRule>
  </conditionalFormatting>
  <conditionalFormatting sqref="A164:M164 O164:X168">
    <cfRule type="expression" priority="223" dxfId="11" stopIfTrue="1">
      <formula>OR($A164="calculate", $A164="calculate_here")</formula>
    </cfRule>
  </conditionalFormatting>
  <conditionalFormatting sqref="A13:W14 A17:W18 A33:W33">
    <cfRule type="expression" priority="935" dxfId="10" stopIfTrue="1">
      <formula>$A13="barcode"</formula>
    </cfRule>
    <cfRule type="expression" priority="919" dxfId="87" stopIfTrue="1">
      <formula>$A13="enumerator"</formula>
    </cfRule>
    <cfRule type="expression" priority="921" dxfId="88" stopIfTrue="1">
      <formula>OR(AND(LEFT($A13, 14)="sensor_stream ", LEN($A13)&gt;14, NOT(ISNUMBER(SEARCH(" ", $A13, 15)))), AND(LEFT($A13, 17)="sensor_statistic ", LEN($A13)&gt;17, NOT(ISNUMBER(SEARCH(" ", $A13, 18)))))</formula>
    </cfRule>
    <cfRule type="expression" priority="923" dxfId="24" stopIfTrue="1">
      <formula>$A13="comments"</formula>
    </cfRule>
    <cfRule type="expression" priority="925" dxfId="23" stopIfTrue="1">
      <formula>OR($A13="audio", $A13="video")</formula>
    </cfRule>
    <cfRule type="expression" priority="927" dxfId="22" stopIfTrue="1">
      <formula>$A13="image"</formula>
    </cfRule>
    <cfRule type="expression" priority="929" dxfId="21" stopIfTrue="1">
      <formula>OR($A13="date", $A13="datetime", $A13="time")</formula>
    </cfRule>
    <cfRule type="expression" priority="931" dxfId="11" stopIfTrue="1">
      <formula>OR($A13="calculate", $A13="calculate_here")</formula>
    </cfRule>
    <cfRule type="expression" priority="933" dxfId="12" stopIfTrue="1">
      <formula>$A13="note"</formula>
    </cfRule>
    <cfRule type="expression" priority="937" dxfId="9" stopIfTrue="1">
      <formula>OR($A13="geopoint", $A13="geoshape", $A13="geotrace")</formula>
    </cfRule>
    <cfRule type="expression" priority="939" dxfId="8" stopIfTrue="1">
      <formula>OR($A13="audio audit", $A13="text audit", $A13="speed violations count", $A13="speed violations list", $A13="speed violations audit")</formula>
    </cfRule>
    <cfRule type="expression" priority="940" dxfId="0" stopIfTrue="1">
      <formula>OR($A13="username", $A13="phonenumber", $A13="start", $A13="end", $A13="deviceid", $A13="subscriberid", $A13="simserial", $A13="caseid")</formula>
    </cfRule>
    <cfRule type="expression" priority="944" dxfId="6" stopIfTrue="1">
      <formula>$A13="decimal"</formula>
    </cfRule>
    <cfRule type="expression" priority="946" dxfId="5" stopIfTrue="1">
      <formula>$A13="integer"</formula>
    </cfRule>
    <cfRule type="expression" priority="948" dxfId="4" stopIfTrue="1">
      <formula>$A13="text"</formula>
    </cfRule>
    <cfRule type="expression" priority="949" dxfId="2" stopIfTrue="1">
      <formula>$A13="end repeat"</formula>
    </cfRule>
    <cfRule type="expression" priority="951" dxfId="2" stopIfTrue="1">
      <formula>$A13="begin repeat"</formula>
    </cfRule>
    <cfRule type="expression" priority="952" dxfId="1" stopIfTrue="1">
      <formula>$A13="end group"</formula>
    </cfRule>
    <cfRule type="expression" priority="954" dxfId="1" stopIfTrue="1">
      <formula>$A13="begin group"</formula>
    </cfRule>
    <cfRule type="expression" priority="942" dxfId="7" stopIfTrue="1">
      <formula>OR(AND(LEFT($A13, 16)="select_multiple ", LEN($A13)&gt;16, NOT(ISNUMBER(SEARCH(" ", $A13, 17)))), AND(LEFT($A13, 11)="select_one ", LEN($A13)&gt;11, NOT(ISNUMBER(SEARCH(" ", $A13, 12)))))</formula>
    </cfRule>
    <cfRule type="expression" priority="917" dxfId="85" stopIfTrue="1">
      <formula>$A13="file"</formula>
    </cfRule>
  </conditionalFormatting>
  <conditionalFormatting sqref="A1:X12 A15:X15 A16:B16 A19:X25 A26:B26 A27:X28 A29:B31 A32:X32 A34:X39 A41:X66 A69:X96 A97 A98:X105 A106:F107 A108:X119 A121:X128 A129:F130 A131:X150 A151:S151 A153:X153 A162:M163 A165:M168 A169:X217 A219:X224 A225:B225 A226:X270 A271:B277 A278:X283 A285:X1048576 C97:X97 C218:X218 D16:X16 D26:X26 D29:X31 D225:X225 D271:H274 D275:X277 I106:X107 I129:X130 J271:X274 O162:X163 O165:X168 U151:X151">
    <cfRule type="expression" priority="6484" dxfId="23" stopIfTrue="1">
      <formula>OR($A1="audio", $A1="video")</formula>
    </cfRule>
  </conditionalFormatting>
  <conditionalFormatting sqref="A1:X12 A15:X15 A16:B16 A19:X25 A26:B26 A27:X28 A29:B31 A32:X32 A34:X39 A41:X66 A69:X96 A97 A98:X105 A106:F107 A108:X119 A121:X128 A129:F130 A131:X150 A151:S151 A165:M168 A169:X169 A171:X217 A219:X224 A225:B225 A226:X270 A271:B277 A278:X283 A285:X1048576 C97:X97 C218:X218 D16:X16 D26:X26 D29:X31 D225:X225 D271:H274 D275:X277 I106:X107 I129:X130 J271:X274 N163 N170 O165:X168 U151:X151">
    <cfRule type="expression" priority="6523" dxfId="1" stopIfTrue="1">
      <formula>$A1="end group"</formula>
    </cfRule>
    <cfRule type="expression" priority="6520" dxfId="2" stopIfTrue="1">
      <formula>$A1="end repeat"</formula>
    </cfRule>
    <cfRule type="expression" priority="6525" dxfId="1" stopIfTrue="1">
      <formula>$A1="begin group"</formula>
    </cfRule>
    <cfRule type="expression" priority="6517" dxfId="5" stopIfTrue="1">
      <formula>$A1="integer"</formula>
    </cfRule>
    <cfRule type="expression" priority="6515" dxfId="6" stopIfTrue="1">
      <formula>$A1="decimal"</formula>
    </cfRule>
    <cfRule type="expression" priority="6522" dxfId="2" stopIfTrue="1">
      <formula>$A1="begin repeat"</formula>
    </cfRule>
    <cfRule type="expression" priority="6510" dxfId="7" stopIfTrue="1">
      <formula>OR(AND(LEFT($A1, 16)="select_multiple ", LEN($A1)&gt;16, NOT(ISNUMBER(SEARCH(" ", $A1, 17)))), AND(LEFT($A1, 11)="select_one ", LEN($A1)&gt;11, NOT(ISNUMBER(SEARCH(" ", $A1, 12)))))</formula>
    </cfRule>
    <cfRule type="expression" priority="6503" dxfId="0" stopIfTrue="1">
      <formula>OR($A1="username", $A1="phonenumber", $A1="start", $A1="end", $A1="deviceid", $A1="subscriberid", $A1="simserial", $A1="caseid")</formula>
    </cfRule>
    <cfRule type="expression" priority="6496" dxfId="10" stopIfTrue="1">
      <formula>$A1="barcode"</formula>
    </cfRule>
    <cfRule type="expression" priority="6498" dxfId="9" stopIfTrue="1">
      <formula>OR($A1="geopoint", $A1="geoshape", $A1="geotrace")</formula>
    </cfRule>
    <cfRule type="expression" priority="6494" dxfId="12" stopIfTrue="1">
      <formula>$A1="note"</formula>
    </cfRule>
  </conditionalFormatting>
  <conditionalFormatting sqref="A1:X12 A15:X15 A16:B16 A19:X25 A26:B26 A27:X28 A29:B31 A32:X32 A34:X39 A41:X66 A69:X96 A97 A98:X105 A106:F107 A108:X119 A121:X128 A129:F130 A131:X150 A151:S151 A165:M168 A169:X169 A171:X217 A219:X224 A225:B225 A226:X270 A271:B277 A278:X283 A285:X1048576 C97:X97 C218:X218 D16:X16 D26:X26 D29:X31 D225:X225 D271:H274 D275:X277 I106:X107 I129:X130 J271:X274 N170 O165:X168 U151:X151">
    <cfRule type="expression" priority="6490" dxfId="21" stopIfTrue="1">
      <formula>OR($A1="date", $A1="datetime", $A1="time")</formula>
    </cfRule>
    <cfRule type="expression" priority="6486" dxfId="22" stopIfTrue="1">
      <formula>$A1="image"</formula>
    </cfRule>
  </conditionalFormatting>
  <conditionalFormatting sqref="A1:X12 A15:X15 A16:B16 D16:X16">
    <cfRule type="expression" priority="6492" dxfId="11" stopIfTrue="1">
      <formula>OR($A1="calculate", $A1="calculate_here")</formula>
    </cfRule>
    <cfRule type="expression" priority="2860" dxfId="24" stopIfTrue="1">
      <formula>$A1="comments"</formula>
    </cfRule>
  </conditionalFormatting>
  <conditionalFormatting sqref="A1:X12">
    <cfRule type="expression" priority="332" dxfId="88" stopIfTrue="1">
      <formula>OR(AND(LEFT($A1, 14)="sensor_stream ", LEN($A1)&gt;14, NOT(ISNUMBER(SEARCH(" ", $A1, 15)))), AND(LEFT($A1, 17)="sensor_statistic ", LEN($A1)&gt;17, NOT(ISNUMBER(SEARCH(" ", $A1, 18)))))</formula>
    </cfRule>
    <cfRule type="expression" priority="333" dxfId="8" stopIfTrue="1">
      <formula>OR($A1="audio audit", $A1="text audit", $A1="speed violations count", $A1="speed violations list", $A1="speed violations audit")</formula>
    </cfRule>
  </conditionalFormatting>
  <conditionalFormatting sqref="A15:X15 A16:B16 A26:B26 A29:B31 A32:X32 A34:X39 A41:X66 A69:X96 A97 A98:X105 A106:F107 A108:X119 A121:X128 A129:F130 A151:S151 A165:M168 A169:X169 A219:X224 A225:B225 A226:X270 A271:B277 A278:X283 C97:X97 C218:X218 D16:X16 D26:X26 D29:X31 D225:X225 D271:H274 D275:X277 I106:X107 I129:X130 J271:X274 N163 N170 O165:X168 U151:X151">
    <cfRule type="expression" priority="6500" dxfId="8" stopIfTrue="1">
      <formula>OR($A15="audio audit", $A15="text audit", $A15="speed violations count", $A15="speed violations list", $A15="speed violations audit")</formula>
    </cfRule>
  </conditionalFormatting>
  <conditionalFormatting sqref="A15:X15 A16:B16 A26:B26 A29:B31 A32:X32 A34:X39 A41:X66 A69:X96 A97 A98:X105 A106:F107 A108:X119 A121:X128 A129:F130 A151:S151 A165:M168 A169:X169 A219:X224 A225:B225 A226:X270 A271:B277 A278:X283 C97:X97 C218:X218 D16:X16 D26:X26 D29:X31 D225:X225 D271:H274 D275:X277 I106:X107 I129:X130 J271:X274 N170 O165:X168 U151:X151">
    <cfRule type="expression" priority="6477" dxfId="88" stopIfTrue="1">
      <formula>OR(AND(LEFT($A15, 14)="sensor_stream ", LEN($A15)&gt;14, NOT(ISNUMBER(SEARCH(" ", $A15, 15)))), AND(LEFT($A15, 17)="sensor_statistic ", LEN($A15)&gt;17, NOT(ISNUMBER(SEARCH(" ", $A15, 18)))))</formula>
    </cfRule>
  </conditionalFormatting>
  <conditionalFormatting sqref="A1:X12 A15:X15 A16:B16 A19:X25 A26:B26 A27:X28 A29:B31 A32:X32 A34:X39 A41:X66 A69:X96 A97 A98:X105 A106:F107 A108:X119 A121:X128 A129:F130 A131:X150 A151:S151 A153:X153 A165:M168 A169:X169 A171:X217 A219:X224 A225:B225 A226:X270 A271:B277 A278:X283 A285:X1048576 C97:X97 C218:X218 D16:X16 D26:X26 D29:X31 D225:X225 D271:H274 D275:X277 I106:X107 I129:X130 J271:X274 N163 N170 O165:X168 U151:X151">
    <cfRule type="expression" priority="6519" dxfId="4" stopIfTrue="1">
      <formula>$A1="text"</formula>
    </cfRule>
  </conditionalFormatting>
  <conditionalFormatting sqref="A26:B26 A29:B31 A32:X32 A34:X39 A97 A98:X105 A106:F107 A108:X119 A129:F130 A151:S151 A165:M168 A169:X169 C97:X97 D26:X26 D29:X31 I106:X107 I129:X130 U151:X151">
    <cfRule type="expression" priority="1195" dxfId="11" stopIfTrue="1">
      <formula>OR($A26="calculate", $A26="calculate_here")</formula>
    </cfRule>
  </conditionalFormatting>
  <conditionalFormatting sqref="A19:X25 A26:B26 A27:X28 A29:B31 A32:X32 A34:X39 A41:X66 A69:X96 A97 A98:X105 A106:F107 A108:X119 A121:X128 A129:F130 A131:X150 A151:S151 A165:M168 A169:X169 A171:X217 A219:X224 A225:B225 A226:X270 A271:B277 A278:X283 A285:X1048576 C97:X97 C218:X218 D26:X26 D29:X31 D225:X225 D271:H274 D275:X277 I106:X107 I129:X130 J271:X274 N170 O165:X168 U151:X151">
    <cfRule type="expression" priority="6480" dxfId="24" stopIfTrue="1">
      <formula>$A19="comments"</formula>
    </cfRule>
  </conditionalFormatting>
  <conditionalFormatting sqref="A68:X68 A153:X153 A162:M163 A170:M170 O162:X163 O170:X170">
    <cfRule type="expression" priority="861" dxfId="12" stopIfTrue="1">
      <formula>$A68="note"</formula>
    </cfRule>
    <cfRule type="expression" priority="851" dxfId="88" stopIfTrue="1">
      <formula>OR(AND(LEFT($A68, 14)="sensor_stream ", LEN($A68)&gt;14, NOT(ISNUMBER(SEARCH(" ", $A68, 15)))), AND(LEFT($A68, 17)="sensor_statistic ", LEN($A68)&gt;17, NOT(ISNUMBER(SEARCH(" ", $A68, 18)))))</formula>
    </cfRule>
    <cfRule type="expression" priority="843" dxfId="24" stopIfTrue="1">
      <formula>$A68="comments"</formula>
    </cfRule>
    <cfRule type="expression" priority="863" dxfId="9" stopIfTrue="1">
      <formula>OR($A68="geopoint", $A68="geoshape", $A68="geotrace")</formula>
    </cfRule>
    <cfRule type="expression" priority="862" dxfId="10" stopIfTrue="1">
      <formula>$A68="barcode"</formula>
    </cfRule>
  </conditionalFormatting>
  <conditionalFormatting sqref="A68:X68 A153:X153">
    <cfRule type="expression" priority="866" dxfId="0" stopIfTrue="1">
      <formula>OR($A68="username", $A68="phonenumber", $A68="start", $A68="end", $A68="deviceid", $A68="subscriberid", $A68="simserial", $A68="caseid")</formula>
    </cfRule>
    <cfRule type="expression" priority="869" dxfId="6" stopIfTrue="1">
      <formula>$A68="decimal"</formula>
    </cfRule>
    <cfRule type="expression" priority="874" dxfId="2" stopIfTrue="1">
      <formula>$A68="begin repeat"</formula>
    </cfRule>
    <cfRule type="expression" priority="875" dxfId="1" stopIfTrue="1">
      <formula>$A68="end group"</formula>
    </cfRule>
    <cfRule type="expression" priority="876" dxfId="1" stopIfTrue="1">
      <formula>$A68="begin group"</formula>
    </cfRule>
    <cfRule type="expression" priority="870" dxfId="5" stopIfTrue="1">
      <formula>$A68="integer"</formula>
    </cfRule>
    <cfRule type="expression" priority="873" dxfId="2" stopIfTrue="1">
      <formula>$A68="end repeat"</formula>
    </cfRule>
  </conditionalFormatting>
  <conditionalFormatting sqref="A68:X68">
    <cfRule type="expression" priority="848" dxfId="85" stopIfTrue="1">
      <formula>$A68="file"</formula>
    </cfRule>
    <cfRule type="expression" priority="868" dxfId="7" stopIfTrue="1">
      <formula>OR(AND(LEFT($A68, 16)="select_multiple ", LEN($A68)&gt;16, NOT(ISNUMBER(SEARCH(" ", $A68, 17)))), AND(LEFT($A68, 11)="select_one ", LEN($A68)&gt;11, NOT(ISNUMBER(SEARCH(" ", $A68, 12)))))</formula>
    </cfRule>
    <cfRule type="expression" priority="865" dxfId="8" stopIfTrue="1">
      <formula>OR($A68="audio audit", $A68="text audit", $A68="speed violations count", $A68="speed violations list", $A68="speed violations audit")</formula>
    </cfRule>
    <cfRule type="expression" priority="858" dxfId="21" stopIfTrue="1">
      <formula>OR($A68="date", $A68="datetime", $A68="time")</formula>
    </cfRule>
    <cfRule type="expression" priority="856" dxfId="22" stopIfTrue="1">
      <formula>$A68="image"</formula>
    </cfRule>
    <cfRule type="expression" priority="854" dxfId="23" stopIfTrue="1">
      <formula>OR($A68="audio", $A68="video")</formula>
    </cfRule>
    <cfRule type="expression" priority="842" dxfId="87" stopIfTrue="1">
      <formula>$A68="enumerator"</formula>
    </cfRule>
    <cfRule type="expression" priority="872" dxfId="4" stopIfTrue="1">
      <formula>$A68="text"</formula>
    </cfRule>
  </conditionalFormatting>
  <conditionalFormatting sqref="A68:X77 A79:X96 A153:X153">
    <cfRule type="expression" priority="860" dxfId="11" stopIfTrue="1">
      <formula>OR($A68="calculate", $A68="calculate_here")</formula>
    </cfRule>
  </conditionalFormatting>
  <conditionalFormatting sqref="A78:X78">
    <cfRule type="expression" priority="405" dxfId="11" stopIfTrue="1">
      <formula>OR($A78="calculate", $A78="calculate_here")</formula>
    </cfRule>
  </conditionalFormatting>
  <conditionalFormatting sqref="A120:X120">
    <cfRule type="expression" priority="790" dxfId="6" stopIfTrue="1">
      <formula>$A120="decimal"</formula>
    </cfRule>
    <cfRule type="expression" priority="777" dxfId="22" stopIfTrue="1">
      <formula>$A120="image"</formula>
    </cfRule>
    <cfRule type="expression" priority="775" dxfId="23" stopIfTrue="1">
      <formula>OR($A120="audio", $A120="video")</formula>
    </cfRule>
    <cfRule type="expression" priority="772" dxfId="88" stopIfTrue="1">
      <formula>OR(AND(LEFT($A120, 14)="sensor_stream ", LEN($A120)&gt;14, NOT(ISNUMBER(SEARCH(" ", $A120, 15)))), AND(LEFT($A120, 17)="sensor_statistic ", LEN($A120)&gt;17, NOT(ISNUMBER(SEARCH(" ", $A120, 18)))))</formula>
    </cfRule>
    <cfRule type="expression" priority="782" dxfId="12" stopIfTrue="1">
      <formula>$A120="note"</formula>
    </cfRule>
    <cfRule type="expression" priority="783" dxfId="10" stopIfTrue="1">
      <formula>$A120="barcode"</formula>
    </cfRule>
    <cfRule type="expression" priority="797" dxfId="1" stopIfTrue="1">
      <formula>$A120="begin group"</formula>
    </cfRule>
    <cfRule type="expression" priority="796" dxfId="1" stopIfTrue="1">
      <formula>$A120="end group"</formula>
    </cfRule>
    <cfRule type="expression" priority="795" dxfId="2" stopIfTrue="1">
      <formula>$A120="begin repeat"</formula>
    </cfRule>
    <cfRule type="expression" priority="794" dxfId="2" stopIfTrue="1">
      <formula>$A120="end repeat"</formula>
    </cfRule>
    <cfRule type="expression" priority="793" dxfId="4" stopIfTrue="1">
      <formula>$A120="text"</formula>
    </cfRule>
    <cfRule type="expression" priority="791" dxfId="5" stopIfTrue="1">
      <formula>$A120="integer"</formula>
    </cfRule>
    <cfRule type="expression" priority="769" dxfId="85" stopIfTrue="1">
      <formula>$A120="file"</formula>
    </cfRule>
    <cfRule type="expression" priority="789" dxfId="7" stopIfTrue="1">
      <formula>OR(AND(LEFT($A120, 16)="select_multiple ", LEN($A120)&gt;16, NOT(ISNUMBER(SEARCH(" ", $A120, 17)))), AND(LEFT($A120, 11)="select_one ", LEN($A120)&gt;11, NOT(ISNUMBER(SEARCH(" ", $A120, 12)))))</formula>
    </cfRule>
    <cfRule type="expression" priority="764" dxfId="24" stopIfTrue="1">
      <formula>$A120="comments"</formula>
    </cfRule>
    <cfRule type="expression" priority="787" dxfId="0" stopIfTrue="1">
      <formula>OR($A120="username", $A120="phonenumber", $A120="start", $A120="end", $A120="deviceid", $A120="subscriberid", $A120="simserial", $A120="caseid")</formula>
    </cfRule>
    <cfRule type="expression" priority="786" dxfId="8" stopIfTrue="1">
      <formula>OR($A120="audio audit", $A120="text audit", $A120="speed violations count", $A120="speed violations list", $A120="speed violations audit")</formula>
    </cfRule>
    <cfRule type="expression" priority="784" dxfId="9" stopIfTrue="1">
      <formula>OR($A120="geopoint", $A120="geoshape", $A120="geotrace")</formula>
    </cfRule>
    <cfRule type="expression" priority="763" dxfId="87" stopIfTrue="1">
      <formula>$A120="enumerator"</formula>
    </cfRule>
    <cfRule type="expression" priority="779" dxfId="21" stopIfTrue="1">
      <formula>OR($A120="date", $A120="datetime", $A120="time")</formula>
    </cfRule>
  </conditionalFormatting>
  <conditionalFormatting sqref="A120:X128">
    <cfRule type="expression" priority="781" dxfId="11" stopIfTrue="1">
      <formula>OR($A120="calculate", $A120="calculate_here")</formula>
    </cfRule>
  </conditionalFormatting>
  <conditionalFormatting sqref="A152:X152">
    <cfRule type="expression" priority="666" dxfId="11" stopIfTrue="1">
      <formula>OR($A152="calculate", $A152="calculate_here")</formula>
    </cfRule>
    <cfRule type="expression" priority="678" dxfId="4" stopIfTrue="1">
      <formula>$A152="text"</formula>
    </cfRule>
    <cfRule type="expression" priority="679" dxfId="2" stopIfTrue="1">
      <formula>$A152="end repeat"</formula>
    </cfRule>
    <cfRule type="expression" priority="680" dxfId="2" stopIfTrue="1">
      <formula>$A152="begin repeat"</formula>
    </cfRule>
    <cfRule type="expression" priority="681" dxfId="1" stopIfTrue="1">
      <formula>$A152="end group"</formula>
    </cfRule>
    <cfRule type="expression" priority="667" dxfId="12" stopIfTrue="1">
      <formula>$A152="note"</formula>
    </cfRule>
    <cfRule type="expression" priority="682" dxfId="1" stopIfTrue="1">
      <formula>$A152="begin group"</formula>
    </cfRule>
    <cfRule type="expression" priority="668" dxfId="10" stopIfTrue="1">
      <formula>$A152="barcode"</formula>
    </cfRule>
    <cfRule type="expression" priority="675" dxfId="6" stopIfTrue="1">
      <formula>$A152="decimal"</formula>
    </cfRule>
    <cfRule type="expression" priority="648" dxfId="87" stopIfTrue="1">
      <formula>$A152="enumerator"</formula>
    </cfRule>
    <cfRule type="expression" priority="649" dxfId="24" stopIfTrue="1">
      <formula>$A152="comments"</formula>
    </cfRule>
    <cfRule type="expression" priority="654" dxfId="85" stopIfTrue="1">
      <formula>$A152="file"</formula>
    </cfRule>
    <cfRule type="expression" priority="672" dxfId="0" stopIfTrue="1">
      <formula>OR($A152="username", $A152="phonenumber", $A152="start", $A152="end", $A152="deviceid", $A152="subscriberid", $A152="simserial", $A152="caseid")</formula>
    </cfRule>
    <cfRule type="expression" priority="657" dxfId="88" stopIfTrue="1">
      <formula>OR(AND(LEFT($A152, 14)="sensor_stream ", LEN($A152)&gt;14, NOT(ISNUMBER(SEARCH(" ", $A152, 15)))), AND(LEFT($A152, 17)="sensor_statistic ", LEN($A152)&gt;17, NOT(ISNUMBER(SEARCH(" ", $A152, 18)))))</formula>
    </cfRule>
    <cfRule type="expression" priority="669" dxfId="9" stopIfTrue="1">
      <formula>OR($A152="geopoint", $A152="geoshape", $A152="geotrace")</formula>
    </cfRule>
    <cfRule type="expression" priority="660" dxfId="23" stopIfTrue="1">
      <formula>OR($A152="audio", $A152="video")</formula>
    </cfRule>
    <cfRule type="expression" priority="676" dxfId="5" stopIfTrue="1">
      <formula>$A152="integer"</formula>
    </cfRule>
  </conditionalFormatting>
  <conditionalFormatting sqref="A152:X153">
    <cfRule type="expression" priority="662" dxfId="22" stopIfTrue="1">
      <formula>$A152="image"</formula>
    </cfRule>
    <cfRule type="expression" priority="671" dxfId="8" stopIfTrue="1">
      <formula>OR($A152="audio audit", $A152="text audit", $A152="speed violations count", $A152="speed violations list", $A152="speed violations audit")</formula>
    </cfRule>
    <cfRule type="expression" priority="674" dxfId="7" stopIfTrue="1">
      <formula>OR(AND(LEFT($A152, 16)="select_multiple ", LEN($A152)&gt;16, NOT(ISNUMBER(SEARCH(" ", $A152, 17)))), AND(LEFT($A152, 11)="select_one ", LEN($A152)&gt;11, NOT(ISNUMBER(SEARCH(" ", $A152, 12)))))</formula>
    </cfRule>
    <cfRule type="expression" priority="664" dxfId="21" stopIfTrue="1">
      <formula>OR($A152="date", $A152="datetime", $A152="time")</formula>
    </cfRule>
  </conditionalFormatting>
  <conditionalFormatting sqref="A154 A155:X155 C154:X154">
    <cfRule type="expression" priority="581" dxfId="85" stopIfTrue="1">
      <formula>$A154="file"</formula>
    </cfRule>
    <cfRule type="expression" priority="606" dxfId="87" stopIfTrue="1">
      <formula>$A154="enumerator"</formula>
    </cfRule>
  </conditionalFormatting>
  <conditionalFormatting sqref="A154 A155:X155 A156:B157 A158:M158 A159:X159 A160:M161 C154:X154 D156:X157 O158:X158 O160:X161">
    <cfRule type="expression" priority="622" dxfId="12" stopIfTrue="1">
      <formula>$A154="note"</formula>
    </cfRule>
    <cfRule type="expression" priority="624" dxfId="10" stopIfTrue="1">
      <formula>$A154="barcode"</formula>
    </cfRule>
    <cfRule type="expression" priority="626" dxfId="9" stopIfTrue="1">
      <formula>OR($A154="geopoint", $A154="geoshape", $A154="geotrace")</formula>
    </cfRule>
    <cfRule type="expression" priority="614" dxfId="23" stopIfTrue="1">
      <formula>OR($A154="audio", $A154="video")</formula>
    </cfRule>
  </conditionalFormatting>
  <conditionalFormatting sqref="A156:X157">
    <cfRule type="expression" priority="576" dxfId="87" stopIfTrue="1">
      <formula>$A156="enumerator"</formula>
    </cfRule>
    <cfRule type="expression" priority="577" dxfId="85" stopIfTrue="1">
      <formula>$A156="file"</formula>
    </cfRule>
  </conditionalFormatting>
  <conditionalFormatting sqref="A164:X164">
    <cfRule type="expression" priority="106" dxfId="21" stopIfTrue="1">
      <formula>OR($A164="date", $A164="datetime", $A164="time")</formula>
    </cfRule>
    <cfRule type="expression" priority="105" dxfId="22" stopIfTrue="1">
      <formula>$A164="image"</formula>
    </cfRule>
  </conditionalFormatting>
  <conditionalFormatting sqref="A218:X270">
    <cfRule type="expression" priority="170" dxfId="11" stopIfTrue="1">
      <formula>OR($A218="calculate", $A218="calculate_here")</formula>
    </cfRule>
  </conditionalFormatting>
  <conditionalFormatting sqref="B1:B12 B15:B39 B41:B66 B69:B96 B98:B119 B121:B151 B153 B162:B163 B165:B217 B219:B283 B285:B1048576 F1:F12 F15:F39 F41:F66 F69:F119 F121:F151 F153:F163 F165:F283 F285:F1048576">
    <cfRule type="expression" priority="6476" dxfId="525" stopIfTrue="1">
      <formula>OR(AND(LEFT($A1, 14)="sensor_stream ", LEN($A1)&gt;14, NOT(ISNUMBER(SEARCH(" ", $A1, 15)))), AND(LEFT($A1, 17)="sensor_statistic ", LEN($A1)&gt;17, NOT(ISNUMBER(SEARCH(" ", $A1, 18)))))</formula>
    </cfRule>
    <cfRule type="expression" priority="6499" dxfId="64" stopIfTrue="1">
      <formula>OR($A1="audio audit", $A1="text audit", $A1="speed violations count", $A1="speed violations list", $A1="speed violations audit")</formula>
    </cfRule>
  </conditionalFormatting>
  <conditionalFormatting sqref="B1:B12 B15:B39 B41:B66 B69:B96 B98:B119 B121:B151 B153 B162:B163 B165:B217 B219:B283 B285:B1048576 N1:N12 N15:N39 N41:N66 N69:N119 N121:N151 N153:N157 N160:N163 N169:N283 N285:N1048576">
    <cfRule type="expression" priority="6491" dxfId="63" stopIfTrue="1">
      <formula>OR($A1="calculate", $A1="calculate_here")</formula>
    </cfRule>
  </conditionalFormatting>
  <conditionalFormatting sqref="B13:B14 F13:F14">
    <cfRule type="expression" priority="938" dxfId="64" stopIfTrue="1">
      <formula>OR($A13="audio audit", $A13="text audit", $A13="speed violations count", $A13="speed violations list", $A13="speed violations audit")</formula>
    </cfRule>
    <cfRule type="expression" priority="920" dxfId="525" stopIfTrue="1">
      <formula>OR(AND(LEFT($A13, 14)="sensor_stream ", LEN($A13)&gt;14, NOT(ISNUMBER(SEARCH(" ", $A13, 15)))), AND(LEFT($A13, 17)="sensor_statistic ", LEN($A13)&gt;17, NOT(ISNUMBER(SEARCH(" ", $A13, 18)))))</formula>
    </cfRule>
  </conditionalFormatting>
  <conditionalFormatting sqref="B13:B14 N13:N14">
    <cfRule type="expression" priority="930" dxfId="63" stopIfTrue="1">
      <formula>OR($A13="calculate", $A13="calculate_here")</formula>
    </cfRule>
  </conditionalFormatting>
  <conditionalFormatting sqref="B13:B39 B121:B151 B165:B217 B285:B1048576">
    <cfRule type="expression" priority="922" dxfId="62" stopIfTrue="1">
      <formula>$A13="comments"</formula>
    </cfRule>
  </conditionalFormatting>
  <conditionalFormatting sqref="B16 B19:B32 B34:B39 B41:B66 B69:B96 B98:B119 B121:B151 B165:B169 B171:B174 B175:C178 B179:B182 B183:C211 B212:B217 B219:B220 B221:C224 B226:C270 B271:B277 B278:C283 B285:C1048576">
    <cfRule type="expression" priority="3129" dxfId="44" stopIfTrue="1">
      <formula>OR($A16="geopoint", $A16="geoshape", $A16="geotrace")</formula>
    </cfRule>
    <cfRule type="expression" priority="3127" dxfId="43" stopIfTrue="1">
      <formula>$A16="barcode"</formula>
    </cfRule>
    <cfRule type="expression" priority="3125" dxfId="42" stopIfTrue="1">
      <formula>$A16="note"</formula>
    </cfRule>
  </conditionalFormatting>
  <conditionalFormatting sqref="B16 B19:D25 B26 B27:D28 B29:B31 B32:D32 B34:D39 B41:D66 B69:D96 B98:D119 B121:D151 B153:D153 B162:D163 B165:D217 B271:B277 B278:D283 B285:D1048576 C97:D97 D16 D26 D29:D31 D271:D277 G19:H32 G34:H39 G41:H66 G69:H105 G108:H119 G121:H128 G131:H151 G153:H163 G165:H283 G285:H1048576">
    <cfRule type="expression" priority="2841" dxfId="40" stopIfTrue="1">
      <formula>$A16="decimal"</formula>
    </cfRule>
    <cfRule type="expression" priority="2843" dxfId="36" stopIfTrue="1">
      <formula>$A16="integer"</formula>
    </cfRule>
  </conditionalFormatting>
  <conditionalFormatting sqref="B16">
    <cfRule type="expression" priority="2926" dxfId="41" stopIfTrue="1">
      <formula>$A16="begin repeat"</formula>
    </cfRule>
    <cfRule type="expression" priority="2851" dxfId="47" stopIfTrue="1">
      <formula>$A16="begin group"</formula>
    </cfRule>
  </conditionalFormatting>
  <conditionalFormatting sqref="B1:C12 B17:C18 B19:B32 B33:C33 B34:B39 B41:B66 B69:B96 B98:B119 B121:B151 B153 B162:B163 B165:B174 B175:C178 B179:B182 B183:C211 B212:B217 B221:C224 B271:B277 B278:C283 B285:C1048576 I17:I39 I41:I66 I69:I119 I121:I151 I153:I163 I165:I270 I275:I283 I285:I1048576 O17:O39 O41:O66 O69:O119 O121:O151 O153:O163 O165:O283 O285:O1048576">
    <cfRule type="expression" priority="2848" dxfId="41" stopIfTrue="1">
      <formula>$A1="begin repeat"</formula>
    </cfRule>
  </conditionalFormatting>
  <conditionalFormatting sqref="B1:C12 B15:C15 B16 B19:B32 B34:B39 B41:B66 B69:B96 B98:B119 B121:B151 B153 B162:B163 B165:B174 B175:C178 B179:B182 B183:C211 B212:B217 B219:B220 B221:C224 B225 B226:C270 B271:B277 B278:C283 B285:C1048576">
    <cfRule type="expression" priority="6483" dxfId="45" stopIfTrue="1">
      <formula>OR($A1="audio", $A1="video")</formula>
    </cfRule>
  </conditionalFormatting>
  <conditionalFormatting sqref="B1:C10 B16 B19:B32 B34:B39 B41:B66 B69:B96 B98:B119 B121:B151 B153 B162:B163 B165:B174 B175:C178 B179:B182 B183:C211 B212:B217 B271:B277 B278:C283 B285:C1048576">
    <cfRule type="expression" priority="2580" dxfId="84" stopIfTrue="1">
      <formula>$A1="file"</formula>
    </cfRule>
  </conditionalFormatting>
  <conditionalFormatting sqref="B1:B12 B41:B66 B69:B96 B98:B119 B153 B162:B163 B219:B283">
    <cfRule type="expression" priority="6478" dxfId="62" stopIfTrue="1">
      <formula>$A1="comments"</formula>
    </cfRule>
  </conditionalFormatting>
  <conditionalFormatting sqref="B1:C10 B68 B153 B162:B163 B170">
    <cfRule type="expression" priority="845" dxfId="42" stopIfTrue="1">
      <formula>$A1="note"</formula>
    </cfRule>
    <cfRule type="expression" priority="846" dxfId="43" stopIfTrue="1">
      <formula>$A1="barcode"</formula>
    </cfRule>
    <cfRule type="expression" priority="847" dxfId="44" stopIfTrue="1">
      <formula>OR($A1="geopoint", $A1="geoshape", $A1="geotrace")</formula>
    </cfRule>
  </conditionalFormatting>
  <conditionalFormatting sqref="B41:B66 B68 B153 B162:B163 B170 B271:B277 B278:C283 B285:C1048576 F41:F66 F68 F153:F163 F170:F283 F285:F1048576">
    <cfRule type="expression" priority="857" dxfId="49" stopIfTrue="1">
      <formula>OR($A41="date", $A41="datetime", $A41="time")</formula>
    </cfRule>
    <cfRule type="expression" priority="855" dxfId="48" stopIfTrue="1">
      <formula>$A41="image"</formula>
    </cfRule>
    <cfRule type="expression" priority="867" dxfId="46" stopIfTrue="1">
      <formula>OR(AND(LEFT($A41, 16)="select_multiple ", LEN($A41)&gt;16, NOT(ISNUMBER(SEARCH(" ", $A41, 17)))), AND(LEFT($A41, 11)="select_one ", LEN($A41)&gt;11, NOT(ISNUMBER(SEARCH(" ", $A41, 12)))))</formula>
    </cfRule>
  </conditionalFormatting>
  <conditionalFormatting sqref="B68 F68">
    <cfRule type="expression" priority="850" dxfId="525" stopIfTrue="1">
      <formula>OR(AND(LEFT($A68, 14)="sensor_stream ", LEN($A68)&gt;14, NOT(ISNUMBER(SEARCH(" ", $A68, 15)))), AND(LEFT($A68, 17)="sensor_statistic ", LEN($A68)&gt;17, NOT(ISNUMBER(SEARCH(" ", $A68, 18)))))</formula>
    </cfRule>
    <cfRule type="expression" priority="864" dxfId="64" stopIfTrue="1">
      <formula>OR($A68="audio audit", $A68="text audit", $A68="speed violations count", $A68="speed violations list", $A68="speed violations audit")</formula>
    </cfRule>
  </conditionalFormatting>
  <conditionalFormatting sqref="B68 I68">
    <cfRule type="expression" priority="840" dxfId="41" stopIfTrue="1">
      <formula>$A68="begin repeat"</formula>
    </cfRule>
  </conditionalFormatting>
  <conditionalFormatting sqref="B68 N68">
    <cfRule type="expression" priority="859" dxfId="63" stopIfTrue="1">
      <formula>OR($A68="calculate", $A68="calculate_here")</formula>
    </cfRule>
  </conditionalFormatting>
  <conditionalFormatting sqref="B68">
    <cfRule type="expression" priority="852" dxfId="62" stopIfTrue="1">
      <formula>$A68="comments"</formula>
    </cfRule>
    <cfRule type="expression" priority="853" dxfId="45" stopIfTrue="1">
      <formula>OR($A68="audio", $A68="video")</formula>
    </cfRule>
    <cfRule type="expression" priority="838" dxfId="84" stopIfTrue="1">
      <formula>$A68="file"</formula>
    </cfRule>
  </conditionalFormatting>
  <conditionalFormatting sqref="B1:C12 B19:B32 B41:B66 B68:B77 B98:B151 B183:C211 B271:B277 B278:C283 B285:C1048576 F1:F12 F17:F39 F41:F66 F68:F163 F165:F283 F285:F1048576 I1:I12 I17:I39 I41:I66 I68:I151 I153:I163 I165:I270 I275:I283 I285:I1048576">
    <cfRule type="expression" priority="841" dxfId="47" stopIfTrue="1">
      <formula>$A1="begin group"</formula>
    </cfRule>
  </conditionalFormatting>
  <conditionalFormatting sqref="B78:B96">
    <cfRule type="expression" priority="409" dxfId="47" stopIfTrue="1">
      <formula>$A78="begin group"</formula>
    </cfRule>
  </conditionalFormatting>
  <conditionalFormatting sqref="B97">
    <cfRule type="expression" priority="802" dxfId="628" stopIfTrue="1">
      <formula>OR($A97="audio audit", $A97="text audit", $A97="speed violations count", $A97="speed violations list", $A97="speed violations audit")</formula>
    </cfRule>
    <cfRule type="expression" priority="818" dxfId="318" stopIfTrue="1">
      <formula>OR($A97="audio", $A97="video")</formula>
    </cfRule>
    <cfRule type="expression" priority="835" dxfId="626" stopIfTrue="1">
      <formula>$A97="comments"</formula>
    </cfRule>
    <cfRule type="expression" priority="834" dxfId="305" stopIfTrue="1">
      <formula>$A97="begin group"</formula>
    </cfRule>
    <cfRule type="expression" priority="833" dxfId="305" stopIfTrue="1">
      <formula>$A97="end group"</formula>
    </cfRule>
    <cfRule type="expression" priority="832" dxfId="308" stopIfTrue="1">
      <formula>$A97="begin repeat"</formula>
    </cfRule>
    <cfRule type="expression" priority="830" dxfId="311" stopIfTrue="1">
      <formula>$A97="text"</formula>
    </cfRule>
    <cfRule type="expression" priority="800" dxfId="304" stopIfTrue="1">
      <formula>$A97="integer"</formula>
    </cfRule>
    <cfRule type="expression" priority="801" dxfId="313" stopIfTrue="1">
      <formula>$A97="decimal"</formula>
    </cfRule>
    <cfRule type="expression" priority="799" dxfId="414" stopIfTrue="1">
      <formula>$A97="text"</formula>
    </cfRule>
    <cfRule type="expression" priority="829" dxfId="326" stopIfTrue="1">
      <formula>$A97="integer"</formula>
    </cfRule>
    <cfRule type="expression" priority="798" dxfId="446" stopIfTrue="1">
      <formula>$A97="begin repeat"</formula>
    </cfRule>
    <cfRule type="expression" priority="803" dxfId="442" stopIfTrue="1">
      <formula>$A97="file"</formula>
    </cfRule>
    <cfRule type="expression" priority="828" dxfId="307" stopIfTrue="1">
      <formula>$A97="decimal"</formula>
    </cfRule>
    <cfRule type="expression" priority="804" dxfId="614" stopIfTrue="1">
      <formula>OR($A97="calculate", $A97="calculate_here")</formula>
    </cfRule>
    <cfRule type="expression" priority="805" dxfId="438" stopIfTrue="1">
      <formula>OR($A97="date", $A97="datetime", $A97="time")</formula>
    </cfRule>
    <cfRule type="expression" priority="827" dxfId="309" stopIfTrue="1">
      <formula>OR(AND(LEFT($A97, 16)="select_multiple ", LEN($A97)&gt;16, NOT(ISNUMBER(SEARCH(" ", $A97, 17)))), AND(LEFT($A97, 11)="select_one ", LEN($A97)&gt;11, NOT(ISNUMBER(SEARCH(" ", $A97, 12)))))</formula>
    </cfRule>
    <cfRule type="expression" priority="806" dxfId="447" stopIfTrue="1">
      <formula>$A97="begin group"</formula>
    </cfRule>
    <cfRule type="expression" priority="826" dxfId="310" stopIfTrue="1">
      <formula>OR($A97="username", $A97="phonenumber", $A97="start", $A97="end", $A97="deviceid", $A97="subscriberid", $A97="simserial", $A97="caseid")</formula>
    </cfRule>
    <cfRule type="expression" priority="807" dxfId="445" stopIfTrue="1">
      <formula>$A97="enumerator"</formula>
    </cfRule>
    <cfRule type="expression" priority="808" dxfId="443" stopIfTrue="1">
      <formula>OR(AND(LEFT($A97, 16)="select_multiple ", LEN($A97)&gt;16, NOT(ISNUMBER(SEARCH(" ", $A97, 17)))), AND(LEFT($A97, 11)="select_one ", LEN($A97)&gt;11, NOT(ISNUMBER(SEARCH(" ", $A97, 12)))))</formula>
    </cfRule>
    <cfRule type="expression" priority="809" dxfId="441" stopIfTrue="1">
      <formula>$A97="note"</formula>
    </cfRule>
    <cfRule type="expression" priority="810" dxfId="440" stopIfTrue="1">
      <formula>$A97="barcode"</formula>
    </cfRule>
    <cfRule type="expression" priority="825" dxfId="325" stopIfTrue="1">
      <formula>OR($A97="audio audit", $A97="text audit", $A97="speed violations count", $A97="speed violations list", $A97="speed violations audit")</formula>
    </cfRule>
    <cfRule type="expression" priority="811" dxfId="439" stopIfTrue="1">
      <formula>OR($A97="geopoint", $A97="geoshape", $A97="geotrace")</formula>
    </cfRule>
    <cfRule type="expression" priority="812" dxfId="437" stopIfTrue="1">
      <formula>$A97="image"</formula>
    </cfRule>
    <cfRule type="expression" priority="813" dxfId="436" stopIfTrue="1">
      <formula>OR($A97="audio", $A97="video")</formula>
    </cfRule>
    <cfRule type="expression" priority="824" dxfId="324" stopIfTrue="1">
      <formula>OR($A97="geopoint", $A97="geoshape", $A97="geotrace")</formula>
    </cfRule>
    <cfRule type="expression" priority="823" dxfId="323" stopIfTrue="1">
      <formula>$A97="barcode"</formula>
    </cfRule>
    <cfRule type="expression" priority="822" dxfId="322" stopIfTrue="1">
      <formula>$A97="note"</formula>
    </cfRule>
    <cfRule type="expression" priority="814" dxfId="314" stopIfTrue="1">
      <formula>$A97="file"</formula>
    </cfRule>
    <cfRule type="expression" priority="815" dxfId="315" stopIfTrue="1">
      <formula>$A97="enumerator"</formula>
    </cfRule>
    <cfRule type="expression" priority="816" dxfId="316" stopIfTrue="1">
      <formula>OR(AND(LEFT($A97, 14)="sensor_stream ", LEN($A97)&gt;14, NOT(ISNUMBER(SEARCH(" ", $A97, 15)))), AND(LEFT($A97, 17)="sensor_statistic ", LEN($A97)&gt;17, NOT(ISNUMBER(SEARCH(" ", $A97, 18)))))</formula>
    </cfRule>
    <cfRule type="expression" priority="821" dxfId="321" stopIfTrue="1">
      <formula>OR($A97="calculate", $A97="calculate_here")</formula>
    </cfRule>
    <cfRule type="expression" priority="820" dxfId="320" stopIfTrue="1">
      <formula>OR($A97="date", $A97="datetime", $A97="time")</formula>
    </cfRule>
    <cfRule type="expression" priority="836" dxfId="593" stopIfTrue="1">
      <formula>OR(AND(LEFT($A97, 14)="sensor_stream ", LEN($A97)&gt;14, NOT(ISNUMBER(SEARCH(" ", $A97, 15)))), AND(LEFT($A97, 17)="sensor_statistic ", LEN($A97)&gt;17, NOT(ISNUMBER(SEARCH(" ", $A97, 18)))))</formula>
    </cfRule>
    <cfRule type="expression" priority="819" dxfId="319" stopIfTrue="1">
      <formula>$A97="image"</formula>
    </cfRule>
    <cfRule type="expression" priority="817" dxfId="317" stopIfTrue="1">
      <formula>$A97="comments"</formula>
    </cfRule>
    <cfRule type="expression" priority="831" dxfId="308" stopIfTrue="1">
      <formula>$A97="end repeat"</formula>
    </cfRule>
  </conditionalFormatting>
  <conditionalFormatting sqref="B120 F120">
    <cfRule type="expression" priority="771" dxfId="525" stopIfTrue="1">
      <formula>OR(AND(LEFT($A120, 14)="sensor_stream ", LEN($A120)&gt;14, NOT(ISNUMBER(SEARCH(" ", $A120, 15)))), AND(LEFT($A120, 17)="sensor_statistic ", LEN($A120)&gt;17, NOT(ISNUMBER(SEARCH(" ", $A120, 18)))))</formula>
    </cfRule>
    <cfRule type="expression" priority="788" dxfId="46" stopIfTrue="1">
      <formula>OR(AND(LEFT($A120, 16)="select_multiple ", LEN($A120)&gt;16, NOT(ISNUMBER(SEARCH(" ", $A120, 17)))), AND(LEFT($A120, 11)="select_one ", LEN($A120)&gt;11, NOT(ISNUMBER(SEARCH(" ", $A120, 12)))))</formula>
    </cfRule>
    <cfRule type="expression" priority="776" dxfId="48" stopIfTrue="1">
      <formula>$A120="image"</formula>
    </cfRule>
    <cfRule type="expression" priority="778" dxfId="49" stopIfTrue="1">
      <formula>OR($A120="date", $A120="datetime", $A120="time")</formula>
    </cfRule>
    <cfRule type="expression" priority="785" dxfId="64" stopIfTrue="1">
      <formula>OR($A120="audio audit", $A120="text audit", $A120="speed violations count", $A120="speed violations list", $A120="speed violations audit")</formula>
    </cfRule>
  </conditionalFormatting>
  <conditionalFormatting sqref="B120 I120">
    <cfRule type="expression" priority="761" dxfId="41" stopIfTrue="1">
      <formula>$A120="begin repeat"</formula>
    </cfRule>
  </conditionalFormatting>
  <conditionalFormatting sqref="B120">
    <cfRule type="expression" priority="768" dxfId="44" stopIfTrue="1">
      <formula>OR($A120="geopoint", $A120="geoshape", $A120="geotrace")</formula>
    </cfRule>
    <cfRule type="expression" priority="773" dxfId="62" stopIfTrue="1">
      <formula>$A120="comments"</formula>
    </cfRule>
    <cfRule type="expression" priority="774" dxfId="45" stopIfTrue="1">
      <formula>OR($A120="audio", $A120="video")</formula>
    </cfRule>
    <cfRule type="expression" priority="780" dxfId="63" stopIfTrue="1">
      <formula>OR($A120="calculate", $A120="calculate_here")</formula>
    </cfRule>
    <cfRule type="expression" priority="766" dxfId="42" stopIfTrue="1">
      <formula>$A120="note"</formula>
    </cfRule>
    <cfRule type="expression" priority="759" dxfId="84" stopIfTrue="1">
      <formula>$A120="file"</formula>
    </cfRule>
    <cfRule type="expression" priority="767" dxfId="43" stopIfTrue="1">
      <formula>$A120="barcode"</formula>
    </cfRule>
  </conditionalFormatting>
  <conditionalFormatting sqref="B152 F152">
    <cfRule type="expression" priority="656" dxfId="525" stopIfTrue="1">
      <formula>OR(AND(LEFT($A152, 14)="sensor_stream ", LEN($A152)&gt;14, NOT(ISNUMBER(SEARCH(" ", $A152, 15)))), AND(LEFT($A152, 17)="sensor_statistic ", LEN($A152)&gt;17, NOT(ISNUMBER(SEARCH(" ", $A152, 18)))))</formula>
    </cfRule>
    <cfRule type="expression" priority="663" dxfId="49" stopIfTrue="1">
      <formula>OR($A152="date", $A152="datetime", $A152="time")</formula>
    </cfRule>
    <cfRule type="expression" priority="661" dxfId="48" stopIfTrue="1">
      <formula>$A152="image"</formula>
    </cfRule>
    <cfRule type="expression" priority="670" dxfId="64" stopIfTrue="1">
      <formula>OR($A152="audio audit", $A152="text audit", $A152="speed violations count", $A152="speed violations list", $A152="speed violations audit")</formula>
    </cfRule>
    <cfRule type="expression" priority="673" dxfId="46" stopIfTrue="1">
      <formula>OR(AND(LEFT($A152, 16)="select_multiple ", LEN($A152)&gt;16, NOT(ISNUMBER(SEARCH(" ", $A152, 17)))), AND(LEFT($A152, 11)="select_one ", LEN($A152)&gt;11, NOT(ISNUMBER(SEARCH(" ", $A152, 12)))))</formula>
    </cfRule>
  </conditionalFormatting>
  <conditionalFormatting sqref="B152 I152">
    <cfRule type="expression" priority="647" dxfId="47" stopIfTrue="1">
      <formula>$A152="begin group"</formula>
    </cfRule>
    <cfRule type="expression" priority="646" dxfId="41" stopIfTrue="1">
      <formula>$A152="begin repeat"</formula>
    </cfRule>
  </conditionalFormatting>
  <conditionalFormatting sqref="B152">
    <cfRule type="expression" priority="653" dxfId="44" stopIfTrue="1">
      <formula>OR($A152="geopoint", $A152="geoshape", $A152="geotrace")</formula>
    </cfRule>
    <cfRule type="expression" priority="652" dxfId="43" stopIfTrue="1">
      <formula>$A152="barcode"</formula>
    </cfRule>
    <cfRule type="expression" priority="658" dxfId="62" stopIfTrue="1">
      <formula>$A152="comments"</formula>
    </cfRule>
    <cfRule type="expression" priority="659" dxfId="45" stopIfTrue="1">
      <formula>OR($A152="audio", $A152="video")</formula>
    </cfRule>
    <cfRule type="expression" priority="651" dxfId="42" stopIfTrue="1">
      <formula>$A152="note"</formula>
    </cfRule>
    <cfRule type="expression" priority="644" dxfId="84" stopIfTrue="1">
      <formula>$A152="file"</formula>
    </cfRule>
    <cfRule type="expression" priority="665" dxfId="63" stopIfTrue="1">
      <formula>OR($A152="calculate", $A152="calculate_here")</formula>
    </cfRule>
  </conditionalFormatting>
  <conditionalFormatting sqref="B155:B157">
    <cfRule type="expression" priority="625" dxfId="44" stopIfTrue="1">
      <formula>OR($A155="geopoint", $A155="geoshape", $A155="geotrace")</formula>
    </cfRule>
    <cfRule type="expression" priority="621" dxfId="42" stopIfTrue="1">
      <formula>$A155="note"</formula>
    </cfRule>
    <cfRule type="expression" priority="623" dxfId="43" stopIfTrue="1">
      <formula>$A155="barcode"</formula>
    </cfRule>
  </conditionalFormatting>
  <conditionalFormatting sqref="B155:B161">
    <cfRule type="expression" priority="611" dxfId="62" stopIfTrue="1">
      <formula>$A155="comments"</formula>
    </cfRule>
    <cfRule type="expression" priority="617" dxfId="49" stopIfTrue="1">
      <formula>OR($A155="date", $A155="datetime", $A155="time")</formula>
    </cfRule>
    <cfRule type="expression" priority="613" dxfId="45" stopIfTrue="1">
      <formula>OR($A155="audio", $A155="video")</formula>
    </cfRule>
    <cfRule type="expression" priority="615" dxfId="48" stopIfTrue="1">
      <formula>$A155="image"</formula>
    </cfRule>
    <cfRule type="expression" priority="627" dxfId="64" stopIfTrue="1">
      <formula>OR($A155="audio audit", $A155="text audit", $A155="speed violations count", $A155="speed violations list", $A155="speed violations audit")</formula>
    </cfRule>
    <cfRule type="expression" priority="630" dxfId="46" stopIfTrue="1">
      <formula>OR(AND(LEFT($A155, 16)="select_multiple ", LEN($A155)&gt;16, NOT(ISNUMBER(SEARCH(" ", $A155, 17)))), AND(LEFT($A155, 11)="select_one ", LEN($A155)&gt;11, NOT(ISNUMBER(SEARCH(" ", $A155, 12)))))</formula>
    </cfRule>
    <cfRule type="expression" priority="580" dxfId="84" stopIfTrue="1">
      <formula>$A155="file"</formula>
    </cfRule>
    <cfRule type="expression" priority="584" dxfId="41" stopIfTrue="1">
      <formula>$A155="begin repeat"</formula>
    </cfRule>
    <cfRule type="expression" priority="585" dxfId="47" stopIfTrue="1">
      <formula>$A155="begin group"</formula>
    </cfRule>
    <cfRule type="expression" priority="619" dxfId="63" stopIfTrue="1">
      <formula>OR($A155="calculate", $A155="calculate_here")</formula>
    </cfRule>
    <cfRule type="expression" priority="609" dxfId="525" stopIfTrue="1">
      <formula>OR(AND(LEFT($A155, 14)="sensor_stream ", LEN($A155)&gt;14, NOT(ISNUMBER(SEARCH(" ", $A155, 15)))), AND(LEFT($A155, 17)="sensor_statistic ", LEN($A155)&gt;17, NOT(ISNUMBER(SEARCH(" ", $A155, 18)))))</formula>
    </cfRule>
  </conditionalFormatting>
  <conditionalFormatting sqref="B156:B157 B158:D161 D156:D157">
    <cfRule type="expression" priority="578" dxfId="40" stopIfTrue="1">
      <formula>$A156="decimal"</formula>
    </cfRule>
  </conditionalFormatting>
  <conditionalFormatting sqref="B156:B157 D156:D157">
    <cfRule type="expression" priority="579" dxfId="36" stopIfTrue="1">
      <formula>$A156="integer"</formula>
    </cfRule>
  </conditionalFormatting>
  <conditionalFormatting sqref="B158:B161">
    <cfRule type="expression" priority="593" dxfId="42" stopIfTrue="1">
      <formula>$A158="note"</formula>
    </cfRule>
    <cfRule type="expression" priority="594" dxfId="43" stopIfTrue="1">
      <formula>$A158="barcode"</formula>
    </cfRule>
    <cfRule type="expression" priority="595" dxfId="44" stopIfTrue="1">
      <formula>OR($A158="geopoint", $A158="geoshape", $A158="geotrace")</formula>
    </cfRule>
  </conditionalFormatting>
  <conditionalFormatting sqref="B164 F164 I164">
    <cfRule type="expression" priority="234" dxfId="47" stopIfTrue="1">
      <formula>$A164="begin group"</formula>
    </cfRule>
  </conditionalFormatting>
  <conditionalFormatting sqref="B164 F164">
    <cfRule type="expression" priority="253" dxfId="525" stopIfTrue="1">
      <formula>OR(AND(LEFT($A164, 14)="sensor_stream ", LEN($A164)&gt;14, NOT(ISNUMBER(SEARCH(" ", $A164, 15)))), AND(LEFT($A164, 17)="sensor_statistic ", LEN($A164)&gt;17, NOT(ISNUMBER(SEARCH(" ", $A164, 18)))))</formula>
    </cfRule>
    <cfRule type="expression" priority="240" dxfId="46" stopIfTrue="1">
      <formula>OR(AND(LEFT($A164, 16)="select_multiple ", LEN($A164)&gt;16, NOT(ISNUMBER(SEARCH(" ", $A164, 17)))), AND(LEFT($A164, 11)="select_one ", LEN($A164)&gt;11, NOT(ISNUMBER(SEARCH(" ", $A164, 12)))))</formula>
    </cfRule>
    <cfRule type="expression" priority="238" dxfId="49" stopIfTrue="1">
      <formula>OR($A164="date", $A164="datetime", $A164="time")</formula>
    </cfRule>
    <cfRule type="expression" priority="237" dxfId="48" stopIfTrue="1">
      <formula>$A164="image"</formula>
    </cfRule>
    <cfRule type="expression" priority="260" dxfId="64" stopIfTrue="1">
      <formula>OR($A164="audio audit", $A164="text audit", $A164="speed violations count", $A164="speed violations list", $A164="speed violations audit")</formula>
    </cfRule>
  </conditionalFormatting>
  <conditionalFormatting sqref="B164 I164 O164">
    <cfRule type="expression" priority="245" dxfId="41" stopIfTrue="1">
      <formula>$A164="begin repeat"</formula>
    </cfRule>
  </conditionalFormatting>
  <conditionalFormatting sqref="B164">
    <cfRule type="expression" priority="250" dxfId="44" stopIfTrue="1">
      <formula>OR($A164="geopoint", $A164="geoshape", $A164="geotrace")</formula>
    </cfRule>
    <cfRule type="expression" priority="249" dxfId="43" stopIfTrue="1">
      <formula>$A164="barcode"</formula>
    </cfRule>
    <cfRule type="expression" priority="248" dxfId="42" stopIfTrue="1">
      <formula>$A164="note"</formula>
    </cfRule>
    <cfRule type="expression" priority="254" dxfId="45" stopIfTrue="1">
      <formula>OR($A164="audio", $A164="video")</formula>
    </cfRule>
    <cfRule type="expression" priority="256" dxfId="63" stopIfTrue="1">
      <formula>OR($A164="calculate", $A164="calculate_here")</formula>
    </cfRule>
    <cfRule type="expression" priority="242" dxfId="84" stopIfTrue="1">
      <formula>$A164="file"</formula>
    </cfRule>
    <cfRule type="expression" priority="241" dxfId="62" stopIfTrue="1">
      <formula>$A164="comments"</formula>
    </cfRule>
  </conditionalFormatting>
  <conditionalFormatting sqref="B218">
    <cfRule type="expression" priority="310" dxfId="45" stopIfTrue="1">
      <formula>OR($A218="audio", $A218="video")</formula>
    </cfRule>
    <cfRule type="expression" priority="320" dxfId="64" stopIfTrue="1">
      <formula>OR($A218="audio audit", $A218="text audit", $A218="speed violations count", $A218="speed violations list", $A218="speed violations audit")</formula>
    </cfRule>
    <cfRule type="expression" priority="312" dxfId="48" stopIfTrue="1">
      <formula>$A218="image"</formula>
    </cfRule>
    <cfRule type="expression" priority="308" dxfId="62" stopIfTrue="1">
      <formula>$A218="comments"</formula>
    </cfRule>
    <cfRule type="expression" priority="306" dxfId="525" stopIfTrue="1">
      <formula>OR(AND(LEFT($A218, 14)="sensor_stream ", LEN($A218)&gt;14, NOT(ISNUMBER(SEARCH(" ", $A218, 15)))), AND(LEFT($A218, 17)="sensor_statistic ", LEN($A218)&gt;17, NOT(ISNUMBER(SEARCH(" ", $A218, 18)))))</formula>
    </cfRule>
    <cfRule type="expression" priority="305" dxfId="86" stopIfTrue="1">
      <formula>$A218="enumerator"</formula>
    </cfRule>
    <cfRule type="expression" priority="314" dxfId="49" stopIfTrue="1">
      <formula>OR($A218="date", $A218="datetime", $A218="time")</formula>
    </cfRule>
    <cfRule type="expression" priority="303" dxfId="44" stopIfTrue="1">
      <formula>OR($A218="geopoint", $A218="geoshape", $A218="geotrace")</formula>
    </cfRule>
    <cfRule type="expression" priority="302" dxfId="43" stopIfTrue="1">
      <formula>$A218="barcode"</formula>
    </cfRule>
    <cfRule type="expression" priority="301" dxfId="42" stopIfTrue="1">
      <formula>$A218="note"</formula>
    </cfRule>
    <cfRule type="expression" priority="300" dxfId="52" stopIfTrue="1">
      <formula>$A218="text"</formula>
    </cfRule>
    <cfRule type="expression" priority="316" dxfId="63" stopIfTrue="1">
      <formula>OR($A218="calculate", $A218="calculate_here")</formula>
    </cfRule>
    <cfRule type="expression" priority="323" dxfId="46" stopIfTrue="1">
      <formula>OR(AND(LEFT($A218, 16)="select_multiple ", LEN($A218)&gt;16, NOT(ISNUMBER(SEARCH(" ", $A218, 17)))), AND(LEFT($A218, 11)="select_one ", LEN($A218)&gt;11, NOT(ISNUMBER(SEARCH(" ", $A218, 12)))))</formula>
    </cfRule>
  </conditionalFormatting>
  <conditionalFormatting sqref="B218:B220">
    <cfRule type="expression" priority="298" dxfId="41" stopIfTrue="1">
      <formula>$A218="begin repeat"</formula>
    </cfRule>
    <cfRule type="expression" priority="295" dxfId="84" stopIfTrue="1">
      <formula>$A218="file"</formula>
    </cfRule>
    <cfRule type="expression" priority="294" dxfId="47" stopIfTrue="1">
      <formula>$A218="begin group"</formula>
    </cfRule>
  </conditionalFormatting>
  <conditionalFormatting sqref="B1:C12 B15:C15 B16 B17:C18 B19:B32 B33:C33 B34:B39 B69:B96 B98:B119 B121:B151 B165:B169 B171:B174 B175:C178 B179:B182 B183:C211 B212:B217 B219:B220 F1:F12 F15:F39 F69:F77 F79:F119 F121:F151 F165:F169">
    <cfRule type="expression" priority="6509" dxfId="46" stopIfTrue="1">
      <formula>OR(AND(LEFT($A1, 16)="select_multiple ", LEN($A1)&gt;16, NOT(ISNUMBER(SEARCH(" ", $A1, 17)))), AND(LEFT($A1, 11)="select_one ", LEN($A1)&gt;11, NOT(ISNUMBER(SEARCH(" ", $A1, 12)))))</formula>
    </cfRule>
    <cfRule type="expression" priority="6485" dxfId="48" stopIfTrue="1">
      <formula>$A1="image"</formula>
    </cfRule>
    <cfRule type="expression" priority="6489" dxfId="49" stopIfTrue="1">
      <formula>OR($A1="date", $A1="datetime", $A1="time")</formula>
    </cfRule>
  </conditionalFormatting>
  <conditionalFormatting sqref="B11:C12">
    <cfRule type="expression" priority="334" dxfId="42" stopIfTrue="1">
      <formula>$A11="note"</formula>
    </cfRule>
    <cfRule type="expression" priority="335" dxfId="43" stopIfTrue="1">
      <formula>$A11="barcode"</formula>
    </cfRule>
    <cfRule type="expression" priority="336" dxfId="44" stopIfTrue="1">
      <formula>OR($A11="geopoint", $A11="geoshape", $A11="geotrace")</formula>
    </cfRule>
  </conditionalFormatting>
  <conditionalFormatting sqref="B11:C15">
    <cfRule type="expression" priority="337" dxfId="84" stopIfTrue="1">
      <formula>$A11="file"</formula>
    </cfRule>
  </conditionalFormatting>
  <conditionalFormatting sqref="B13:C14 F13:F14">
    <cfRule type="expression" priority="928" dxfId="49" stopIfTrue="1">
      <formula>OR($A13="date", $A13="datetime", $A13="time")</formula>
    </cfRule>
    <cfRule type="expression" priority="926" dxfId="48" stopIfTrue="1">
      <formula>$A13="image"</formula>
    </cfRule>
    <cfRule type="expression" priority="941" dxfId="46" stopIfTrue="1">
      <formula>OR(AND(LEFT($A13, 16)="select_multiple ", LEN($A13)&gt;16, NOT(ISNUMBER(SEARCH(" ", $A13, 17)))), AND(LEFT($A13, 11)="select_one ", LEN($A13)&gt;11, NOT(ISNUMBER(SEARCH(" ", $A13, 12)))))</formula>
    </cfRule>
  </conditionalFormatting>
  <conditionalFormatting sqref="B13:C14">
    <cfRule type="expression" priority="932" dxfId="42" stopIfTrue="1">
      <formula>$A13="note"</formula>
    </cfRule>
    <cfRule type="expression" priority="934" dxfId="43" stopIfTrue="1">
      <formula>$A13="barcode"</formula>
    </cfRule>
    <cfRule type="expression" priority="924" dxfId="45" stopIfTrue="1">
      <formula>OR($A13="audio", $A13="video")</formula>
    </cfRule>
    <cfRule type="expression" priority="936" dxfId="44" stopIfTrue="1">
      <formula>OR($A13="geopoint", $A13="geoshape", $A13="geotrace")</formula>
    </cfRule>
  </conditionalFormatting>
  <conditionalFormatting sqref="B13:C15 F13:F16 I13:I16">
    <cfRule type="expression" priority="953" dxfId="47" stopIfTrue="1">
      <formula>$A13="begin group"</formula>
    </cfRule>
  </conditionalFormatting>
  <conditionalFormatting sqref="B15:C15">
    <cfRule type="expression" priority="6493" dxfId="42" stopIfTrue="1">
      <formula>$A15="note"</formula>
    </cfRule>
    <cfRule type="expression" priority="6495" dxfId="43" stopIfTrue="1">
      <formula>$A15="barcode"</formula>
    </cfRule>
    <cfRule type="expression" priority="6497" dxfId="44" stopIfTrue="1">
      <formula>OR($A15="geopoint", $A15="geoshape", $A15="geotrace")</formula>
    </cfRule>
  </conditionalFormatting>
  <conditionalFormatting sqref="B17:C18 B33:C33 B34:B39 B153 B162:B163 B165:B174 B175:C178 B179:B182 B212:B217">
    <cfRule type="expression" priority="1145" dxfId="47" stopIfTrue="1">
      <formula>$A17="begin group"</formula>
    </cfRule>
  </conditionalFormatting>
  <conditionalFormatting sqref="B17:C18 B33:C33">
    <cfRule type="expression" priority="893" dxfId="42" stopIfTrue="1">
      <formula>$A17="note"</formula>
    </cfRule>
    <cfRule type="expression" priority="895" dxfId="43" stopIfTrue="1">
      <formula>$A17="barcode"</formula>
    </cfRule>
    <cfRule type="expression" priority="897" dxfId="44" stopIfTrue="1">
      <formula>OR($A17="geopoint", $A17="geoshape", $A17="geotrace")</formula>
    </cfRule>
    <cfRule type="expression" priority="885" dxfId="45" stopIfTrue="1">
      <formula>OR($A17="audio", $A17="video")</formula>
    </cfRule>
    <cfRule type="expression" priority="877" dxfId="84" stopIfTrue="1">
      <formula>$A17="file"</formula>
    </cfRule>
  </conditionalFormatting>
  <conditionalFormatting sqref="B221:C270">
    <cfRule type="expression" priority="171" dxfId="47" stopIfTrue="1">
      <formula>$A221="begin group"</formula>
    </cfRule>
    <cfRule type="expression" priority="172" dxfId="48" stopIfTrue="1">
      <formula>$A221="image"</formula>
    </cfRule>
    <cfRule type="expression" priority="173" dxfId="49" stopIfTrue="1">
      <formula>OR($A221="date", $A221="datetime", $A221="time")</formula>
    </cfRule>
    <cfRule type="expression" priority="174" dxfId="46" stopIfTrue="1">
      <formula>OR(AND(LEFT($A221, 16)="select_multiple ", LEN($A221)&gt;16, NOT(ISNUMBER(SEARCH(" ", $A221, 17)))), AND(LEFT($A221, 11)="select_one ", LEN($A221)&gt;11, NOT(ISNUMBER(SEARCH(" ", $A221, 12)))))</formula>
    </cfRule>
    <cfRule type="expression" priority="175" dxfId="84" stopIfTrue="1">
      <formula>$A221="file"</formula>
    </cfRule>
  </conditionalFormatting>
  <conditionalFormatting sqref="B225:C225">
    <cfRule type="expression" priority="183" dxfId="44" stopIfTrue="1">
      <formula>OR($A225="geopoint", $A225="geoshape", $A225="geotrace")</formula>
    </cfRule>
    <cfRule type="expression" priority="185" dxfId="86" stopIfTrue="1">
      <formula>$A225="enumerator"</formula>
    </cfRule>
    <cfRule type="expression" priority="180" dxfId="52" stopIfTrue="1">
      <formula>$A225="text"</formula>
    </cfRule>
    <cfRule type="expression" priority="181" dxfId="42" stopIfTrue="1">
      <formula>$A225="note"</formula>
    </cfRule>
    <cfRule type="expression" priority="182" dxfId="43" stopIfTrue="1">
      <formula>$A225="barcode"</formula>
    </cfRule>
  </conditionalFormatting>
  <conditionalFormatting sqref="B225:C270">
    <cfRule type="expression" priority="178" dxfId="41" stopIfTrue="1">
      <formula>$A225="begin repeat"</formula>
    </cfRule>
  </conditionalFormatting>
  <conditionalFormatting sqref="B1:D12 B15:D15 B16 B19:D25 B41:D66 B121:D151 B162:D163 B165:D217 B219:D224 B226:D270 B271:B277 B278:D283 B285:D1048576 C218:D218 D16 D225 D271:D277 F1:F12 F41:F66 F121:F151 F153:F163 F165:F283 F285:F1048576">
    <cfRule type="expression" priority="2884" dxfId="52" stopIfTrue="1">
      <formula>$A1="text"</formula>
    </cfRule>
  </conditionalFormatting>
  <conditionalFormatting sqref="B1:D12 B15:D15 B16 B19:D25 B26 B27:D28 B29:B31 B32:D32 B34:D39 B41:D66 B69:D96 B98:D119 B121:D151 B153:D153 B162:D163 B165:D217 B219:D224 B226:D270 B271:B277 B278:D283 B285:D1048576 C97:D97 C218:D218 D16 D26 D29:D31 D225 D271:D277 F1:F12 F15:F16 F19:F32 F34:F39 F41:F66 F69:F119 F121:F151 F153:F163 F165:F283 F285:F1048576">
    <cfRule type="expression" priority="6472" dxfId="86" stopIfTrue="1">
      <formula>$A1="enumerator"</formula>
    </cfRule>
  </conditionalFormatting>
  <conditionalFormatting sqref="B1:D15 B17:D18 B33:D33 G1:H18 G33:H33">
    <cfRule type="expression" priority="943" dxfId="40" stopIfTrue="1">
      <formula>$A1="decimal"</formula>
    </cfRule>
    <cfRule type="expression" priority="945" dxfId="36" stopIfTrue="1">
      <formula>$A1="integer"</formula>
    </cfRule>
  </conditionalFormatting>
  <conditionalFormatting sqref="B13:D14 B17:D18 B33:D33 F13:F14 F17:F18 F33">
    <cfRule type="expression" priority="918" dxfId="86" stopIfTrue="1">
      <formula>$A13="enumerator"</formula>
    </cfRule>
    <cfRule type="expression" priority="947" dxfId="52" stopIfTrue="1">
      <formula>$A13="text"</formula>
    </cfRule>
  </conditionalFormatting>
  <conditionalFormatting sqref="B68:D68 F68">
    <cfRule type="expression" priority="849" dxfId="86" stopIfTrue="1">
      <formula>$A68="enumerator"</formula>
    </cfRule>
  </conditionalFormatting>
  <conditionalFormatting sqref="B68:D68 G68:H68">
    <cfRule type="expression" priority="839" dxfId="36" stopIfTrue="1">
      <formula>$A68="integer"</formula>
    </cfRule>
    <cfRule type="expression" priority="837" dxfId="40" stopIfTrue="1">
      <formula>$A68="decimal"</formula>
    </cfRule>
  </conditionalFormatting>
  <conditionalFormatting sqref="B68:D77 B79:D96 F68:F77">
    <cfRule type="expression" priority="871" dxfId="52" stopIfTrue="1">
      <formula>$A68="text"</formula>
    </cfRule>
  </conditionalFormatting>
  <conditionalFormatting sqref="B78:D78 F78">
    <cfRule type="expression" priority="410" dxfId="52" stopIfTrue="1">
      <formula>$A78="text"</formula>
    </cfRule>
  </conditionalFormatting>
  <conditionalFormatting sqref="B120:D120 F120">
    <cfRule type="expression" priority="770" dxfId="86" stopIfTrue="1">
      <formula>$A120="enumerator"</formula>
    </cfRule>
  </conditionalFormatting>
  <conditionalFormatting sqref="B120:D120 G120:H120">
    <cfRule type="expression" priority="757" dxfId="40" stopIfTrue="1">
      <formula>$A120="decimal"</formula>
    </cfRule>
  </conditionalFormatting>
  <conditionalFormatting sqref="B120:D120">
    <cfRule type="expression" priority="758" dxfId="36" stopIfTrue="1">
      <formula>$A120="integer"</formula>
    </cfRule>
    <cfRule type="expression" priority="792" dxfId="52" stopIfTrue="1">
      <formula>$A120="text"</formula>
    </cfRule>
  </conditionalFormatting>
  <conditionalFormatting sqref="B152:D152 F152">
    <cfRule type="expression" priority="655" dxfId="86" stopIfTrue="1">
      <formula>$A152="enumerator"</formula>
    </cfRule>
  </conditionalFormatting>
  <conditionalFormatting sqref="B152:D152 G152:H152">
    <cfRule type="expression" priority="643" dxfId="40" stopIfTrue="1">
      <formula>$A152="decimal"</formula>
    </cfRule>
    <cfRule type="expression" priority="645" dxfId="36" stopIfTrue="1">
      <formula>$A152="integer"</formula>
    </cfRule>
  </conditionalFormatting>
  <conditionalFormatting sqref="B152:D152">
    <cfRule type="expression" priority="677" dxfId="52" stopIfTrue="1">
      <formula>$A152="text"</formula>
    </cfRule>
  </conditionalFormatting>
  <conditionalFormatting sqref="B155:D161 C154:D154">
    <cfRule type="expression" priority="608" dxfId="86" stopIfTrue="1">
      <formula>$A154="enumerator"</formula>
    </cfRule>
  </conditionalFormatting>
  <conditionalFormatting sqref="B164:D164 F164">
    <cfRule type="expression" priority="247" dxfId="52" stopIfTrue="1">
      <formula>$A164="text"</formula>
    </cfRule>
    <cfRule type="expression" priority="252" dxfId="86" stopIfTrue="1">
      <formula>$A164="enumerator"</formula>
    </cfRule>
  </conditionalFormatting>
  <conditionalFormatting sqref="B164:D164 G164:H164">
    <cfRule type="expression" priority="244" dxfId="36" stopIfTrue="1">
      <formula>$A164="integer"</formula>
    </cfRule>
    <cfRule type="expression" priority="243" dxfId="40" stopIfTrue="1">
      <formula>$A164="decimal"</formula>
    </cfRule>
  </conditionalFormatting>
  <conditionalFormatting sqref="B218:D224">
    <cfRule type="expression" priority="296" dxfId="40" stopIfTrue="1">
      <formula>$A218="decimal"</formula>
    </cfRule>
    <cfRule type="expression" priority="297" dxfId="36" stopIfTrue="1">
      <formula>$A218="integer"</formula>
    </cfRule>
  </conditionalFormatting>
  <conditionalFormatting sqref="B225:D270">
    <cfRule type="expression" priority="177" dxfId="36" stopIfTrue="1">
      <formula>$A225="integer"</formula>
    </cfRule>
    <cfRule type="expression" priority="176" dxfId="40" stopIfTrue="1">
      <formula>$A225="decimal"</formula>
    </cfRule>
  </conditionalFormatting>
  <conditionalFormatting sqref="C16">
    <cfRule type="expression" priority="1998" dxfId="304" stopIfTrue="1">
      <formula>$A16="integer"</formula>
    </cfRule>
    <cfRule type="expression" priority="1994" dxfId="447" stopIfTrue="1">
      <formula>$A16="begin group"</formula>
    </cfRule>
    <cfRule type="expression" priority="1995" dxfId="446" stopIfTrue="1">
      <formula>$A16="begin repeat"</formula>
    </cfRule>
    <cfRule type="expression" priority="1996" dxfId="445" stopIfTrue="1">
      <formula>$A16="enumerator"</formula>
    </cfRule>
    <cfRule type="expression" priority="1999" dxfId="313" stopIfTrue="1">
      <formula>$A16="decimal"</formula>
    </cfRule>
    <cfRule type="expression" priority="2000" dxfId="443" stopIfTrue="1">
      <formula>OR(AND(LEFT($A16, 16)="select_multiple ", LEN($A16)&gt;16, NOT(ISNUMBER(SEARCH(" ", $A16, 17)))), AND(LEFT($A16, 11)="select_one ", LEN($A16)&gt;11, NOT(ISNUMBER(SEARCH(" ", $A16, 12)))))</formula>
    </cfRule>
    <cfRule type="expression" priority="2001" dxfId="442" stopIfTrue="1">
      <formula>$A16="file"</formula>
    </cfRule>
    <cfRule type="expression" priority="2002" dxfId="441" stopIfTrue="1">
      <formula>$A16="note"</formula>
    </cfRule>
    <cfRule type="expression" priority="2003" dxfId="440" stopIfTrue="1">
      <formula>$A16="barcode"</formula>
    </cfRule>
    <cfRule type="expression" priority="2004" dxfId="439" stopIfTrue="1">
      <formula>OR($A16="geopoint", $A16="geoshape", $A16="geotrace")</formula>
    </cfRule>
    <cfRule type="expression" priority="2005" dxfId="438" stopIfTrue="1">
      <formula>OR($A16="date", $A16="datetime", $A16="time")</formula>
    </cfRule>
    <cfRule type="expression" priority="2006" dxfId="437" stopIfTrue="1">
      <formula>$A16="image"</formula>
    </cfRule>
    <cfRule type="expression" priority="2007" dxfId="436" stopIfTrue="1">
      <formula>OR($A16="audio", $A16="video")</formula>
    </cfRule>
    <cfRule type="expression" priority="2008" dxfId="314" stopIfTrue="1">
      <formula>$A16="file"</formula>
    </cfRule>
    <cfRule type="expression" priority="2009" dxfId="315" stopIfTrue="1">
      <formula>$A16="enumerator"</formula>
    </cfRule>
    <cfRule type="expression" priority="2010" dxfId="316" stopIfTrue="1">
      <formula>OR(AND(LEFT($A16, 14)="sensor_stream ", LEN($A16)&gt;14, NOT(ISNUMBER(SEARCH(" ", $A16, 15)))), AND(LEFT($A16, 17)="sensor_statistic ", LEN($A16)&gt;17, NOT(ISNUMBER(SEARCH(" ", $A16, 18)))))</formula>
    </cfRule>
    <cfRule type="expression" priority="2011" dxfId="317" stopIfTrue="1">
      <formula>$A16="comments"</formula>
    </cfRule>
    <cfRule type="expression" priority="2012" dxfId="318" stopIfTrue="1">
      <formula>OR($A16="audio", $A16="video")</formula>
    </cfRule>
    <cfRule type="expression" priority="2013" dxfId="319" stopIfTrue="1">
      <formula>$A16="image"</formula>
    </cfRule>
    <cfRule type="expression" priority="2014" dxfId="320" stopIfTrue="1">
      <formula>OR($A16="date", $A16="datetime", $A16="time")</formula>
    </cfRule>
    <cfRule type="expression" priority="2015" dxfId="321" stopIfTrue="1">
      <formula>OR($A16="calculate", $A16="calculate_here")</formula>
    </cfRule>
    <cfRule type="expression" priority="2016" dxfId="322" stopIfTrue="1">
      <formula>$A16="note"</formula>
    </cfRule>
    <cfRule type="expression" priority="2017" dxfId="323" stopIfTrue="1">
      <formula>$A16="barcode"</formula>
    </cfRule>
    <cfRule type="expression" priority="2018" dxfId="324" stopIfTrue="1">
      <formula>OR($A16="geopoint", $A16="geoshape", $A16="geotrace")</formula>
    </cfRule>
    <cfRule type="expression" priority="2019" dxfId="325" stopIfTrue="1">
      <formula>OR($A16="audio audit", $A16="text audit", $A16="speed violations count", $A16="speed violations list", $A16="speed violations audit")</formula>
    </cfRule>
    <cfRule type="expression" priority="2020" dxfId="310" stopIfTrue="1">
      <formula>OR($A16="username", $A16="phonenumber", $A16="start", $A16="end", $A16="deviceid", $A16="subscriberid", $A16="simserial", $A16="caseid")</formula>
    </cfRule>
    <cfRule type="expression" priority="2021" dxfId="309" stopIfTrue="1">
      <formula>OR(AND(LEFT($A16, 16)="select_multiple ", LEN($A16)&gt;16, NOT(ISNUMBER(SEARCH(" ", $A16, 17)))), AND(LEFT($A16, 11)="select_one ", LEN($A16)&gt;11, NOT(ISNUMBER(SEARCH(" ", $A16, 12)))))</formula>
    </cfRule>
    <cfRule type="expression" priority="2022" dxfId="307" stopIfTrue="1">
      <formula>$A16="decimal"</formula>
    </cfRule>
    <cfRule type="expression" priority="2023" dxfId="326" stopIfTrue="1">
      <formula>$A16="integer"</formula>
    </cfRule>
    <cfRule type="expression" priority="2024" dxfId="311" stopIfTrue="1">
      <formula>$A16="text"</formula>
    </cfRule>
    <cfRule type="expression" priority="2025" dxfId="308" stopIfTrue="1">
      <formula>$A16="end repeat"</formula>
    </cfRule>
    <cfRule type="expression" priority="2026" dxfId="308" stopIfTrue="1">
      <formula>$A16="begin repeat"</formula>
    </cfRule>
    <cfRule type="expression" priority="2027" dxfId="305" stopIfTrue="1">
      <formula>$A16="end group"</formula>
    </cfRule>
    <cfRule type="expression" priority="2028" dxfId="305" stopIfTrue="1">
      <formula>$A16="begin group"</formula>
    </cfRule>
    <cfRule type="expression" priority="1997" dxfId="414" stopIfTrue="1">
      <formula>$A16="text"</formula>
    </cfRule>
  </conditionalFormatting>
  <conditionalFormatting sqref="C156:C157">
    <cfRule type="expression" priority="574" dxfId="1" stopIfTrue="1">
      <formula>$A156="end group"</formula>
    </cfRule>
    <cfRule type="expression" priority="573" dxfId="2" stopIfTrue="1">
      <formula>$A156="begin repeat"</formula>
    </cfRule>
    <cfRule type="expression" priority="572" dxfId="2" stopIfTrue="1">
      <formula>$A156="end repeat"</formula>
    </cfRule>
    <cfRule type="expression" priority="571" dxfId="4" stopIfTrue="1">
      <formula>$A156="text"</formula>
    </cfRule>
    <cfRule type="expression" priority="570" dxfId="52" stopIfTrue="1">
      <formula>$A156="text"</formula>
    </cfRule>
    <cfRule type="expression" priority="569" dxfId="5" stopIfTrue="1">
      <formula>$A156="integer"</formula>
    </cfRule>
    <cfRule type="expression" priority="568" dxfId="36" stopIfTrue="1">
      <formula>$A156="integer"</formula>
    </cfRule>
    <cfRule type="expression" priority="567" dxfId="6" stopIfTrue="1">
      <formula>$A156="decimal"</formula>
    </cfRule>
    <cfRule type="expression" priority="566" dxfId="40" stopIfTrue="1">
      <formula>$A156="decimal"</formula>
    </cfRule>
    <cfRule type="expression" priority="565" dxfId="7" stopIfTrue="1">
      <formula>OR(AND(LEFT($A156, 16)="select_multiple ", LEN($A156)&gt;16, NOT(ISNUMBER(SEARCH(" ", $A156, 17)))), AND(LEFT($A156, 11)="select_one ", LEN($A156)&gt;11, NOT(ISNUMBER(SEARCH(" ", $A156, 12)))))</formula>
    </cfRule>
    <cfRule type="expression" priority="564" dxfId="0" stopIfTrue="1">
      <formula>OR($A156="username", $A156="phonenumber", $A156="start", $A156="end", $A156="deviceid", $A156="subscriberid", $A156="simserial", $A156="caseid")</formula>
    </cfRule>
    <cfRule type="expression" priority="563" dxfId="8" stopIfTrue="1">
      <formula>OR($A156="audio audit", $A156="text audit", $A156="speed violations count", $A156="speed violations list", $A156="speed violations audit")</formula>
    </cfRule>
    <cfRule type="expression" priority="562" dxfId="9" stopIfTrue="1">
      <formula>OR($A156="geopoint", $A156="geoshape", $A156="geotrace")</formula>
    </cfRule>
    <cfRule type="expression" priority="561" dxfId="10" stopIfTrue="1">
      <formula>$A156="barcode"</formula>
    </cfRule>
    <cfRule type="expression" priority="560" dxfId="12" stopIfTrue="1">
      <formula>$A156="note"</formula>
    </cfRule>
    <cfRule type="expression" priority="559" dxfId="11" stopIfTrue="1">
      <formula>OR($A156="calculate", $A156="calculate_here")</formula>
    </cfRule>
    <cfRule type="expression" priority="558" dxfId="21" stopIfTrue="1">
      <formula>OR($A156="date", $A156="datetime", $A156="time")</formula>
    </cfRule>
    <cfRule type="expression" priority="557" dxfId="22" stopIfTrue="1">
      <formula>$A156="image"</formula>
    </cfRule>
    <cfRule type="expression" priority="556" dxfId="23" stopIfTrue="1">
      <formula>OR($A156="audio", $A156="video")</formula>
    </cfRule>
    <cfRule type="expression" priority="555" dxfId="24" stopIfTrue="1">
      <formula>$A156="comments"</formula>
    </cfRule>
    <cfRule type="expression" priority="554" dxfId="88" stopIfTrue="1">
      <formula>OR(AND(LEFT($A156, 14)="sensor_stream ", LEN($A156)&gt;14, NOT(ISNUMBER(SEARCH(" ", $A156, 15)))), AND(LEFT($A156, 17)="sensor_statistic ", LEN($A156)&gt;17, NOT(ISNUMBER(SEARCH(" ", $A156, 18)))))</formula>
    </cfRule>
    <cfRule type="expression" priority="553" dxfId="47" stopIfTrue="1">
      <formula>$A156="begin group"</formula>
    </cfRule>
    <cfRule type="expression" priority="552" dxfId="41" stopIfTrue="1">
      <formula>$A156="begin repeat"</formula>
    </cfRule>
    <cfRule type="expression" priority="551" dxfId="46" stopIfTrue="1">
      <formula>OR(AND(LEFT($A156, 16)="select_multiple ", LEN($A156)&gt;16, NOT(ISNUMBER(SEARCH(" ", $A156, 17)))), AND(LEFT($A156, 11)="select_one ", LEN($A156)&gt;11, NOT(ISNUMBER(SEARCH(" ", $A156, 12)))))</formula>
    </cfRule>
    <cfRule type="expression" priority="550" dxfId="44" stopIfTrue="1">
      <formula>OR($A156="geopoint", $A156="geoshape", $A156="geotrace")</formula>
    </cfRule>
    <cfRule type="expression" priority="549" dxfId="43" stopIfTrue="1">
      <formula>$A156="barcode"</formula>
    </cfRule>
    <cfRule type="expression" priority="548" dxfId="42" stopIfTrue="1">
      <formula>$A156="note"</formula>
    </cfRule>
    <cfRule type="expression" priority="547" dxfId="49" stopIfTrue="1">
      <formula>OR($A156="date", $A156="datetime", $A156="time")</formula>
    </cfRule>
    <cfRule type="expression" priority="546" dxfId="48" stopIfTrue="1">
      <formula>$A156="image"</formula>
    </cfRule>
    <cfRule type="expression" priority="545" dxfId="45" stopIfTrue="1">
      <formula>OR($A156="audio", $A156="video")</formula>
    </cfRule>
    <cfRule type="expression" priority="544" dxfId="84" stopIfTrue="1">
      <formula>$A156="file"</formula>
    </cfRule>
    <cfRule type="expression" priority="575" dxfId="1" stopIfTrue="1">
      <formula>$A156="begin group"</formula>
    </cfRule>
  </conditionalFormatting>
  <conditionalFormatting sqref="C225">
    <cfRule type="expression" priority="201" dxfId="2" stopIfTrue="1">
      <formula>$A225="end repeat"</formula>
    </cfRule>
    <cfRule type="expression" priority="196" dxfId="0" stopIfTrue="1">
      <formula>OR($A225="username", $A225="phonenumber", $A225="start", $A225="end", $A225="deviceid", $A225="subscriberid", $A225="simserial", $A225="caseid")</formula>
    </cfRule>
    <cfRule type="expression" priority="203" dxfId="1" stopIfTrue="1">
      <formula>$A225="end group"</formula>
    </cfRule>
    <cfRule type="expression" priority="202" dxfId="2" stopIfTrue="1">
      <formula>$A225="begin repeat"</formula>
    </cfRule>
    <cfRule type="expression" priority="200" dxfId="4" stopIfTrue="1">
      <formula>$A225="text"</formula>
    </cfRule>
    <cfRule type="expression" priority="199" dxfId="5" stopIfTrue="1">
      <formula>$A225="integer"</formula>
    </cfRule>
    <cfRule type="expression" priority="186" dxfId="88" stopIfTrue="1">
      <formula>OR(AND(LEFT($A225, 14)="sensor_stream ", LEN($A225)&gt;14, NOT(ISNUMBER(SEARCH(" ", $A225, 15)))), AND(LEFT($A225, 17)="sensor_statistic ", LEN($A225)&gt;17, NOT(ISNUMBER(SEARCH(" ", $A225, 18)))))</formula>
    </cfRule>
    <cfRule type="expression" priority="198" dxfId="6" stopIfTrue="1">
      <formula>$A225="decimal"</formula>
    </cfRule>
    <cfRule type="expression" priority="187" dxfId="24" stopIfTrue="1">
      <formula>$A225="comments"</formula>
    </cfRule>
    <cfRule type="expression" priority="188" dxfId="45" stopIfTrue="1">
      <formula>OR($A225="audio", $A225="video")</formula>
    </cfRule>
    <cfRule type="expression" priority="189" dxfId="23" stopIfTrue="1">
      <formula>OR($A225="audio", $A225="video")</formula>
    </cfRule>
    <cfRule type="expression" priority="190" dxfId="22" stopIfTrue="1">
      <formula>$A225="image"</formula>
    </cfRule>
    <cfRule type="expression" priority="191" dxfId="21" stopIfTrue="1">
      <formula>OR($A225="date", $A225="datetime", $A225="time")</formula>
    </cfRule>
    <cfRule type="expression" priority="192" dxfId="12" stopIfTrue="1">
      <formula>$A225="note"</formula>
    </cfRule>
    <cfRule type="expression" priority="193" dxfId="10" stopIfTrue="1">
      <formula>$A225="barcode"</formula>
    </cfRule>
    <cfRule type="expression" priority="194" dxfId="9" stopIfTrue="1">
      <formula>OR($A225="geopoint", $A225="geoshape", $A225="geotrace")</formula>
    </cfRule>
    <cfRule type="expression" priority="197" dxfId="7" stopIfTrue="1">
      <formula>OR(AND(LEFT($A225, 16)="select_multiple ", LEN($A225)&gt;16, NOT(ISNUMBER(SEARCH(" ", $A225, 17)))), AND(LEFT($A225, 11)="select_one ", LEN($A225)&gt;11, NOT(ISNUMBER(SEARCH(" ", $A225, 12)))))</formula>
    </cfRule>
    <cfRule type="expression" priority="195" dxfId="8" stopIfTrue="1">
      <formula>OR($A225="audio audit", $A225="text audit", $A225="speed violations count", $A225="speed violations list", $A225="speed violations audit")</formula>
    </cfRule>
    <cfRule type="expression" priority="204" dxfId="1" stopIfTrue="1">
      <formula>$A225="begin group"</formula>
    </cfRule>
  </conditionalFormatting>
  <conditionalFormatting sqref="B155:D155 B156:B157 B158:D161 C154:D154 D156:D157">
    <cfRule type="expression" priority="634" dxfId="52" stopIfTrue="1">
      <formula>$A154="text"</formula>
    </cfRule>
  </conditionalFormatting>
  <conditionalFormatting sqref="B155:D155 B158:D161 C154:D154">
    <cfRule type="expression" priority="583" dxfId="36" stopIfTrue="1">
      <formula>$A154="integer"</formula>
    </cfRule>
  </conditionalFormatting>
  <conditionalFormatting sqref="B155:D155 C154:D154">
    <cfRule type="expression" priority="582" dxfId="40" stopIfTrue="1">
      <formula>$A154="decimal"</formula>
    </cfRule>
  </conditionalFormatting>
  <conditionalFormatting sqref="D271:X277">
    <cfRule type="expression" priority="20" dxfId="11" stopIfTrue="1">
      <formula>OR($A271="calculate", $A271="calculate_here")</formula>
    </cfRule>
  </conditionalFormatting>
  <conditionalFormatting sqref="F15:F16">
    <cfRule type="expression" priority="6518" dxfId="52" stopIfTrue="1">
      <formula>$A15="text"</formula>
    </cfRule>
  </conditionalFormatting>
  <conditionalFormatting sqref="B26 B27:D28 B29:B31 B32:D32 B34:D39 B98:D119 B153:D153 C97:D97 D26 D29:D31 F19:F32 F34:F39 F79:F119">
    <cfRule type="expression" priority="1206" dxfId="52" stopIfTrue="1">
      <formula>$A19="text"</formula>
    </cfRule>
  </conditionalFormatting>
  <conditionalFormatting sqref="F78">
    <cfRule type="expression" priority="406" dxfId="48" stopIfTrue="1">
      <formula>$A78="image"</formula>
    </cfRule>
    <cfRule type="expression" priority="407" dxfId="49" stopIfTrue="1">
      <formula>OR($A78="date", $A78="datetime", $A78="time")</formula>
    </cfRule>
    <cfRule type="expression" priority="408" dxfId="46" stopIfTrue="1">
      <formula>OR(AND(LEFT($A78, 16)="select_multiple ", LEN($A78)&gt;16, NOT(ISNUMBER(SEARCH(" ", $A78, 17)))), AND(LEFT($A78, 11)="select_one ", LEN($A78)&gt;11, NOT(ISNUMBER(SEARCH(" ", $A78, 12)))))</formula>
    </cfRule>
  </conditionalFormatting>
  <conditionalFormatting sqref="F120">
    <cfRule type="expression" priority="756" dxfId="52" stopIfTrue="1">
      <formula>$A120="text"</formula>
    </cfRule>
  </conditionalFormatting>
  <conditionalFormatting sqref="F152">
    <cfRule type="expression" priority="642" dxfId="52" stopIfTrue="1">
      <formula>$A152="text"</formula>
    </cfRule>
  </conditionalFormatting>
  <conditionalFormatting sqref="G120:H120">
    <cfRule type="expression" priority="760" dxfId="36" stopIfTrue="1">
      <formula>$A120="integer"</formula>
    </cfRule>
  </conditionalFormatting>
  <conditionalFormatting sqref="G129:H129">
    <cfRule type="expression" priority="706" dxfId="87" stopIfTrue="1">
      <formula>$A129="enumerator"</formula>
    </cfRule>
    <cfRule type="expression" priority="728" dxfId="1" stopIfTrue="1">
      <formula>$A129="begin group"</formula>
    </cfRule>
    <cfRule type="expression" priority="723" dxfId="5" stopIfTrue="1">
      <formula>$A129="integer"</formula>
    </cfRule>
    <cfRule type="expression" priority="724" dxfId="4" stopIfTrue="1">
      <formula>$A129="text"</formula>
    </cfRule>
    <cfRule type="expression" priority="707" dxfId="85" stopIfTrue="1">
      <formula>$A129="file"</formula>
    </cfRule>
    <cfRule type="expression" priority="708" dxfId="88" stopIfTrue="1">
      <formula>OR(AND(LEFT($A129, 14)="sensor_stream ", LEN($A129)&gt;14, NOT(ISNUMBER(SEARCH(" ", $A129, 15)))), AND(LEFT($A129, 17)="sensor_statistic ", LEN($A129)&gt;17, NOT(ISNUMBER(SEARCH(" ", $A129, 18)))))</formula>
    </cfRule>
    <cfRule type="expression" priority="709" dxfId="24" stopIfTrue="1">
      <formula>$A129="comments"</formula>
    </cfRule>
    <cfRule type="expression" priority="710" dxfId="23" stopIfTrue="1">
      <formula>OR($A129="audio", $A129="video")</formula>
    </cfRule>
    <cfRule type="expression" priority="711" dxfId="22" stopIfTrue="1">
      <formula>$A129="image"</formula>
    </cfRule>
    <cfRule type="expression" priority="712" dxfId="21" stopIfTrue="1">
      <formula>OR($A129="date", $A129="datetime", $A129="time")</formula>
    </cfRule>
    <cfRule type="expression" priority="713" dxfId="11" stopIfTrue="1">
      <formula>OR($A129="calculate", $A129="calculate_here")</formula>
    </cfRule>
    <cfRule type="expression" priority="725" dxfId="2" stopIfTrue="1">
      <formula>$A129="end repeat"</formula>
    </cfRule>
    <cfRule type="expression" priority="714" dxfId="12" stopIfTrue="1">
      <formula>$A129="note"</formula>
    </cfRule>
    <cfRule type="expression" priority="715" dxfId="10" stopIfTrue="1">
      <formula>$A129="barcode"</formula>
    </cfRule>
    <cfRule type="expression" priority="716" dxfId="9" stopIfTrue="1">
      <formula>OR($A129="geopoint", $A129="geoshape", $A129="geotrace")</formula>
    </cfRule>
    <cfRule type="expression" priority="717" dxfId="8" stopIfTrue="1">
      <formula>OR($A129="audio audit", $A129="text audit", $A129="speed violations count", $A129="speed violations list", $A129="speed violations audit")</formula>
    </cfRule>
    <cfRule type="expression" priority="718" dxfId="0" stopIfTrue="1">
      <formula>OR($A129="username", $A129="phonenumber", $A129="start", $A129="end", $A129="deviceid", $A129="subscriberid", $A129="simserial", $A129="caseid")</formula>
    </cfRule>
    <cfRule type="expression" priority="719" dxfId="7" stopIfTrue="1">
      <formula>OR(AND(LEFT($A129, 16)="select_multiple ", LEN($A129)&gt;16, NOT(ISNUMBER(SEARCH(" ", $A129, 17)))), AND(LEFT($A129, 11)="select_one ", LEN($A129)&gt;11, NOT(ISNUMBER(SEARCH(" ", $A129, 12)))))</formula>
    </cfRule>
    <cfRule type="expression" priority="726" dxfId="2" stopIfTrue="1">
      <formula>$A129="begin repeat"</formula>
    </cfRule>
    <cfRule type="expression" priority="720" dxfId="40" stopIfTrue="1">
      <formula>$A129="decimal"</formula>
    </cfRule>
    <cfRule type="expression" priority="721" dxfId="6" stopIfTrue="1">
      <formula>$A129="decimal"</formula>
    </cfRule>
    <cfRule type="expression" priority="722" dxfId="36" stopIfTrue="1">
      <formula>$A129="integer"</formula>
    </cfRule>
    <cfRule type="expression" priority="727" dxfId="1" stopIfTrue="1">
      <formula>$A129="end group"</formula>
    </cfRule>
  </conditionalFormatting>
  <conditionalFormatting sqref="G130:H130">
    <cfRule type="expression" priority="700" dxfId="326" stopIfTrue="1">
      <formula>$A130="integer"</formula>
    </cfRule>
    <cfRule type="expression" priority="696" dxfId="325" stopIfTrue="1">
      <formula>OR($A130="audio audit", $A130="text audit", $A130="speed violations count", $A130="speed violations list", $A130="speed violations audit")</formula>
    </cfRule>
    <cfRule type="expression" priority="695" dxfId="324" stopIfTrue="1">
      <formula>OR($A130="geopoint", $A130="geoshape", $A130="geotrace")</formula>
    </cfRule>
    <cfRule type="expression" priority="694" dxfId="323" stopIfTrue="1">
      <formula>$A130="barcode"</formula>
    </cfRule>
    <cfRule type="expression" priority="693" dxfId="322" stopIfTrue="1">
      <formula>$A130="note"</formula>
    </cfRule>
    <cfRule type="expression" priority="692" dxfId="321" stopIfTrue="1">
      <formula>OR($A130="calculate", $A130="calculate_here")</formula>
    </cfRule>
    <cfRule type="expression" priority="691" dxfId="320" stopIfTrue="1">
      <formula>OR($A130="date", $A130="datetime", $A130="time")</formula>
    </cfRule>
    <cfRule type="expression" priority="690" dxfId="319" stopIfTrue="1">
      <formula>$A130="image"</formula>
    </cfRule>
    <cfRule type="expression" priority="689" dxfId="318" stopIfTrue="1">
      <formula>OR($A130="audio", $A130="video")</formula>
    </cfRule>
    <cfRule type="expression" priority="688" dxfId="317" stopIfTrue="1">
      <formula>$A130="comments"</formula>
    </cfRule>
    <cfRule type="expression" priority="687" dxfId="316" stopIfTrue="1">
      <formula>OR(AND(LEFT($A130, 14)="sensor_stream ", LEN($A130)&gt;14, NOT(ISNUMBER(SEARCH(" ", $A130, 15)))), AND(LEFT($A130, 17)="sensor_statistic ", LEN($A130)&gt;17, NOT(ISNUMBER(SEARCH(" ", $A130, 18)))))</formula>
    </cfRule>
    <cfRule type="expression" priority="686" dxfId="315" stopIfTrue="1">
      <formula>$A130="enumerator"</formula>
    </cfRule>
    <cfRule type="expression" priority="685" dxfId="314" stopIfTrue="1">
      <formula>$A130="file"</formula>
    </cfRule>
    <cfRule type="expression" priority="684" dxfId="313" stopIfTrue="1">
      <formula>$A130="decimal"</formula>
    </cfRule>
    <cfRule type="expression" priority="702" dxfId="308" stopIfTrue="1">
      <formula>$A130="end repeat"</formula>
    </cfRule>
    <cfRule type="expression" priority="701" dxfId="311" stopIfTrue="1">
      <formula>$A130="text"</formula>
    </cfRule>
    <cfRule type="expression" priority="697" dxfId="310" stopIfTrue="1">
      <formula>OR($A130="username", $A130="phonenumber", $A130="start", $A130="end", $A130="deviceid", $A130="subscriberid", $A130="simserial", $A130="caseid")</formula>
    </cfRule>
    <cfRule type="expression" priority="698" dxfId="309" stopIfTrue="1">
      <formula>OR(AND(LEFT($A130, 16)="select_multiple ", LEN($A130)&gt;16, NOT(ISNUMBER(SEARCH(" ", $A130, 17)))), AND(LEFT($A130, 11)="select_one ", LEN($A130)&gt;11, NOT(ISNUMBER(SEARCH(" ", $A130, 12)))))</formula>
    </cfRule>
    <cfRule type="expression" priority="703" dxfId="308" stopIfTrue="1">
      <formula>$A130="begin repeat"</formula>
    </cfRule>
    <cfRule type="expression" priority="699" dxfId="307" stopIfTrue="1">
      <formula>$A130="decimal"</formula>
    </cfRule>
    <cfRule type="expression" priority="704" dxfId="305" stopIfTrue="1">
      <formula>$A130="end group"</formula>
    </cfRule>
    <cfRule type="expression" priority="705" dxfId="305" stopIfTrue="1">
      <formula>$A130="begin group"</formula>
    </cfRule>
    <cfRule type="expression" priority="683" dxfId="304" stopIfTrue="1">
      <formula>$A130="integer"</formula>
    </cfRule>
  </conditionalFormatting>
  <conditionalFormatting sqref="G173:H173">
    <cfRule type="expression" priority="19" dxfId="8" stopIfTrue="1">
      <formula>OR($A173="audio audit", $A173="text audit", $A173="speed violations count", $A173="speed violations list", $A173="speed violations audit")</formula>
    </cfRule>
    <cfRule type="expression" priority="18" dxfId="88" stopIfTrue="1">
      <formula>OR(AND(LEFT($A173, 14)="sensor_stream ", LEN($A173)&gt;14, NOT(ISNUMBER(SEARCH(" ", $A173, 15)))), AND(LEFT($A173, 17)="sensor_statistic ", LEN($A173)&gt;17, NOT(ISNUMBER(SEARCH(" ", $A173, 18)))))</formula>
    </cfRule>
    <cfRule type="expression" priority="17" dxfId="11" stopIfTrue="1">
      <formula>OR($A173="calculate", $A173="calculate_here")</formula>
    </cfRule>
  </conditionalFormatting>
  <conditionalFormatting sqref="B13:C15 I1:I16 O1:O16">
    <cfRule type="expression" priority="950" dxfId="41" stopIfTrue="1">
      <formula>$A1="begin repeat"</formula>
    </cfRule>
  </conditionalFormatting>
  <conditionalFormatting sqref="I271:I274">
    <cfRule type="expression" priority="27" dxfId="23" stopIfTrue="1">
      <formula>OR($A271="audio", $A271="video")</formula>
    </cfRule>
    <cfRule type="expression" priority="42" dxfId="1" stopIfTrue="1">
      <formula>$A271="begin group"</formula>
    </cfRule>
    <cfRule type="expression" priority="26" dxfId="24" stopIfTrue="1">
      <formula>$A271="comments"</formula>
    </cfRule>
    <cfRule type="expression" priority="25" dxfId="88" stopIfTrue="1">
      <formula>OR(AND(LEFT($A271, 14)="sensor_stream ", LEN($A271)&gt;14, NOT(ISNUMBER(SEARCH(" ", $A271, 15)))), AND(LEFT($A271, 17)="sensor_statistic ", LEN($A271)&gt;17, NOT(ISNUMBER(SEARCH(" ", $A271, 18)))))</formula>
    </cfRule>
    <cfRule type="expression" priority="21" dxfId="47" stopIfTrue="1">
      <formula>$A271="begin group"</formula>
    </cfRule>
    <cfRule type="expression" priority="28" dxfId="22" stopIfTrue="1">
      <formula>$A271="image"</formula>
    </cfRule>
    <cfRule type="expression" priority="29" dxfId="21" stopIfTrue="1">
      <formula>OR($A271="date", $A271="datetime", $A271="time")</formula>
    </cfRule>
    <cfRule type="expression" priority="30" dxfId="12" stopIfTrue="1">
      <formula>$A271="note"</formula>
    </cfRule>
    <cfRule type="expression" priority="22" dxfId="41" stopIfTrue="1">
      <formula>$A271="begin repeat"</formula>
    </cfRule>
    <cfRule type="expression" priority="23" dxfId="87" stopIfTrue="1">
      <formula>$A271="enumerator"</formula>
    </cfRule>
    <cfRule type="expression" priority="31" dxfId="10" stopIfTrue="1">
      <formula>$A271="barcode"</formula>
    </cfRule>
    <cfRule type="expression" priority="32" dxfId="9" stopIfTrue="1">
      <formula>OR($A271="geopoint", $A271="geoshape", $A271="geotrace")</formula>
    </cfRule>
    <cfRule type="expression" priority="24" dxfId="85" stopIfTrue="1">
      <formula>$A271="file"</formula>
    </cfRule>
    <cfRule type="expression" priority="33" dxfId="8" stopIfTrue="1">
      <formula>OR($A271="audio audit", $A271="text audit", $A271="speed violations count", $A271="speed violations list", $A271="speed violations audit")</formula>
    </cfRule>
    <cfRule type="expression" priority="34" dxfId="0" stopIfTrue="1">
      <formula>OR($A271="username", $A271="phonenumber", $A271="start", $A271="end", $A271="deviceid", $A271="subscriberid", $A271="simserial", $A271="caseid")</formula>
    </cfRule>
    <cfRule type="expression" priority="35" dxfId="7" stopIfTrue="1">
      <formula>OR(AND(LEFT($A271, 16)="select_multiple ", LEN($A271)&gt;16, NOT(ISNUMBER(SEARCH(" ", $A271, 17)))), AND(LEFT($A271, 11)="select_one ", LEN($A271)&gt;11, NOT(ISNUMBER(SEARCH(" ", $A271, 12)))))</formula>
    </cfRule>
    <cfRule type="expression" priority="36" dxfId="6" stopIfTrue="1">
      <formula>$A271="decimal"</formula>
    </cfRule>
    <cfRule type="expression" priority="37" dxfId="5" stopIfTrue="1">
      <formula>$A271="integer"</formula>
    </cfRule>
    <cfRule type="expression" priority="38" dxfId="4" stopIfTrue="1">
      <formula>$A271="text"</formula>
    </cfRule>
    <cfRule type="expression" priority="39" dxfId="2" stopIfTrue="1">
      <formula>$A271="end repeat"</formula>
    </cfRule>
    <cfRule type="expression" priority="40" dxfId="2" stopIfTrue="1">
      <formula>$A271="begin repeat"</formula>
    </cfRule>
    <cfRule type="expression" priority="41" dxfId="1" stopIfTrue="1">
      <formula>$A271="end group"</formula>
    </cfRule>
  </conditionalFormatting>
  <conditionalFormatting sqref="N120">
    <cfRule type="expression" priority="755" dxfId="63" stopIfTrue="1">
      <formula>OR($A120="calculate", $A120="calculate_here")</formula>
    </cfRule>
  </conditionalFormatting>
  <conditionalFormatting sqref="N152">
    <cfRule type="expression" priority="641" dxfId="63" stopIfTrue="1">
      <formula>OR($A152="calculate", $A152="calculate_here")</formula>
    </cfRule>
  </conditionalFormatting>
  <conditionalFormatting sqref="N158">
    <cfRule type="expression" priority="515" dxfId="2" stopIfTrue="1">
      <formula>$A158="end repeat"</formula>
    </cfRule>
    <cfRule type="expression" priority="517" dxfId="1" stopIfTrue="1">
      <formula>$A158="end group"</formula>
    </cfRule>
    <cfRule type="expression" priority="497" dxfId="11" stopIfTrue="1">
      <formula>OR($A158="calculate", $A158="calculate_here")</formula>
    </cfRule>
    <cfRule type="expression" priority="499" dxfId="85" stopIfTrue="1">
      <formula>$A158="file"</formula>
    </cfRule>
    <cfRule type="expression" priority="516" dxfId="2" stopIfTrue="1">
      <formula>$A158="begin repeat"</formula>
    </cfRule>
    <cfRule type="expression" priority="502" dxfId="23" stopIfTrue="1">
      <formula>OR($A158="audio", $A158="video")</formula>
    </cfRule>
    <cfRule type="expression" priority="503" dxfId="22" stopIfTrue="1">
      <formula>$A158="image"</formula>
    </cfRule>
    <cfRule type="expression" priority="504" dxfId="21" stopIfTrue="1">
      <formula>OR($A158="date", $A158="datetime", $A158="time")</formula>
    </cfRule>
    <cfRule type="expression" priority="506" dxfId="12" stopIfTrue="1">
      <formula>$A158="note"</formula>
    </cfRule>
    <cfRule type="expression" priority="507" dxfId="10" stopIfTrue="1">
      <formula>$A158="barcode"</formula>
    </cfRule>
    <cfRule type="expression" priority="508" dxfId="9" stopIfTrue="1">
      <formula>OR($A158="geopoint", $A158="geoshape", $A158="geotrace")</formula>
    </cfRule>
    <cfRule type="expression" priority="509" dxfId="8" stopIfTrue="1">
      <formula>OR($A158="audio audit", $A158="text audit", $A158="speed violations count", $A158="speed violations list", $A158="speed violations audit")</formula>
    </cfRule>
    <cfRule type="expression" priority="518" dxfId="1" stopIfTrue="1">
      <formula>$A158="begin group"</formula>
    </cfRule>
    <cfRule type="expression" priority="510" dxfId="0" stopIfTrue="1">
      <formula>OR($A158="username", $A158="phonenumber", $A158="start", $A158="end", $A158="deviceid", $A158="subscriberid", $A158="simserial", $A158="caseid")</formula>
    </cfRule>
    <cfRule type="expression" priority="511" dxfId="7" stopIfTrue="1">
      <formula>OR(AND(LEFT($A158, 16)="select_multiple ", LEN($A158)&gt;16, NOT(ISNUMBER(SEARCH(" ", $A158, 17)))), AND(LEFT($A158, 11)="select_one ", LEN($A158)&gt;11, NOT(ISNUMBER(SEARCH(" ", $A158, 12)))))</formula>
    </cfRule>
    <cfRule type="expression" priority="512" dxfId="6" stopIfTrue="1">
      <formula>$A158="decimal"</formula>
    </cfRule>
    <cfRule type="expression" priority="513" dxfId="5" stopIfTrue="1">
      <formula>$A158="integer"</formula>
    </cfRule>
    <cfRule type="expression" priority="514" dxfId="4" stopIfTrue="1">
      <formula>$A158="text"</formula>
    </cfRule>
    <cfRule type="expression" priority="500" dxfId="88" stopIfTrue="1">
      <formula>OR(AND(LEFT($A158, 14)="sensor_stream ", LEN($A158)&gt;14, NOT(ISNUMBER(SEARCH(" ", $A158, 15)))), AND(LEFT($A158, 17)="sensor_statistic ", LEN($A158)&gt;17, NOT(ISNUMBER(SEARCH(" ", $A158, 18)))))</formula>
    </cfRule>
  </conditionalFormatting>
  <conditionalFormatting sqref="N158:N159">
    <cfRule type="expression" priority="505" dxfId="63" stopIfTrue="1">
      <formula>OR($A158="calculate", $A158="calculate_here")</formula>
    </cfRule>
  </conditionalFormatting>
  <conditionalFormatting sqref="N160:N161">
    <cfRule type="expression" priority="524" dxfId="23" stopIfTrue="1">
      <formula>OR($A160="audio", $A160="video")</formula>
    </cfRule>
    <cfRule type="expression" priority="535" dxfId="4" stopIfTrue="1">
      <formula>$A160="text"</formula>
    </cfRule>
    <cfRule type="expression" priority="539" dxfId="1" stopIfTrue="1">
      <formula>$A160="begin group"</formula>
    </cfRule>
    <cfRule type="expression" priority="522" dxfId="88" stopIfTrue="1">
      <formula>OR(AND(LEFT($A160, 14)="sensor_stream ", LEN($A160)&gt;14, NOT(ISNUMBER(SEARCH(" ", $A160, 15)))), AND(LEFT($A160, 17)="sensor_statistic ", LEN($A160)&gt;17, NOT(ISNUMBER(SEARCH(" ", $A160, 18)))))</formula>
    </cfRule>
    <cfRule type="expression" priority="521" dxfId="85" stopIfTrue="1">
      <formula>$A160="file"</formula>
    </cfRule>
    <cfRule type="expression" priority="526" dxfId="21" stopIfTrue="1">
      <formula>OR($A160="date", $A160="datetime", $A160="time")</formula>
    </cfRule>
    <cfRule type="expression" priority="527" dxfId="12" stopIfTrue="1">
      <formula>$A160="note"</formula>
    </cfRule>
    <cfRule type="expression" priority="528" dxfId="10" stopIfTrue="1">
      <formula>$A160="barcode"</formula>
    </cfRule>
    <cfRule type="expression" priority="537" dxfId="2" stopIfTrue="1">
      <formula>$A160="begin repeat"</formula>
    </cfRule>
    <cfRule type="expression" priority="538" dxfId="1" stopIfTrue="1">
      <formula>$A160="end group"</formula>
    </cfRule>
    <cfRule type="expression" priority="536" dxfId="2" stopIfTrue="1">
      <formula>$A160="end repeat"</formula>
    </cfRule>
    <cfRule type="expression" priority="529" dxfId="9" stopIfTrue="1">
      <formula>OR($A160="geopoint", $A160="geoshape", $A160="geotrace")</formula>
    </cfRule>
    <cfRule type="expression" priority="530" dxfId="8" stopIfTrue="1">
      <formula>OR($A160="audio audit", $A160="text audit", $A160="speed violations count", $A160="speed violations list", $A160="speed violations audit")</formula>
    </cfRule>
    <cfRule type="expression" priority="531" dxfId="0" stopIfTrue="1">
      <formula>OR($A160="username", $A160="phonenumber", $A160="start", $A160="end", $A160="deviceid", $A160="subscriberid", $A160="simserial", $A160="caseid")</formula>
    </cfRule>
    <cfRule type="expression" priority="532" dxfId="7" stopIfTrue="1">
      <formula>OR(AND(LEFT($A160, 16)="select_multiple ", LEN($A160)&gt;16, NOT(ISNUMBER(SEARCH(" ", $A160, 17)))), AND(LEFT($A160, 11)="select_one ", LEN($A160)&gt;11, NOT(ISNUMBER(SEARCH(" ", $A160, 12)))))</formula>
    </cfRule>
    <cfRule type="expression" priority="533" dxfId="6" stopIfTrue="1">
      <formula>$A160="decimal"</formula>
    </cfRule>
    <cfRule type="expression" priority="525" dxfId="22" stopIfTrue="1">
      <formula>$A160="image"</formula>
    </cfRule>
    <cfRule type="expression" priority="534" dxfId="5" stopIfTrue="1">
      <formula>$A160="integer"</formula>
    </cfRule>
  </conditionalFormatting>
  <conditionalFormatting sqref="N160:N168">
    <cfRule type="expression" priority="107" dxfId="11" stopIfTrue="1">
      <formula>OR($A160="calculate", $A160="calculate_here")</formula>
    </cfRule>
  </conditionalFormatting>
  <conditionalFormatting sqref="N162">
    <cfRule type="expression" priority="431" dxfId="1" stopIfTrue="1">
      <formula>$A162="begin group"</formula>
    </cfRule>
    <cfRule type="expression" priority="425" dxfId="6" stopIfTrue="1">
      <formula>$A162="decimal"</formula>
    </cfRule>
    <cfRule type="expression" priority="427" dxfId="4" stopIfTrue="1">
      <formula>$A162="text"</formula>
    </cfRule>
    <cfRule type="expression" priority="419" dxfId="12" stopIfTrue="1">
      <formula>$A162="note"</formula>
    </cfRule>
    <cfRule type="expression" priority="428" dxfId="2" stopIfTrue="1">
      <formula>$A162="end repeat"</formula>
    </cfRule>
    <cfRule type="expression" priority="422" dxfId="8" stopIfTrue="1">
      <formula>OR($A162="audio audit", $A162="text audit", $A162="speed violations count", $A162="speed violations list", $A162="speed violations audit")</formula>
    </cfRule>
    <cfRule type="expression" priority="429" dxfId="2" stopIfTrue="1">
      <formula>$A162="begin repeat"</formula>
    </cfRule>
    <cfRule type="expression" priority="423" dxfId="0" stopIfTrue="1">
      <formula>OR($A162="username", $A162="phonenumber", $A162="start", $A162="end", $A162="deviceid", $A162="subscriberid", $A162="simserial", $A162="caseid")</formula>
    </cfRule>
    <cfRule type="expression" priority="420" dxfId="10" stopIfTrue="1">
      <formula>$A162="barcode"</formula>
    </cfRule>
    <cfRule type="expression" priority="426" dxfId="5" stopIfTrue="1">
      <formula>$A162="integer"</formula>
    </cfRule>
    <cfRule type="expression" priority="424" dxfId="7" stopIfTrue="1">
      <formula>OR(AND(LEFT($A162, 16)="select_multiple ", LEN($A162)&gt;16, NOT(ISNUMBER(SEARCH(" ", $A162, 17)))), AND(LEFT($A162, 11)="select_one ", LEN($A162)&gt;11, NOT(ISNUMBER(SEARCH(" ", $A162, 12)))))</formula>
    </cfRule>
    <cfRule type="expression" priority="430" dxfId="1" stopIfTrue="1">
      <formula>$A162="end group"</formula>
    </cfRule>
    <cfRule type="expression" priority="421" dxfId="9" stopIfTrue="1">
      <formula>OR($A162="geopoint", $A162="geoshape", $A162="geotrace")</formula>
    </cfRule>
  </conditionalFormatting>
  <conditionalFormatting sqref="N162:N163">
    <cfRule type="expression" priority="144" dxfId="23" stopIfTrue="1">
      <formula>OR($A162="audio", $A162="video")</formula>
    </cfRule>
    <cfRule type="expression" priority="417" dxfId="22" stopIfTrue="1">
      <formula>$A162="image"</formula>
    </cfRule>
    <cfRule type="expression" priority="418" dxfId="21" stopIfTrue="1">
      <formula>OR($A162="date", $A162="datetime", $A162="time")</formula>
    </cfRule>
    <cfRule type="expression" priority="143" dxfId="24" stopIfTrue="1">
      <formula>$A162="comments"</formula>
    </cfRule>
    <cfRule type="expression" priority="142" dxfId="88" stopIfTrue="1">
      <formula>OR(AND(LEFT($A162, 14)="sensor_stream ", LEN($A162)&gt;14, NOT(ISNUMBER(SEARCH(" ", $A162, 15)))), AND(LEFT($A162, 17)="sensor_statistic ", LEN($A162)&gt;17, NOT(ISNUMBER(SEARCH(" ", $A162, 18)))))</formula>
    </cfRule>
  </conditionalFormatting>
  <conditionalFormatting sqref="N162:N168">
    <cfRule type="expression" priority="110" dxfId="87" stopIfTrue="1">
      <formula>$A162="enumerator"</formula>
    </cfRule>
    <cfRule type="expression" priority="111" dxfId="85" stopIfTrue="1">
      <formula>$A162="file"</formula>
    </cfRule>
  </conditionalFormatting>
  <conditionalFormatting sqref="N164">
    <cfRule type="expression" priority="89" dxfId="21" stopIfTrue="1">
      <formula>OR($A164="date", $A164="datetime", $A164="time")</formula>
    </cfRule>
    <cfRule type="expression" priority="99" dxfId="8" stopIfTrue="1">
      <formula>OR($A164="audio audit", $A164="text audit", $A164="speed violations count", $A164="speed violations list", $A164="speed violations audit")</formula>
    </cfRule>
    <cfRule type="expression" priority="88" dxfId="22" stopIfTrue="1">
      <formula>$A164="image"</formula>
    </cfRule>
    <cfRule type="expression" priority="87" dxfId="24" stopIfTrue="1">
      <formula>$A164="comments"</formula>
    </cfRule>
    <cfRule type="expression" priority="101" dxfId="85" stopIfTrue="1">
      <formula>$A164="file"</formula>
    </cfRule>
    <cfRule type="expression" priority="86" dxfId="88" stopIfTrue="1">
      <formula>OR(AND(LEFT($A164, 14)="sensor_stream ", LEN($A164)&gt;14, NOT(ISNUMBER(SEARCH(" ", $A164, 15)))), AND(LEFT($A164, 17)="sensor_statistic ", LEN($A164)&gt;17, NOT(ISNUMBER(SEARCH(" ", $A164, 18)))))</formula>
    </cfRule>
    <cfRule type="expression" priority="85" dxfId="11" stopIfTrue="1">
      <formula>OR($A164="calculate", $A164="calculate_here")</formula>
    </cfRule>
    <cfRule type="expression" priority="98" dxfId="21" stopIfTrue="1">
      <formula>OR($A164="date", $A164="datetime", $A164="time")</formula>
    </cfRule>
    <cfRule type="expression" priority="90" dxfId="8" stopIfTrue="1">
      <formula>OR($A164="audio audit", $A164="text audit", $A164="speed violations count", $A164="speed violations list", $A164="speed violations audit")</formula>
    </cfRule>
    <cfRule type="expression" priority="97" dxfId="22" stopIfTrue="1">
      <formula>$A164="image"</formula>
    </cfRule>
    <cfRule type="expression" priority="96" dxfId="23" stopIfTrue="1">
      <formula>OR($A164="audio", $A164="video")</formula>
    </cfRule>
    <cfRule type="expression" priority="102" dxfId="88" stopIfTrue="1">
      <formula>OR(AND(LEFT($A164, 14)="sensor_stream ", LEN($A164)&gt;14, NOT(ISNUMBER(SEARCH(" ", $A164, 15)))), AND(LEFT($A164, 17)="sensor_statistic ", LEN($A164)&gt;17, NOT(ISNUMBER(SEARCH(" ", $A164, 18)))))</formula>
    </cfRule>
    <cfRule type="expression" priority="103" dxfId="24" stopIfTrue="1">
      <formula>$A164="comments"</formula>
    </cfRule>
    <cfRule type="expression" priority="95" dxfId="24" stopIfTrue="1">
      <formula>$A164="comments"</formula>
    </cfRule>
    <cfRule type="expression" priority="104" dxfId="23" stopIfTrue="1">
      <formula>OR($A164="audio", $A164="video")</formula>
    </cfRule>
    <cfRule type="expression" priority="94" dxfId="88" stopIfTrue="1">
      <formula>OR(AND(LEFT($A164, 14)="sensor_stream ", LEN($A164)&gt;14, NOT(ISNUMBER(SEARCH(" ", $A164, 15)))), AND(LEFT($A164, 17)="sensor_statistic ", LEN($A164)&gt;17, NOT(ISNUMBER(SEARCH(" ", $A164, 18)))))</formula>
    </cfRule>
    <cfRule type="expression" priority="93" dxfId="85" stopIfTrue="1">
      <formula>$A164="file"</formula>
    </cfRule>
    <cfRule type="expression" priority="92" dxfId="87" stopIfTrue="1">
      <formula>$A164="enumerator"</formula>
    </cfRule>
    <cfRule type="expression" priority="91" dxfId="11" stopIfTrue="1">
      <formula>OR($A164="calculate", $A164="calculate_here")</formula>
    </cfRule>
    <cfRule type="expression" priority="108" dxfId="8" stopIfTrue="1">
      <formula>OR($A164="audio audit", $A164="text audit", $A164="speed violations count", $A164="speed violations list", $A164="speed violations audit")</formula>
    </cfRule>
    <cfRule type="expression" priority="100" dxfId="87" stopIfTrue="1">
      <formula>$A164="enumerator"</formula>
    </cfRule>
  </conditionalFormatting>
  <conditionalFormatting sqref="N164:N168">
    <cfRule type="expression" priority="130" dxfId="1" stopIfTrue="1">
      <formula>$A164="begin group"</formula>
    </cfRule>
    <cfRule type="expression" priority="125" dxfId="5" stopIfTrue="1">
      <formula>$A164="integer"</formula>
    </cfRule>
    <cfRule type="expression" priority="114" dxfId="23" stopIfTrue="1">
      <formula>OR($A164="audio", $A164="video")</formula>
    </cfRule>
    <cfRule type="expression" priority="124" dxfId="6" stopIfTrue="1">
      <formula>$A164="decimal"</formula>
    </cfRule>
    <cfRule type="expression" priority="117" dxfId="63" stopIfTrue="1">
      <formula>OR($A164="calculate", $A164="calculate_here")</formula>
    </cfRule>
    <cfRule type="expression" priority="118" dxfId="12" stopIfTrue="1">
      <formula>$A164="note"</formula>
    </cfRule>
    <cfRule type="expression" priority="119" dxfId="10" stopIfTrue="1">
      <formula>$A164="barcode"</formula>
    </cfRule>
    <cfRule type="expression" priority="120" dxfId="9" stopIfTrue="1">
      <formula>OR($A164="geopoint", $A164="geoshape", $A164="geotrace")</formula>
    </cfRule>
    <cfRule type="expression" priority="126" dxfId="4" stopIfTrue="1">
      <formula>$A164="text"</formula>
    </cfRule>
    <cfRule type="expression" priority="122" dxfId="0" stopIfTrue="1">
      <formula>OR($A164="username", $A164="phonenumber", $A164="start", $A164="end", $A164="deviceid", $A164="subscriberid", $A164="simserial", $A164="caseid")</formula>
    </cfRule>
    <cfRule type="expression" priority="127" dxfId="2" stopIfTrue="1">
      <formula>$A164="end repeat"</formula>
    </cfRule>
    <cfRule type="expression" priority="123" dxfId="7" stopIfTrue="1">
      <formula>OR(AND(LEFT($A164, 16)="select_multiple ", LEN($A164)&gt;16, NOT(ISNUMBER(SEARCH(" ", $A164, 17)))), AND(LEFT($A164, 11)="select_one ", LEN($A164)&gt;11, NOT(ISNUMBER(SEARCH(" ", $A164, 12)))))</formula>
    </cfRule>
    <cfRule type="expression" priority="129" dxfId="1" stopIfTrue="1">
      <formula>$A164="end group"</formula>
    </cfRule>
    <cfRule type="expression" priority="128" dxfId="2" stopIfTrue="1">
      <formula>$A164="begin repeat"</formula>
    </cfRule>
  </conditionalFormatting>
  <conditionalFormatting sqref="N165:N168">
    <cfRule type="expression" priority="121" dxfId="8" stopIfTrue="1">
      <formula>OR($A165="audio audit", $A165="text audit", $A165="speed violations count", $A165="speed violations list", $A165="speed violations audit")</formula>
    </cfRule>
    <cfRule type="expression" priority="116" dxfId="21" stopIfTrue="1">
      <formula>OR($A165="date", $A165="datetime", $A165="time")</formula>
    </cfRule>
    <cfRule type="expression" priority="115" dxfId="22" stopIfTrue="1">
      <formula>$A165="image"</formula>
    </cfRule>
    <cfRule type="expression" priority="113" dxfId="24" stopIfTrue="1">
      <formula>$A165="comments"</formula>
    </cfRule>
    <cfRule type="expression" priority="112" dxfId="88" stopIfTrue="1">
      <formula>OR(AND(LEFT($A165, 14)="sensor_stream ", LEN($A165)&gt;14, NOT(ISNUMBER(SEARCH(" ", $A165, 15)))), AND(LEFT($A165, 17)="sensor_statistic ", LEN($A165)&gt;17, NOT(ISNUMBER(SEARCH(" ", $A165, 18)))))</formula>
    </cfRule>
  </conditionalFormatting>
  <conditionalFormatting sqref="N158:X158">
    <cfRule type="expression" priority="501" dxfId="24" stopIfTrue="1">
      <formula>$A158="comments"</formula>
    </cfRule>
    <cfRule type="expression" priority="498" dxfId="87" stopIfTrue="1">
      <formula>$A158="enumerator"</formula>
    </cfRule>
  </conditionalFormatting>
  <conditionalFormatting sqref="N160:X161">
    <cfRule type="expression" priority="523" dxfId="24" stopIfTrue="1">
      <formula>$A160="comments"</formula>
    </cfRule>
    <cfRule type="expression" priority="520" dxfId="87" stopIfTrue="1">
      <formula>$A160="enumerator"</formula>
    </cfRule>
  </conditionalFormatting>
  <conditionalFormatting sqref="O68">
    <cfRule type="expression" priority="844" dxfId="41" stopIfTrue="1">
      <formula>$A68="begin repeat"</formula>
    </cfRule>
  </conditionalFormatting>
  <conditionalFormatting sqref="O120">
    <cfRule type="expression" priority="765" dxfId="41" stopIfTrue="1">
      <formula>$A120="begin repeat"</formula>
    </cfRule>
  </conditionalFormatting>
  <conditionalFormatting sqref="O152">
    <cfRule type="expression" priority="650" dxfId="41" stopIfTrue="1">
      <formula>$A152="begin repeat"</formula>
    </cfRule>
  </conditionalFormatting>
  <conditionalFormatting sqref="X13:X14">
    <cfRule type="expression" priority="66" dxfId="88" stopIfTrue="1">
      <formula>OR(AND(LEFT($A13, 14)="sensor_stream ", LEN($A13)&gt;14, NOT(ISNUMBER(SEARCH(" ", $A13, 15)))), AND(LEFT($A13, 17)="sensor_statistic ", LEN($A13)&gt;17, NOT(ISNUMBER(SEARCH(" ", $A13, 18)))))</formula>
    </cfRule>
    <cfRule type="expression" priority="71" dxfId="11" stopIfTrue="1">
      <formula>OR($A13="calculate", $A13="calculate_here")</formula>
    </cfRule>
    <cfRule type="expression" priority="80" dxfId="4" stopIfTrue="1">
      <formula>$A13="text"</formula>
    </cfRule>
    <cfRule type="expression" priority="84" dxfId="1" stopIfTrue="1">
      <formula>$A13="begin group"</formula>
    </cfRule>
    <cfRule type="expression" priority="83" dxfId="1" stopIfTrue="1">
      <formula>$A13="end group"</formula>
    </cfRule>
    <cfRule type="expression" priority="82" dxfId="2" stopIfTrue="1">
      <formula>$A13="begin repeat"</formula>
    </cfRule>
    <cfRule type="expression" priority="81" dxfId="2" stopIfTrue="1">
      <formula>$A13="end repeat"</formula>
    </cfRule>
    <cfRule type="expression" priority="78" dxfId="6" stopIfTrue="1">
      <formula>$A13="decimal"</formula>
    </cfRule>
    <cfRule type="expression" priority="77" dxfId="7" stopIfTrue="1">
      <formula>OR(AND(LEFT($A13, 16)="select_multiple ", LEN($A13)&gt;16, NOT(ISNUMBER(SEARCH(" ", $A13, 17)))), AND(LEFT($A13, 11)="select_one ", LEN($A13)&gt;11, NOT(ISNUMBER(SEARCH(" ", $A13, 12)))))</formula>
    </cfRule>
    <cfRule type="expression" priority="76" dxfId="0" stopIfTrue="1">
      <formula>OR($A13="username", $A13="phonenumber", $A13="start", $A13="end", $A13="deviceid", $A13="subscriberid", $A13="simserial", $A13="caseid")</formula>
    </cfRule>
    <cfRule type="expression" priority="75" dxfId="8" stopIfTrue="1">
      <formula>OR($A13="audio audit", $A13="text audit", $A13="speed violations count", $A13="speed violations list", $A13="speed violations audit")</formula>
    </cfRule>
    <cfRule type="expression" priority="74" dxfId="9" stopIfTrue="1">
      <formula>OR($A13="geopoint", $A13="geoshape", $A13="geotrace")</formula>
    </cfRule>
    <cfRule type="expression" priority="73" dxfId="10" stopIfTrue="1">
      <formula>$A13="barcode"</formula>
    </cfRule>
    <cfRule type="expression" priority="64" dxfId="85" stopIfTrue="1">
      <formula>$A13="file"</formula>
    </cfRule>
    <cfRule type="expression" priority="65" dxfId="87" stopIfTrue="1">
      <formula>$A13="enumerator"</formula>
    </cfRule>
    <cfRule type="expression" priority="72" dxfId="12" stopIfTrue="1">
      <formula>$A13="note"</formula>
    </cfRule>
    <cfRule type="expression" priority="67" dxfId="24" stopIfTrue="1">
      <formula>$A13="comments"</formula>
    </cfRule>
    <cfRule type="expression" priority="68" dxfId="23" stopIfTrue="1">
      <formula>OR($A13="audio", $A13="video")</formula>
    </cfRule>
    <cfRule type="expression" priority="69" dxfId="22" stopIfTrue="1">
      <formula>$A13="image"</formula>
    </cfRule>
    <cfRule type="expression" priority="70" dxfId="21" stopIfTrue="1">
      <formula>OR($A13="date", $A13="datetime", $A13="time")</formula>
    </cfRule>
    <cfRule type="expression" priority="79" dxfId="5" stopIfTrue="1">
      <formula>$A13="integer"</formula>
    </cfRule>
  </conditionalFormatting>
  <conditionalFormatting sqref="X17">
    <cfRule type="expression" priority="49" dxfId="21" stopIfTrue="1">
      <formula>OR($A17="date", $A17="datetime", $A17="time")</formula>
    </cfRule>
    <cfRule type="expression" priority="50" dxfId="11" stopIfTrue="1">
      <formula>OR($A17="calculate", $A17="calculate_here")</formula>
    </cfRule>
    <cfRule type="expression" priority="63" dxfId="1" stopIfTrue="1">
      <formula>$A17="begin group"</formula>
    </cfRule>
    <cfRule type="expression" priority="62" dxfId="1" stopIfTrue="1">
      <formula>$A17="end group"</formula>
    </cfRule>
    <cfRule type="expression" priority="61" dxfId="2" stopIfTrue="1">
      <formula>$A17="begin repeat"</formula>
    </cfRule>
    <cfRule type="expression" priority="60" dxfId="2" stopIfTrue="1">
      <formula>$A17="end repeat"</formula>
    </cfRule>
    <cfRule type="expression" priority="59" dxfId="4" stopIfTrue="1">
      <formula>$A17="text"</formula>
    </cfRule>
    <cfRule type="expression" priority="43" dxfId="85" stopIfTrue="1">
      <formula>$A17="file"</formula>
    </cfRule>
    <cfRule type="expression" priority="44" dxfId="87" stopIfTrue="1">
      <formula>$A17="enumerator"</formula>
    </cfRule>
    <cfRule type="expression" priority="45" dxfId="88" stopIfTrue="1">
      <formula>OR(AND(LEFT($A17, 14)="sensor_stream ", LEN($A17)&gt;14, NOT(ISNUMBER(SEARCH(" ", $A17, 15)))), AND(LEFT($A17, 17)="sensor_statistic ", LEN($A17)&gt;17, NOT(ISNUMBER(SEARCH(" ", $A17, 18)))))</formula>
    </cfRule>
    <cfRule type="expression" priority="58" dxfId="5" stopIfTrue="1">
      <formula>$A17="integer"</formula>
    </cfRule>
    <cfRule type="expression" priority="46" dxfId="24" stopIfTrue="1">
      <formula>$A17="comments"</formula>
    </cfRule>
    <cfRule type="expression" priority="51" dxfId="12" stopIfTrue="1">
      <formula>$A17="note"</formula>
    </cfRule>
    <cfRule type="expression" priority="52" dxfId="10" stopIfTrue="1">
      <formula>$A17="barcode"</formula>
    </cfRule>
    <cfRule type="expression" priority="47" dxfId="23" stopIfTrue="1">
      <formula>OR($A17="audio", $A17="video")</formula>
    </cfRule>
    <cfRule type="expression" priority="55" dxfId="0" stopIfTrue="1">
      <formula>OR($A17="username", $A17="phonenumber", $A17="start", $A17="end", $A17="deviceid", $A17="subscriberid", $A17="simserial", $A17="caseid")</formula>
    </cfRule>
    <cfRule type="expression" priority="54" dxfId="8" stopIfTrue="1">
      <formula>OR($A17="audio audit", $A17="text audit", $A17="speed violations count", $A17="speed violations list", $A17="speed violations audit")</formula>
    </cfRule>
    <cfRule type="expression" priority="53" dxfId="9" stopIfTrue="1">
      <formula>OR($A17="geopoint", $A17="geoshape", $A17="geotrace")</formula>
    </cfRule>
    <cfRule type="expression" priority="56" dxfId="7" stopIfTrue="1">
      <formula>OR(AND(LEFT($A17, 16)="select_multiple ", LEN($A17)&gt;16, NOT(ISNUMBER(SEARCH(" ", $A17, 17)))), AND(LEFT($A17, 11)="select_one ", LEN($A17)&gt;11, NOT(ISNUMBER(SEARCH(" ", $A17, 12)))))</formula>
    </cfRule>
    <cfRule type="expression" priority="57" dxfId="6" stopIfTrue="1">
      <formula>$A17="decimal"</formula>
    </cfRule>
    <cfRule type="expression" priority="48" dxfId="22" stopIfTrue="1">
      <formula>$A17="image"</formula>
    </cfRule>
  </conditionalFormatting>
  <pageMargins left="0.7479166666666667" right="0.7479166666666667" top="0.9840277777777777" bottom="0.9840277777777777" header="0.5118055555555555" footer="0.5118055555555555"/>
  <pageSetup orientation="portrait" firstPageNumber="0"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65"/>
  <sheetViews>
    <sheetView zoomScaleNormal="75" zoomScalePageLayoutView="75" workbookViewId="0">
      <pane ySplit="1" topLeftCell="A2" activePane="bottomLeft" state="frozen"/>
      <selection pane="bottomLeft" activeCell="A48" sqref="A48:XFD48"/>
    </sheetView>
  </sheetViews>
  <sheetFormatPr baseColWidth="10" defaultColWidth="10.83203125" defaultRowHeight="16"/>
  <cols>
    <col width="18" bestFit="1" customWidth="1" style="8" min="1" max="1"/>
    <col width="12" customWidth="1" style="8" min="2" max="2"/>
    <col width="42" bestFit="1" customWidth="1" style="8" min="3" max="3"/>
    <col width="12" customWidth="1" style="8" min="4" max="5"/>
    <col width="12" customWidth="1" min="5" max="5"/>
    <col width="18" customWidth="1" style="1" min="6" max="16384"/>
    <col width="18" customWidth="1" min="7" max="7"/>
    <col width="18" customWidth="1" min="8" max="8"/>
  </cols>
  <sheetData>
    <row r="1" ht="20" customFormat="1" customHeight="1" s="3">
      <c r="A1" s="126" t="inlineStr">
        <is>
          <t>list_name</t>
        </is>
      </c>
      <c r="B1" s="126" t="inlineStr">
        <is>
          <t>value</t>
        </is>
      </c>
      <c r="C1" s="127" t="inlineStr">
        <is>
          <t>label:english</t>
        </is>
      </c>
      <c r="D1" s="126" t="inlineStr">
        <is>
          <t>image</t>
        </is>
      </c>
      <c r="E1" s="126" t="inlineStr">
        <is>
          <t>filter</t>
        </is>
      </c>
      <c r="F1" s="128" t="n"/>
      <c r="G1" s="128" t="n"/>
      <c r="H1" s="128" t="n"/>
    </row>
    <row r="2">
      <c r="A2" s="129" t="inlineStr">
        <is>
          <t>facilitator</t>
        </is>
      </c>
      <c r="B2" s="129" t="inlineStr">
        <is>
          <t>id</t>
        </is>
      </c>
      <c r="C2" s="130" t="inlineStr">
        <is>
          <t>label</t>
        </is>
      </c>
      <c r="D2" s="129" t="n"/>
      <c r="E2" s="129" t="n"/>
      <c r="F2" s="131" t="n"/>
      <c r="G2" s="131" t="n"/>
      <c r="H2" s="131" t="n"/>
    </row>
    <row r="3">
      <c r="A3" s="132" t="inlineStr">
        <is>
          <t>student</t>
        </is>
      </c>
      <c r="B3" s="133" t="inlineStr">
        <is>
          <t>hhid</t>
        </is>
      </c>
      <c r="C3" s="134" t="inlineStr">
        <is>
          <t>stud_name_b</t>
        </is>
      </c>
      <c r="D3" s="133" t="n"/>
      <c r="E3" s="133" t="n"/>
      <c r="F3" s="135" t="n"/>
      <c r="G3" s="135" t="n"/>
      <c r="H3" s="135" t="n"/>
    </row>
    <row r="4">
      <c r="A4" s="136" t="inlineStr">
        <is>
          <t>student_volunteer</t>
        </is>
      </c>
      <c r="B4" s="137" t="inlineStr">
        <is>
          <t>hhid</t>
        </is>
      </c>
      <c r="C4" s="138" t="inlineStr">
        <is>
          <t>stud_name_b</t>
        </is>
      </c>
      <c r="D4" s="137" t="n"/>
      <c r="E4" s="137" t="n"/>
      <c r="F4" s="119" t="n"/>
      <c r="G4" s="119" t="n"/>
      <c r="H4" s="119" t="n"/>
    </row>
    <row r="5">
      <c r="A5" s="139" t="inlineStr">
        <is>
          <t>phones</t>
        </is>
      </c>
      <c r="B5" s="140" t="n">
        <v>1</v>
      </c>
      <c r="C5" s="141" t="inlineStr">
        <is>
          <t>1. ${phone1_name} (${phone1_rel}): ${phone1}</t>
        </is>
      </c>
      <c r="D5" s="140" t="n"/>
      <c r="E5" s="140" t="n">
        <v>1</v>
      </c>
      <c r="F5" s="119" t="n"/>
      <c r="G5" s="119" t="n"/>
      <c r="H5" s="119" t="n"/>
    </row>
    <row r="6">
      <c r="A6" s="142" t="inlineStr">
        <is>
          <t>phones</t>
        </is>
      </c>
      <c r="B6" s="143" t="n">
        <v>2</v>
      </c>
      <c r="C6" s="141" t="inlineStr">
        <is>
          <t>2. ${phone2_name} (${phone2_rel}): ${phone2}</t>
        </is>
      </c>
      <c r="D6" s="142" t="n"/>
      <c r="E6" s="142" t="n">
        <v>2</v>
      </c>
      <c r="F6" s="119" t="n"/>
      <c r="G6" s="119" t="n"/>
      <c r="H6" s="119" t="n"/>
    </row>
    <row r="7">
      <c r="A7" s="142" t="inlineStr">
        <is>
          <t>phones</t>
        </is>
      </c>
      <c r="B7" s="137" t="n">
        <v>3</v>
      </c>
      <c r="C7" s="141" t="inlineStr">
        <is>
          <t>3. ${phone3_name} (${phone3_rel}): ${phone3}</t>
        </is>
      </c>
      <c r="D7" s="142" t="n"/>
      <c r="E7" s="142" t="n">
        <v>3</v>
      </c>
      <c r="F7" s="119" t="n"/>
      <c r="G7" s="119" t="n"/>
      <c r="H7" s="119" t="n"/>
    </row>
    <row r="8">
      <c r="A8" s="142" t="inlineStr">
        <is>
          <t>phones</t>
        </is>
      </c>
      <c r="B8" s="140" t="n">
        <v>95</v>
      </c>
      <c r="C8" s="144" t="inlineStr">
        <is>
          <t>Other (specify):</t>
        </is>
      </c>
      <c r="D8" s="142" t="n"/>
      <c r="E8" s="142" t="n">
        <v>95</v>
      </c>
      <c r="F8" s="119" t="n"/>
      <c r="G8" s="119" t="n"/>
      <c r="H8" s="119" t="n"/>
    </row>
    <row r="9">
      <c r="A9" s="142" t="inlineStr">
        <is>
          <t>response</t>
        </is>
      </c>
      <c r="B9" s="142" t="n">
        <v>1</v>
      </c>
      <c r="C9" s="145" t="inlineStr">
        <is>
          <t>Caregiver answered</t>
        </is>
      </c>
      <c r="D9" s="142" t="n"/>
      <c r="E9" s="142" t="n"/>
      <c r="F9" s="119" t="n"/>
      <c r="G9" s="119" t="n"/>
      <c r="H9" s="119" t="n"/>
    </row>
    <row r="10">
      <c r="A10" s="142" t="inlineStr">
        <is>
          <t>response</t>
        </is>
      </c>
      <c r="B10" s="142" t="n">
        <v>2</v>
      </c>
      <c r="C10" s="141" t="inlineStr">
        <is>
          <t>Someone else answered</t>
        </is>
      </c>
      <c r="D10" s="142" t="n"/>
      <c r="E10" s="142" t="n"/>
      <c r="F10" s="119" t="n"/>
      <c r="G10" s="119" t="n"/>
      <c r="H10" s="119" t="n"/>
    </row>
    <row r="11">
      <c r="A11" s="142" t="inlineStr">
        <is>
          <t>response</t>
        </is>
      </c>
      <c r="B11" s="142" t="n">
        <v>3</v>
      </c>
      <c r="C11" s="144" t="inlineStr">
        <is>
          <t>Call not answered</t>
        </is>
      </c>
      <c r="D11" s="142" t="n"/>
      <c r="E11" s="142" t="n"/>
      <c r="F11" s="119" t="n"/>
      <c r="G11" s="119" t="n"/>
      <c r="H11" s="119" t="n"/>
    </row>
    <row r="12">
      <c r="A12" s="142" t="inlineStr">
        <is>
          <t>response</t>
        </is>
      </c>
      <c r="B12" s="142" t="n">
        <v>4</v>
      </c>
      <c r="C12" s="144" t="inlineStr">
        <is>
          <t>Wrong number</t>
        </is>
      </c>
      <c r="D12" s="142" t="n"/>
      <c r="E12" s="142" t="n"/>
      <c r="F12" s="119" t="n"/>
      <c r="G12" s="119" t="n"/>
      <c r="H12" s="119" t="n"/>
    </row>
    <row r="13">
      <c r="A13" s="142" t="inlineStr">
        <is>
          <t>notanswered</t>
        </is>
      </c>
      <c r="B13" s="142" t="n">
        <v>1</v>
      </c>
      <c r="C13" s="144" t="inlineStr">
        <is>
          <t>Network is not working / the phone is not ringing</t>
        </is>
      </c>
      <c r="D13" s="142" t="n"/>
      <c r="E13" s="142" t="n"/>
      <c r="F13" s="119" t="n"/>
      <c r="G13" s="119" t="n"/>
      <c r="H13" s="119" t="n"/>
    </row>
    <row r="14">
      <c r="A14" s="142" t="inlineStr">
        <is>
          <t>notanswered</t>
        </is>
      </c>
      <c r="B14" s="142" t="n">
        <v>2</v>
      </c>
      <c r="C14" s="144" t="inlineStr">
        <is>
          <t>The phone is ringing but no one is answering the call</t>
        </is>
      </c>
      <c r="D14" s="142" t="n"/>
      <c r="E14" s="142" t="n"/>
      <c r="F14" s="119" t="n"/>
      <c r="G14" s="119" t="n"/>
      <c r="H14" s="119" t="n"/>
    </row>
    <row r="15">
      <c r="A15" s="142" t="inlineStr">
        <is>
          <t>notanswered</t>
        </is>
      </c>
      <c r="B15" s="142" t="n">
        <v>95</v>
      </c>
      <c r="C15" s="144" t="inlineStr">
        <is>
          <t>Other (specify):</t>
        </is>
      </c>
      <c r="D15" s="142" t="n"/>
      <c r="E15" s="142" t="n"/>
      <c r="F15" s="119" t="n"/>
      <c r="G15" s="119" t="n"/>
      <c r="H15" s="119" t="n"/>
    </row>
    <row r="16">
      <c r="A16" s="142" t="inlineStr">
        <is>
          <t>yesno</t>
        </is>
      </c>
      <c r="B16" s="142" t="n">
        <v>1</v>
      </c>
      <c r="C16" s="144" t="inlineStr">
        <is>
          <t>Yes</t>
        </is>
      </c>
      <c r="D16" s="142" t="n"/>
      <c r="E16" s="142" t="n">
        <v>1</v>
      </c>
      <c r="F16" s="119" t="n"/>
      <c r="G16" s="119" t="n"/>
      <c r="H16" s="119" t="n"/>
    </row>
    <row r="17">
      <c r="A17" s="142" t="inlineStr">
        <is>
          <t>yesno</t>
        </is>
      </c>
      <c r="B17" s="142" t="n">
        <v>0</v>
      </c>
      <c r="C17" s="144" t="inlineStr">
        <is>
          <t>No</t>
        </is>
      </c>
      <c r="D17" s="142" t="n"/>
      <c r="E17" s="142" t="n">
        <v>0</v>
      </c>
      <c r="F17" s="119" t="n"/>
      <c r="G17" s="119" t="n"/>
      <c r="H17" s="119" t="n"/>
    </row>
    <row r="18">
      <c r="A18" s="142" t="inlineStr">
        <is>
          <t>noconsent</t>
        </is>
      </c>
      <c r="B18" s="142" t="n">
        <v>1</v>
      </c>
      <c r="C18" s="144" t="inlineStr">
        <is>
          <t xml:space="preserve">Caregiver does not have time </t>
        </is>
      </c>
      <c r="D18" s="142" t="n"/>
      <c r="E18" s="142" t="n"/>
      <c r="F18" s="119" t="n"/>
      <c r="G18" s="119" t="n"/>
      <c r="H18" s="119" t="n"/>
    </row>
    <row r="19">
      <c r="A19" s="142" t="inlineStr">
        <is>
          <t>noconsent</t>
        </is>
      </c>
      <c r="B19" s="142" t="n">
        <v>2</v>
      </c>
      <c r="C19" s="144" t="inlineStr">
        <is>
          <t>Caregiver is not with the child most of the time.</t>
        </is>
      </c>
      <c r="D19" s="142" t="n"/>
      <c r="E19" s="142" t="n"/>
      <c r="F19" s="119" t="n"/>
      <c r="G19" s="119" t="n"/>
      <c r="H19" s="119" t="n"/>
    </row>
    <row r="20">
      <c r="A20" s="142" t="inlineStr">
        <is>
          <t>noconsent</t>
        </is>
      </c>
      <c r="B20" s="142" t="n">
        <v>3</v>
      </c>
      <c r="C20" s="144" t="inlineStr">
        <is>
          <t>Caregiver does not have a cellphone</t>
        </is>
      </c>
      <c r="D20" s="142" t="n"/>
      <c r="E20" s="142" t="n"/>
      <c r="F20" s="119" t="n"/>
      <c r="G20" s="119" t="n"/>
      <c r="H20" s="119" t="n"/>
    </row>
    <row r="21">
      <c r="A21" s="142" t="inlineStr">
        <is>
          <t>noconsent</t>
        </is>
      </c>
      <c r="B21" s="142" t="n">
        <v>4</v>
      </c>
      <c r="C21" s="144" t="inlineStr">
        <is>
          <t>Child does not want to participate</t>
        </is>
      </c>
      <c r="D21" s="142" t="n"/>
      <c r="E21" s="142" t="n"/>
      <c r="F21" s="119" t="n"/>
      <c r="G21" s="119" t="n"/>
      <c r="H21" s="119" t="n"/>
    </row>
    <row r="22">
      <c r="A22" s="142" t="inlineStr">
        <is>
          <t>noconsent</t>
        </is>
      </c>
      <c r="B22" s="142" t="n">
        <v>5</v>
      </c>
      <c r="C22" s="144" t="inlineStr">
        <is>
          <t>The caregiver did not share a reason.</t>
        </is>
      </c>
      <c r="D22" s="142" t="n"/>
      <c r="E22" s="142" t="n"/>
      <c r="F22" s="119" t="n"/>
      <c r="G22" s="119" t="n"/>
      <c r="H22" s="119" t="n"/>
    </row>
    <row r="23">
      <c r="A23" s="142" t="inlineStr">
        <is>
          <t>noconsent</t>
        </is>
      </c>
      <c r="B23" s="142" t="n">
        <v>6</v>
      </c>
      <c r="C23" s="144" t="inlineStr">
        <is>
          <t>Other (specify):</t>
        </is>
      </c>
      <c r="D23" s="142" t="n"/>
      <c r="E23" s="142" t="n"/>
      <c r="F23" s="119" t="n"/>
      <c r="G23" s="119" t="n"/>
      <c r="H23" s="119" t="n"/>
    </row>
    <row r="24">
      <c r="A24" s="142" t="inlineStr">
        <is>
          <t>relationship</t>
        </is>
      </c>
      <c r="B24" s="142" t="n">
        <v>1</v>
      </c>
      <c r="C24" s="144" t="inlineStr">
        <is>
          <t>Mother</t>
        </is>
      </c>
      <c r="D24" s="142" t="n"/>
      <c r="E24" s="142" t="n"/>
      <c r="F24" s="119" t="n"/>
      <c r="G24" s="119" t="n"/>
      <c r="H24" s="119" t="n"/>
    </row>
    <row r="25">
      <c r="A25" s="142" t="inlineStr">
        <is>
          <t>relationship</t>
        </is>
      </c>
      <c r="B25" s="142" t="n">
        <v>2</v>
      </c>
      <c r="C25" s="144" t="inlineStr">
        <is>
          <t>Father</t>
        </is>
      </c>
      <c r="D25" s="142" t="n"/>
      <c r="E25" s="142" t="n"/>
      <c r="F25" s="119" t="n"/>
      <c r="G25" s="119" t="n"/>
      <c r="H25" s="119" t="n"/>
    </row>
    <row r="26">
      <c r="A26" s="142" t="inlineStr">
        <is>
          <t>relationship</t>
        </is>
      </c>
      <c r="B26" s="142" t="n">
        <v>3</v>
      </c>
      <c r="C26" s="144" t="inlineStr">
        <is>
          <t>Grandparent</t>
        </is>
      </c>
      <c r="D26" s="142" t="n"/>
      <c r="E26" s="142" t="n"/>
      <c r="F26" s="119" t="n"/>
      <c r="G26" s="119" t="n"/>
      <c r="H26" s="119" t="n"/>
    </row>
    <row r="27">
      <c r="A27" s="142" t="inlineStr">
        <is>
          <t>relationship</t>
        </is>
      </c>
      <c r="B27" s="142" t="n">
        <v>4</v>
      </c>
      <c r="C27" s="144" t="inlineStr">
        <is>
          <t>Aunt/Uncle</t>
        </is>
      </c>
      <c r="D27" s="142" t="n"/>
      <c r="E27" s="142" t="n"/>
      <c r="F27" s="119" t="n"/>
      <c r="G27" s="119" t="n"/>
      <c r="H27" s="119" t="n"/>
    </row>
    <row r="28">
      <c r="A28" s="142" t="inlineStr">
        <is>
          <t>relationship</t>
        </is>
      </c>
      <c r="B28" s="142" t="n">
        <v>5</v>
      </c>
      <c r="C28" s="144" t="inlineStr">
        <is>
          <t>Cousin</t>
        </is>
      </c>
      <c r="D28" s="142" t="n"/>
      <c r="E28" s="142" t="n"/>
      <c r="F28" s="119" t="n"/>
      <c r="G28" s="119" t="n"/>
      <c r="H28" s="119" t="n"/>
    </row>
    <row r="29">
      <c r="A29" s="142" t="inlineStr">
        <is>
          <t>relationship</t>
        </is>
      </c>
      <c r="B29" s="142" t="n">
        <v>6</v>
      </c>
      <c r="C29" s="144" t="inlineStr">
        <is>
          <t>Sibling</t>
        </is>
      </c>
      <c r="D29" s="142" t="n"/>
      <c r="E29" s="142" t="n"/>
      <c r="F29" s="119" t="n"/>
      <c r="G29" s="119" t="n"/>
      <c r="H29" s="119" t="n"/>
    </row>
    <row r="30">
      <c r="A30" s="142" t="inlineStr">
        <is>
          <t>relationship</t>
        </is>
      </c>
      <c r="B30" s="142" t="n">
        <v>7</v>
      </c>
      <c r="C30" s="144" t="inlineStr">
        <is>
          <t>Legal Guardian (non-relative)</t>
        </is>
      </c>
      <c r="D30" s="142" t="n"/>
      <c r="E30" s="142" t="n"/>
      <c r="F30" s="119" t="n"/>
      <c r="G30" s="119" t="n"/>
      <c r="H30" s="119" t="n"/>
    </row>
    <row r="31">
      <c r="A31" s="142" t="inlineStr">
        <is>
          <t>relationship</t>
        </is>
      </c>
      <c r="B31" s="142" t="n">
        <v>8</v>
      </c>
      <c r="C31" s="144" t="inlineStr">
        <is>
          <t>Other relative</t>
        </is>
      </c>
      <c r="D31" s="142" t="n"/>
      <c r="E31" s="142" t="n"/>
      <c r="F31" s="119" t="n"/>
      <c r="G31" s="119" t="n"/>
      <c r="H31" s="119" t="n"/>
    </row>
    <row r="32">
      <c r="A32" s="142" t="inlineStr">
        <is>
          <t>relationship</t>
        </is>
      </c>
      <c r="B32" s="142" t="n">
        <v>9</v>
      </c>
      <c r="C32" s="144" t="inlineStr">
        <is>
          <t>Other non-relative</t>
        </is>
      </c>
      <c r="D32" s="142" t="n"/>
      <c r="E32" s="142" t="n"/>
      <c r="F32" s="119" t="n"/>
      <c r="G32" s="119" t="n"/>
      <c r="H32" s="119" t="n"/>
    </row>
    <row r="33">
      <c r="A33" s="142" t="inlineStr">
        <is>
          <t>stud_unavail</t>
        </is>
      </c>
      <c r="B33" s="142" t="n">
        <v>1</v>
      </c>
      <c r="C33" s="144" t="inlineStr">
        <is>
          <t>Student not at home during the time of the call</t>
        </is>
      </c>
      <c r="D33" s="142" t="n"/>
      <c r="E33" s="142" t="n"/>
      <c r="F33" s="119" t="n"/>
      <c r="G33" s="119" t="n"/>
      <c r="H33" s="119" t="n"/>
    </row>
    <row r="34">
      <c r="A34" s="142" t="inlineStr">
        <is>
          <t>stud_unavail</t>
        </is>
      </c>
      <c r="B34" s="142" t="n">
        <v>2</v>
      </c>
      <c r="C34" s="144" t="inlineStr">
        <is>
          <t>Parent/caregiver not at home during the time of the call</t>
        </is>
      </c>
      <c r="D34" s="142" t="n"/>
      <c r="E34" s="142" t="n"/>
      <c r="F34" s="119" t="n"/>
      <c r="G34" s="119" t="n"/>
      <c r="H34" s="119" t="n"/>
    </row>
    <row r="35">
      <c r="A35" s="142" t="inlineStr">
        <is>
          <t>stud_unavail</t>
        </is>
      </c>
      <c r="B35" s="142" t="n">
        <v>3</v>
      </c>
      <c r="C35" s="144" t="inlineStr">
        <is>
          <t>Student is sleeping</t>
        </is>
      </c>
      <c r="D35" s="142" t="n"/>
      <c r="E35" s="142" t="n"/>
      <c r="F35" s="119" t="n"/>
      <c r="G35" s="119" t="n"/>
      <c r="H35" s="119" t="n"/>
    </row>
    <row r="36">
      <c r="A36" s="142" t="inlineStr">
        <is>
          <t>stud_unavail</t>
        </is>
      </c>
      <c r="B36" s="142" t="n">
        <v>4</v>
      </c>
      <c r="C36" s="118" t="inlineStr">
        <is>
          <t>Student is sick / not feeling well</t>
        </is>
      </c>
      <c r="D36" s="142" t="n"/>
      <c r="E36" s="142" t="n"/>
      <c r="F36" s="119" t="n"/>
      <c r="G36" s="119" t="n"/>
      <c r="H36" s="119" t="n"/>
    </row>
    <row r="37">
      <c r="A37" s="142" t="inlineStr">
        <is>
          <t>stud_unavail</t>
        </is>
      </c>
      <c r="B37" s="142" t="n">
        <v>5</v>
      </c>
      <c r="C37" s="144" t="inlineStr">
        <is>
          <t>Other (specify):</t>
        </is>
      </c>
      <c r="D37" s="142" t="n"/>
      <c r="E37" s="142" t="n"/>
      <c r="F37" s="119" t="n"/>
      <c r="G37" s="119" t="n"/>
      <c r="H37" s="119" t="n"/>
    </row>
    <row r="38">
      <c r="A38" s="142" t="inlineStr">
        <is>
          <t>sex</t>
        </is>
      </c>
      <c r="B38" s="142" t="n">
        <v>1</v>
      </c>
      <c r="C38" s="144" t="inlineStr">
        <is>
          <t>Girl</t>
        </is>
      </c>
      <c r="D38" s="142" t="n"/>
      <c r="E38" s="142" t="n"/>
      <c r="F38" s="119" t="n"/>
      <c r="G38" s="119" t="n"/>
      <c r="H38" s="119" t="n"/>
    </row>
    <row r="39">
      <c r="A39" s="146" t="inlineStr">
        <is>
          <t>sex</t>
        </is>
      </c>
      <c r="B39" s="146" t="n">
        <v>0</v>
      </c>
      <c r="C39" s="147" t="inlineStr">
        <is>
          <t>Boy</t>
        </is>
      </c>
      <c r="D39" s="146" t="n"/>
      <c r="E39" s="146" t="n"/>
      <c r="F39" s="148" t="n"/>
      <c r="G39" s="148" t="n"/>
      <c r="H39" s="148" t="n"/>
    </row>
    <row r="40" ht="17" customHeight="1">
      <c r="A40" s="149" t="inlineStr">
        <is>
          <t>disruptions</t>
        </is>
      </c>
      <c r="B40" s="137" t="n">
        <v>1</v>
      </c>
      <c r="C40" s="150" t="inlineStr">
        <is>
          <t>Flooding</t>
        </is>
      </c>
      <c r="D40" s="140" t="n"/>
      <c r="E40" s="140" t="n"/>
      <c r="F40" s="119" t="n"/>
      <c r="G40" s="119" t="n"/>
      <c r="H40" s="119" t="n"/>
    </row>
    <row r="41">
      <c r="A41" s="151" t="inlineStr">
        <is>
          <t>disruptions</t>
        </is>
      </c>
      <c r="B41" s="142" t="n">
        <v>2</v>
      </c>
      <c r="C41" s="144" t="inlineStr">
        <is>
          <t>Typhoon</t>
        </is>
      </c>
      <c r="D41" s="119" t="n"/>
      <c r="E41" s="119" t="n"/>
      <c r="F41" s="119" t="n"/>
      <c r="G41" s="119" t="n"/>
      <c r="H41" s="119" t="n"/>
    </row>
    <row r="42">
      <c r="A42" s="151" t="inlineStr">
        <is>
          <t>disruptions</t>
        </is>
      </c>
      <c r="B42" s="142" t="n">
        <v>3</v>
      </c>
      <c r="C42" s="144" t="inlineStr">
        <is>
          <t>Earthquakes</t>
        </is>
      </c>
      <c r="D42" s="119" t="n"/>
      <c r="E42" s="119" t="n"/>
      <c r="F42" s="119" t="n"/>
      <c r="G42" s="119" t="n"/>
      <c r="H42" s="119" t="n"/>
    </row>
    <row r="43">
      <c r="A43" s="151" t="inlineStr">
        <is>
          <t>disruptions</t>
        </is>
      </c>
      <c r="B43" s="142" t="n">
        <v>4</v>
      </c>
      <c r="C43" s="144" t="inlineStr">
        <is>
          <t>Landslides</t>
        </is>
      </c>
      <c r="D43" s="119" t="n"/>
      <c r="E43" s="119" t="n"/>
      <c r="F43" s="119" t="n"/>
      <c r="G43" s="119" t="n"/>
      <c r="H43" s="119" t="n"/>
    </row>
    <row r="44" ht="17" customHeight="1">
      <c r="A44" s="151" t="inlineStr">
        <is>
          <t>disruptions</t>
        </is>
      </c>
      <c r="B44" s="140" t="n">
        <v>5</v>
      </c>
      <c r="C44" s="150" t="inlineStr">
        <is>
          <t>Health-related issues (illness, medical emergencies, etc)</t>
        </is>
      </c>
      <c r="D44" s="142" t="n"/>
      <c r="E44" s="142" t="n"/>
      <c r="F44" s="119" t="n"/>
      <c r="G44" s="119" t="n"/>
      <c r="H44" s="119" t="n"/>
    </row>
    <row r="45">
      <c r="A45" s="151" t="inlineStr">
        <is>
          <t>disruptions</t>
        </is>
      </c>
      <c r="B45" s="142" t="n">
        <v>6</v>
      </c>
      <c r="C45" s="144" t="inlineStr">
        <is>
          <t>School closures (strikes, lack of teachers, maintenance, etc)</t>
        </is>
      </c>
      <c r="D45" s="142" t="n"/>
      <c r="E45" s="142" t="n"/>
      <c r="F45" s="119" t="n"/>
      <c r="G45" s="119" t="n"/>
      <c r="H45" s="119" t="n"/>
    </row>
    <row r="46">
      <c r="A46" s="146" t="inlineStr">
        <is>
          <t>disruptions</t>
        </is>
      </c>
      <c r="B46" s="142" t="n">
        <v>7</v>
      </c>
      <c r="C46" s="144" t="inlineStr">
        <is>
          <t>Conflict or community tensions</t>
        </is>
      </c>
      <c r="D46" s="142" t="n"/>
      <c r="E46" s="142" t="n"/>
      <c r="F46" s="119" t="n"/>
      <c r="G46" s="119" t="n"/>
      <c r="H46" s="119" t="n"/>
    </row>
    <row r="47">
      <c r="A47" s="149" t="inlineStr">
        <is>
          <t>disruptions</t>
        </is>
      </c>
      <c r="B47" s="142" t="n">
        <v>0</v>
      </c>
      <c r="C47" s="144" t="inlineStr">
        <is>
          <t>No disruptions occurred</t>
        </is>
      </c>
      <c r="D47" s="142" t="n"/>
      <c r="E47" s="142" t="n"/>
      <c r="F47" s="119" t="n"/>
      <c r="G47" s="119" t="n"/>
      <c r="H47" s="119" t="n"/>
    </row>
    <row r="48">
      <c r="A48" s="142" t="inlineStr">
        <is>
          <t>best_time</t>
        </is>
      </c>
      <c r="B48" s="142" t="inlineStr">
        <is>
          <t>8am-12pm;</t>
        </is>
      </c>
      <c r="C48" s="144" t="inlineStr">
        <is>
          <t>8AM-12PM</t>
        </is>
      </c>
      <c r="D48" s="142" t="n"/>
      <c r="E48" s="142" t="n"/>
      <c r="F48" s="119" t="n"/>
      <c r="G48" s="119" t="n"/>
      <c r="H48" s="119" t="n"/>
    </row>
    <row r="49">
      <c r="A49" s="142" t="inlineStr">
        <is>
          <t>best_time</t>
        </is>
      </c>
      <c r="B49" s="142" t="inlineStr">
        <is>
          <t>12pm-5pm;</t>
        </is>
      </c>
      <c r="C49" s="144" t="inlineStr">
        <is>
          <t>12PM-5PM</t>
        </is>
      </c>
      <c r="D49" s="142" t="n"/>
      <c r="E49" s="142" t="n"/>
      <c r="F49" s="119" t="n"/>
      <c r="G49" s="119" t="n"/>
      <c r="H49" s="119" t="n"/>
    </row>
    <row r="50">
      <c r="A50" s="142" t="inlineStr">
        <is>
          <t>best_time</t>
        </is>
      </c>
      <c r="B50" s="142" t="inlineStr">
        <is>
          <t>5pm-8pm;</t>
        </is>
      </c>
      <c r="C50" s="144" t="inlineStr">
        <is>
          <t>5PM-8PM</t>
        </is>
      </c>
      <c r="D50" s="142" t="n"/>
      <c r="E50" s="142" t="n"/>
      <c r="F50" s="119" t="n"/>
      <c r="G50" s="119" t="n"/>
      <c r="H50" s="119" t="n"/>
    </row>
    <row r="51">
      <c r="A51" s="142" t="inlineStr">
        <is>
          <t>best_time</t>
        </is>
      </c>
      <c r="B51" s="142" t="inlineStr">
        <is>
          <t>-</t>
        </is>
      </c>
      <c r="C51" s="144" t="inlineStr">
        <is>
          <t>N/A</t>
        </is>
      </c>
      <c r="D51" s="142" t="n"/>
      <c r="E51" s="142" t="n"/>
      <c r="F51" s="119" t="n"/>
      <c r="G51" s="119" t="n"/>
      <c r="H51" s="119" t="n"/>
    </row>
    <row r="52">
      <c r="A52" s="142" t="inlineStr">
        <is>
          <t>phone_owner</t>
        </is>
      </c>
      <c r="B52" s="142" t="n">
        <v>1</v>
      </c>
      <c r="C52" s="144" t="inlineStr">
        <is>
          <t>Caregiver (&lt;font color="#14b14b"&gt;&lt;b&gt;&lt;u&gt;${care_name_b}&lt;/u&gt;&lt;/b&gt;&lt;/font&gt;)</t>
        </is>
      </c>
      <c r="D52" s="142" t="n"/>
      <c r="E52" s="142" t="n"/>
      <c r="F52" s="119" t="n"/>
      <c r="G52" s="119" t="n"/>
      <c r="H52" s="119" t="n"/>
    </row>
    <row r="53">
      <c r="A53" s="142" t="inlineStr">
        <is>
          <t>phone_owner</t>
        </is>
      </c>
      <c r="B53" s="142" t="n">
        <v>2</v>
      </c>
      <c r="C53" s="144" t="inlineStr">
        <is>
          <t>Someone else</t>
        </is>
      </c>
      <c r="D53" s="142" t="n"/>
      <c r="E53" s="142" t="n"/>
      <c r="F53" s="119" t="n"/>
      <c r="G53" s="119" t="n"/>
      <c r="H53" s="119" t="n"/>
    </row>
    <row r="54">
      <c r="A54" s="142" t="inlineStr">
        <is>
          <t>levelling</t>
        </is>
      </c>
      <c r="B54" s="142" t="n">
        <v>1</v>
      </c>
      <c r="C54" s="144" t="inlineStr">
        <is>
          <t>Yes</t>
        </is>
      </c>
      <c r="D54" s="142" t="n"/>
      <c r="E54" s="142" t="n"/>
      <c r="F54" s="119" t="n"/>
      <c r="G54" s="119" t="n"/>
      <c r="H54" s="119" t="n"/>
    </row>
    <row r="55">
      <c r="A55" s="142" t="inlineStr">
        <is>
          <t>levelling</t>
        </is>
      </c>
      <c r="B55" s="142" t="n">
        <v>-88</v>
      </c>
      <c r="C55" s="144" t="inlineStr">
        <is>
          <t>Yes, but someone else seems to be helping</t>
        </is>
      </c>
      <c r="D55" s="142" t="n"/>
      <c r="E55" s="142" t="n"/>
      <c r="F55" s="119" t="n"/>
      <c r="G55" s="119" t="n"/>
      <c r="H55" s="119" t="n"/>
    </row>
    <row r="56">
      <c r="A56" s="142" t="inlineStr">
        <is>
          <t>levelling</t>
        </is>
      </c>
      <c r="B56" s="142" t="n">
        <v>0</v>
      </c>
      <c r="C56" s="144" t="inlineStr">
        <is>
          <t>No</t>
        </is>
      </c>
      <c r="D56" s="142" t="n"/>
      <c r="E56" s="142" t="n"/>
      <c r="F56" s="119" t="n"/>
      <c r="G56" s="119" t="n"/>
      <c r="H56" s="119" t="n"/>
    </row>
    <row r="57">
      <c r="A57" s="142" t="inlineStr">
        <is>
          <t>levelling</t>
        </is>
      </c>
      <c r="B57" s="142" t="n">
        <v>-99</v>
      </c>
      <c r="C57" s="144" t="inlineStr">
        <is>
          <t>Child refused to answer or finished call early</t>
        </is>
      </c>
      <c r="D57" s="142" t="n"/>
      <c r="E57" s="142" t="n"/>
      <c r="F57" s="119" t="n"/>
      <c r="G57" s="119" t="n"/>
      <c r="H57" s="119" t="n"/>
    </row>
    <row r="58">
      <c r="A58" s="142" t="inlineStr">
        <is>
          <t>status</t>
        </is>
      </c>
      <c r="B58" s="142" t="n">
        <v>1</v>
      </c>
      <c r="C58" s="144" t="inlineStr">
        <is>
          <t>Caregiver interviewed and student levelled</t>
        </is>
      </c>
      <c r="D58" s="142" t="n"/>
      <c r="E58" s="142" t="n"/>
      <c r="F58" s="119" t="n"/>
      <c r="G58" s="119" t="n"/>
      <c r="H58" s="119" t="n"/>
    </row>
    <row r="59">
      <c r="A59" s="142" t="inlineStr">
        <is>
          <t>status</t>
        </is>
      </c>
      <c r="B59" s="142" t="n">
        <v>2</v>
      </c>
      <c r="C59" s="144" t="inlineStr">
        <is>
          <t>Only caregiver interviewed, student levelling rescheduled</t>
        </is>
      </c>
      <c r="D59" s="142" t="n"/>
      <c r="E59" s="142" t="n"/>
      <c r="F59" s="119" t="n"/>
      <c r="G59" s="119" t="n"/>
      <c r="H59" s="119" t="n"/>
    </row>
    <row r="60">
      <c r="A60" s="142" t="inlineStr">
        <is>
          <t>status</t>
        </is>
      </c>
      <c r="B60" s="142" t="n">
        <v>0</v>
      </c>
      <c r="C60" s="144" t="inlineStr">
        <is>
          <t>Student levelled, caregiver interviewed previously</t>
        </is>
      </c>
      <c r="D60" s="142" t="n"/>
      <c r="E60" s="142" t="n"/>
      <c r="F60" s="119" t="n"/>
      <c r="G60" s="119" t="n"/>
      <c r="H60" s="119" t="n"/>
    </row>
    <row r="61">
      <c r="A61" s="142" t="inlineStr">
        <is>
          <t>status</t>
        </is>
      </c>
      <c r="B61" s="142" t="n">
        <v>3</v>
      </c>
      <c r="C61" s="144" t="inlineStr">
        <is>
          <t>Call re-scheduled</t>
        </is>
      </c>
      <c r="D61" s="142" t="n"/>
      <c r="E61" s="142" t="n"/>
      <c r="F61" s="119" t="n"/>
      <c r="G61" s="119" t="n"/>
      <c r="H61" s="119" t="n"/>
    </row>
    <row r="62">
      <c r="A62" s="142" t="inlineStr">
        <is>
          <t>status</t>
        </is>
      </c>
      <c r="B62" s="142" t="n">
        <v>4</v>
      </c>
      <c r="C62" s="144" t="inlineStr">
        <is>
          <t>Call not answered</t>
        </is>
      </c>
      <c r="D62" s="142" t="n"/>
      <c r="E62" s="142" t="n"/>
      <c r="F62" s="119" t="n"/>
      <c r="G62" s="119" t="n"/>
      <c r="H62" s="119" t="n"/>
    </row>
    <row r="63">
      <c r="A63" s="142" t="inlineStr">
        <is>
          <t>status</t>
        </is>
      </c>
      <c r="B63" s="142" t="n">
        <v>5</v>
      </c>
      <c r="C63" s="144" t="inlineStr">
        <is>
          <t>Caregiver no longer wants to participate</t>
        </is>
      </c>
      <c r="D63" s="142" t="n"/>
      <c r="E63" s="142" t="n"/>
      <c r="F63" s="119" t="n"/>
      <c r="G63" s="119" t="n"/>
      <c r="H63" s="119" t="n"/>
    </row>
    <row r="64">
      <c r="A64" s="142" t="inlineStr">
        <is>
          <t>status</t>
        </is>
      </c>
      <c r="B64" s="142" t="n">
        <v>6</v>
      </c>
      <c r="C64" s="144" t="inlineStr">
        <is>
          <t>Wrong number</t>
        </is>
      </c>
      <c r="D64" s="119" t="n"/>
      <c r="E64" s="119" t="n"/>
      <c r="F64" s="119" t="n"/>
      <c r="G64" s="119" t="n"/>
      <c r="H64" s="119" t="n"/>
    </row>
    <row r="65">
      <c r="A65" s="142" t="n"/>
      <c r="B65" s="119" t="n"/>
      <c r="C65" s="118" t="n"/>
      <c r="D65" s="119" t="n"/>
      <c r="E65" s="119" t="n"/>
      <c r="F65" s="119" t="n"/>
      <c r="G65" s="119" t="n"/>
      <c r="H65" s="119" t="n"/>
    </row>
  </sheetData>
  <conditionalFormatting sqref="A6:B7 A9:H22 A26:H32 A33:B33 A34:H35 A36:B36 A37:H37 A39:H39 A48:H53 A55:H71 A73:H2011 B46:H47 C33:C34 D6:H7 D33:H33 D36:H36">
    <cfRule type="expression" priority="5" dxfId="118">
      <formula>NOT($A6=$A5)</formula>
    </cfRule>
  </conditionalFormatting>
  <conditionalFormatting sqref="A40:B40 A41:A47 B45:H45 D40:H40 D44:H44">
    <cfRule type="expression" priority="5272" dxfId="118">
      <formula>NOT($A40=#REF!)</formula>
    </cfRule>
  </conditionalFormatting>
  <conditionalFormatting sqref="A2:H5">
    <cfRule type="expression" priority="3289" dxfId="118">
      <formula>NOT($A2=#REF!)</formula>
    </cfRule>
  </conditionalFormatting>
  <conditionalFormatting sqref="A8:H8 A23:H23 A54:H54">
    <cfRule type="expression" priority="3" dxfId="118">
      <formula>NOT($A8=$A6)</formula>
    </cfRule>
  </conditionalFormatting>
  <conditionalFormatting sqref="A24:H24">
    <cfRule type="expression" priority="6531" dxfId="118">
      <formula>NOT($A24=$A16)</formula>
    </cfRule>
  </conditionalFormatting>
  <conditionalFormatting sqref="A25:H25">
    <cfRule type="expression" priority="6528" dxfId="118">
      <formula>NOT($A25=$A16)</formula>
    </cfRule>
  </conditionalFormatting>
  <conditionalFormatting sqref="A38:H38">
    <cfRule type="expression" priority="6509" dxfId="118">
      <formula>NOT($A38=$A31)</formula>
    </cfRule>
  </conditionalFormatting>
  <conditionalFormatting sqref="A72:H72">
    <cfRule type="expression" priority="4997" dxfId="118">
      <formula>NOT($A72=#REF!)</formula>
    </cfRule>
  </conditionalFormatting>
  <conditionalFormatting sqref="B44">
    <cfRule type="expression" priority="5275" dxfId="118">
      <formula>NOT($A44=#REF!)</formula>
    </cfRule>
  </conditionalFormatting>
  <conditionalFormatting sqref="C6:C7">
    <cfRule type="expression" priority="1" dxfId="118">
      <formula>NOT($A6=#REF!)</formula>
    </cfRule>
  </conditionalFormatting>
  <conditionalFormatting sqref="C40 C44">
    <cfRule type="expression" priority="14" dxfId="23" stopIfTrue="1">
      <formula>OR($A40="audio", $A40="video")</formula>
    </cfRule>
    <cfRule type="expression" priority="15" dxfId="48" stopIfTrue="1">
      <formula>$A40="image"</formula>
    </cfRule>
    <cfRule type="expression" priority="16" dxfId="22" stopIfTrue="1">
      <formula>$A40="image"</formula>
    </cfRule>
    <cfRule type="expression" priority="17" dxfId="49" stopIfTrue="1">
      <formula>OR($A40="date", $A40="datetime", $A40="time")</formula>
    </cfRule>
    <cfRule type="expression" priority="18" dxfId="21" stopIfTrue="1">
      <formula>OR($A40="date", $A40="datetime", $A40="time")</formula>
    </cfRule>
    <cfRule type="expression" priority="19" dxfId="11" stopIfTrue="1">
      <formula>OR($A40="calculate", $A40="calculate_here")</formula>
    </cfRule>
    <cfRule type="expression" priority="20" dxfId="42" stopIfTrue="1">
      <formula>$A40="note"</formula>
    </cfRule>
    <cfRule type="expression" priority="21" dxfId="12" stopIfTrue="1">
      <formula>$A40="note"</formula>
    </cfRule>
    <cfRule type="expression" priority="22" dxfId="43" stopIfTrue="1">
      <formula>$A40="barcode"</formula>
    </cfRule>
    <cfRule type="expression" priority="23" dxfId="10" stopIfTrue="1">
      <formula>$A40="barcode"</formula>
    </cfRule>
    <cfRule type="expression" priority="24" dxfId="44" stopIfTrue="1">
      <formula>OR($A40="geopoint", $A40="geoshape", $A40="geotrace")</formula>
    </cfRule>
    <cfRule type="expression" priority="25" dxfId="9" stopIfTrue="1">
      <formula>OR($A40="geopoint", $A40="geoshape", $A40="geotrace")</formula>
    </cfRule>
    <cfRule type="expression" priority="13" dxfId="45" stopIfTrue="1">
      <formula>OR($A40="audio", $A40="video")</formula>
    </cfRule>
    <cfRule type="expression" priority="27" dxfId="0" stopIfTrue="1">
      <formula>OR($A40="username", $A40="phonenumber", $A40="start", $A40="end", $A40="deviceid", $A40="subscriberid", $A40="simserial", $A40="caseid")</formula>
    </cfRule>
    <cfRule type="expression" priority="28" dxfId="46" stopIfTrue="1">
      <formula>OR(AND(LEFT($A40, 16)="select_multiple ", LEN($A40)&gt;16, NOT(ISNUMBER(SEARCH(" ", $A40, 17)))), AND(LEFT($A40, 11)="select_one ", LEN($A40)&gt;11, NOT(ISNUMBER(SEARCH(" ", $A40, 12)))))</formula>
    </cfRule>
    <cfRule type="expression" priority="29" dxfId="7" stopIfTrue="1">
      <formula>OR(AND(LEFT($A40, 16)="select_multiple ", LEN($A40)&gt;16, NOT(ISNUMBER(SEARCH(" ", $A40, 17)))), AND(LEFT($A40, 11)="select_one ", LEN($A40)&gt;11, NOT(ISNUMBER(SEARCH(" ", $A40, 12)))))</formula>
    </cfRule>
    <cfRule type="expression" priority="30" dxfId="40" stopIfTrue="1">
      <formula>$A40="decimal"</formula>
    </cfRule>
    <cfRule type="expression" priority="31" dxfId="6" stopIfTrue="1">
      <formula>$A40="decimal"</formula>
    </cfRule>
    <cfRule type="expression" priority="32" dxfId="36" stopIfTrue="1">
      <formula>$A40="integer"</formula>
    </cfRule>
    <cfRule type="expression" priority="33" dxfId="5" stopIfTrue="1">
      <formula>$A40="integer"</formula>
    </cfRule>
    <cfRule type="expression" priority="34" dxfId="52" stopIfTrue="1">
      <formula>$A40="text"</formula>
    </cfRule>
    <cfRule type="expression" priority="35" dxfId="4" stopIfTrue="1">
      <formula>$A40="text"</formula>
    </cfRule>
    <cfRule type="expression" priority="36" dxfId="2" stopIfTrue="1">
      <formula>$A40="end repeat"</formula>
    </cfRule>
    <cfRule type="expression" priority="37" dxfId="41" stopIfTrue="1">
      <formula>$A40="begin repeat"</formula>
    </cfRule>
    <cfRule type="expression" priority="38" dxfId="2" stopIfTrue="1">
      <formula>$A40="begin repeat"</formula>
    </cfRule>
    <cfRule type="expression" priority="39" dxfId="1" stopIfTrue="1">
      <formula>$A40="end group"</formula>
    </cfRule>
    <cfRule type="expression" priority="40" dxfId="47" stopIfTrue="1">
      <formula>$A40="begin group"</formula>
    </cfRule>
    <cfRule type="expression" priority="41" dxfId="1" stopIfTrue="1">
      <formula>$A40="begin group"</formula>
    </cfRule>
    <cfRule type="expression" priority="12" dxfId="24" stopIfTrue="1">
      <formula>$A40="comments"</formula>
    </cfRule>
    <cfRule type="expression" priority="11" dxfId="88" stopIfTrue="1">
      <formula>OR(AND(LEFT($A40, 14)="sensor_stream ", LEN($A40)&gt;14, NOT(ISNUMBER(SEARCH(" ", $A40, 15)))), AND(LEFT($A40, 17)="sensor_statistic ", LEN($A40)&gt;17, NOT(ISNUMBER(SEARCH(" ", $A40, 18)))))</formula>
    </cfRule>
    <cfRule type="expression" priority="10" dxfId="87" stopIfTrue="1">
      <formula>$A40="enumerator"</formula>
    </cfRule>
    <cfRule type="expression" priority="9" dxfId="86" stopIfTrue="1">
      <formula>$A40="enumerator"</formula>
    </cfRule>
    <cfRule type="expression" priority="8" dxfId="85" stopIfTrue="1">
      <formula>$A40="file"</formula>
    </cfRule>
    <cfRule type="expression" priority="7" dxfId="84" stopIfTrue="1">
      <formula>$A40="file"</formula>
    </cfRule>
    <cfRule type="expression" priority="26" dxfId="8" stopIfTrue="1">
      <formula>OR($A40="audio audit", $A40="text audit", $A40="speed violations count", $A40="speed violations list", $A40="speed violations audit")</formula>
    </cfRule>
  </conditionalFormatting>
  <pageMargins left="0.7479166666666667" right="0.7479166666666667" top="0.9840277777777777" bottom="0.9840277777777777" header="0.5118055555555555" footer="0.5118055555555555"/>
  <pageSetup orientation="portrait" firstPageNumber="0" horizontalDpi="300" verticalDpi="300"/>
</worksheet>
</file>

<file path=xl/worksheets/sheet3.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3" sqref="A3"/>
    </sheetView>
  </sheetViews>
  <sheetFormatPr baseColWidth="10" defaultColWidth="8.83203125" defaultRowHeight="16"/>
  <cols>
    <col width="32" customWidth="1" min="1" max="1"/>
    <col width="26" bestFit="1" customWidth="1" min="2" max="2"/>
    <col width="12" bestFit="1" customWidth="1" min="3" max="3"/>
    <col width="12" customWidth="1" min="4" max="4"/>
    <col width="14" bestFit="1" customWidth="1" min="5" max="5"/>
    <col width="16" bestFit="1" customWidth="1" min="6" max="6"/>
    <col width="18" customWidth="1" min="7" max="7"/>
    <col width="18" customWidth="1" min="8" max="8"/>
  </cols>
  <sheetData>
    <row r="1" ht="20" customFormat="1" customHeight="1" s="3">
      <c r="A1" s="126" t="inlineStr">
        <is>
          <t>form_title</t>
        </is>
      </c>
      <c r="B1" s="126" t="inlineStr">
        <is>
          <t>form_id</t>
        </is>
      </c>
      <c r="C1" s="127" t="inlineStr">
        <is>
          <t>version</t>
        </is>
      </c>
      <c r="D1" s="126" t="inlineStr">
        <is>
          <t>public_key</t>
        </is>
      </c>
      <c r="E1" s="126" t="inlineStr">
        <is>
          <t>submission_url</t>
        </is>
      </c>
      <c r="F1" s="126" t="inlineStr">
        <is>
          <t>default_language</t>
        </is>
      </c>
      <c r="G1" s="128" t="n"/>
      <c r="H1" s="128" t="n"/>
    </row>
    <row r="2">
      <c r="A2" s="142" t="inlineStr">
        <is>
          <t>Sensitization: mEduc GOV, PH 2025 Term 2</t>
        </is>
      </c>
      <c r="B2" s="142" t="inlineStr">
        <is>
          <t>mEduc_sens_t22025_ph</t>
        </is>
      </c>
      <c r="C2" s="142">
        <f>TEXT(YEAR(NOW())-2000, "00") &amp; TEXT(MONTH(NOW()), "00") &amp; TEXT(DAY(NOW()), "00") &amp; TEXT(HOUR(NOW()), "00") &amp; TEXT(MINUTE(NOW()), "00")</f>
        <v/>
      </c>
      <c r="D2" s="152" t="inlineStr"/>
      <c r="E2" s="153" t="inlineStr"/>
      <c r="F2" s="142" t="inlineStr">
        <is>
          <t>english</t>
        </is>
      </c>
      <c r="G2" s="119" t="n"/>
      <c r="H2" s="119" t="n"/>
    </row>
  </sheetData>
  <pageMargins left="0.7" right="0.7" top="0.75" bottom="0.75" header="0.3" footer="0.3"/>
  <pageSetup orientation="portrait" horizontalDpi="4294967292" verticalDpi="4294967292"/>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D155"/>
  <sheetViews>
    <sheetView topLeftCell="A8" zoomScaleNormal="100" workbookViewId="0">
      <selection activeCell="A18" sqref="A18:XFD18"/>
    </sheetView>
  </sheetViews>
  <sheetFormatPr baseColWidth="10" defaultColWidth="11.1640625" defaultRowHeight="16"/>
  <cols>
    <col collapsed="1" width="36" customWidth="1" min="1" max="2"/>
    <col collapsed="1" width="36" customWidth="1" style="13" min="3" max="3"/>
    <col collapsed="1" width="36" customWidth="1" min="4" max="30"/>
  </cols>
  <sheetData>
    <row r="1" ht="17" customHeight="1">
      <c r="A1" s="154" t="inlineStr">
        <is>
          <t>The survey worksheet</t>
        </is>
      </c>
      <c r="B1" s="155" t="n"/>
    </row>
    <row r="2">
      <c r="A2" s="156" t="n"/>
      <c r="B2" s="157" t="n"/>
    </row>
    <row r="3" ht="58" customHeight="1">
      <c r="A3" s="158" t="inlineStr">
        <is>
          <t>This worksheet specifies all of the groups, questions, and other fields in your survey form, each in its own row. Aside from overall settings and lists of multiple-choice options, everything about your survey form is specified in this worksheet.</t>
        </is>
      </c>
      <c r="B3" s="157" t="n"/>
    </row>
    <row r="4" ht="16" customHeight="1">
      <c r="A4" s="159" t="inlineStr">
        <is>
          <t>Learn more about form definitions and field types</t>
        </is>
      </c>
      <c r="B4" s="160" t="n"/>
    </row>
    <row r="6" ht="18" customFormat="1" customHeight="1" s="3">
      <c r="A6" s="46" t="inlineStr">
        <is>
          <t>type</t>
        </is>
      </c>
      <c r="B6" s="46" t="inlineStr">
        <is>
          <t>name</t>
        </is>
      </c>
      <c r="C6" s="47" t="inlineStr">
        <is>
          <t>label</t>
        </is>
      </c>
      <c r="D6" s="47" t="inlineStr">
        <is>
          <t>label:languagename</t>
        </is>
      </c>
      <c r="E6" s="46" t="inlineStr">
        <is>
          <t>hint</t>
        </is>
      </c>
      <c r="F6" s="46" t="inlineStr">
        <is>
          <t>hint:languagename</t>
        </is>
      </c>
      <c r="G6" s="46" t="inlineStr">
        <is>
          <t>default</t>
        </is>
      </c>
      <c r="H6" s="48" t="inlineStr">
        <is>
          <t>appearance</t>
        </is>
      </c>
      <c r="I6" s="46" t="inlineStr">
        <is>
          <t>constraint</t>
        </is>
      </c>
      <c r="J6" s="47" t="inlineStr">
        <is>
          <t>constraint message</t>
        </is>
      </c>
      <c r="K6" s="47" t="inlineStr">
        <is>
          <t>constraint message:languagename</t>
        </is>
      </c>
      <c r="L6" s="46" t="inlineStr">
        <is>
          <t>relevance</t>
        </is>
      </c>
      <c r="M6" s="46" t="inlineStr">
        <is>
          <t>disabled</t>
        </is>
      </c>
      <c r="N6" s="46" t="inlineStr">
        <is>
          <t>required</t>
        </is>
      </c>
      <c r="O6" s="46" t="inlineStr">
        <is>
          <t>required message</t>
        </is>
      </c>
      <c r="P6" s="46" t="inlineStr">
        <is>
          <t>required message:languagename</t>
        </is>
      </c>
      <c r="Q6" s="46" t="inlineStr">
        <is>
          <t>read only</t>
        </is>
      </c>
      <c r="R6" s="46" t="inlineStr">
        <is>
          <t>calculation</t>
        </is>
      </c>
      <c r="S6" s="46" t="inlineStr">
        <is>
          <t>repeat_count</t>
        </is>
      </c>
      <c r="T6" s="46" t="inlineStr">
        <is>
          <t>media:image</t>
        </is>
      </c>
      <c r="U6" s="46" t="inlineStr">
        <is>
          <t>media:audio</t>
        </is>
      </c>
      <c r="V6" s="46" t="inlineStr">
        <is>
          <t>media:video</t>
        </is>
      </c>
      <c r="W6" s="46" t="inlineStr">
        <is>
          <t>media:image:languagename</t>
        </is>
      </c>
      <c r="X6" s="46" t="inlineStr">
        <is>
          <t>media:audio:languagename</t>
        </is>
      </c>
      <c r="Y6" s="46" t="inlineStr">
        <is>
          <t>media:video:languagename</t>
        </is>
      </c>
      <c r="Z6" s="46" t="inlineStr">
        <is>
          <t>choice_filter</t>
        </is>
      </c>
      <c r="AA6" s="46" t="inlineStr">
        <is>
          <t>note</t>
        </is>
      </c>
      <c r="AB6" s="46" t="inlineStr">
        <is>
          <t>response_note</t>
        </is>
      </c>
      <c r="AC6" s="46" t="inlineStr">
        <is>
          <t>publishable</t>
        </is>
      </c>
      <c r="AD6" s="46" t="inlineStr">
        <is>
          <t>minimum_seconds</t>
        </is>
      </c>
    </row>
    <row r="7" ht="272" customFormat="1" customHeight="1" s="45">
      <c r="A7" s="44" t="inlineStr">
        <is>
          <t>This column specifies the type of the field or group. It has to follow a pre-specified format, and Excel's conditional formatting has been used to auto-highlight rows that appear to have a valid type column -- so, if you are using Excel and your row is not automatically highlighted, re-check that you have entered the type properly. 
See below for an exhaustive list of brief examples.</t>
        </is>
      </c>
      <c r="B7" s="44" t="inlineStr">
        <is>
          <t>This column specifies the name of the field or group. Field names must be unique, and they cannot include any spaces or punctuation. 
Example: age</t>
        </is>
      </c>
      <c r="C7" s="44" t="inlineStr">
        <is>
          <t>For those field types that present a user interface, this column is where you put the primary text for the question or field. You can include line-breaks in your label text by pressing Alt+Enter on Windows or Control+Option+Enter on a Mac.</t>
        </is>
      </c>
      <c r="D7" s="44" t="inlineStr">
        <is>
          <t>Any label:languagename column (e.g., label:tamil) may be added in order to provide labels in an alternative language.
View the help topic below for more details.</t>
        </is>
      </c>
      <c r="E7" s="44" t="inlineStr">
        <is>
          <t>Text in this column, if any, will appear italicized beneath the field's label. You can include line-breaks in your hint text by pressing Alt+Enter on Windows or Control+Option+Enter on a Mac.</t>
        </is>
      </c>
      <c r="F7" s="44" t="inlineStr">
        <is>
          <t>Any hint:languagename column (e.g., hint:tamil) may be added in order to provide hints in an alternative language.
View the help topic below for more details.</t>
        </is>
      </c>
      <c r="G7" s="49" t="inlineStr">
        <is>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is>
      </c>
      <c r="H7" s="44" t="inlineStr">
        <is>
          <t>For field types that allow multiple appearances, you can specify the appearance style in this column (e.g., quick or minimal for select_one fields). 
See the individual examples below.</t>
        </is>
      </c>
      <c r="I7" s="44" t="inlineStr">
        <is>
          <t>Enter an expression into this column to validate entered or selected values. The user will only be allowed to proceed to the next question when the expression evaluates to true. Use the constraint builder to build new constraint expressions. (Also see the expression quick-reference following the examples below.) 
Example: . &lt; 130
View the help topic below for more details.</t>
        </is>
      </c>
      <c r="J7" s="44" t="inlineStr">
        <is>
          <t>If the user tries to move forward but the constraint expression is false, a generic "That entry is invalid" message will appear; to override this message on a field-by-field basis, enter another message into this column.
View the help topic below for more details.</t>
        </is>
      </c>
      <c r="K7" s="44" t="inlineStr">
        <is>
          <t>Any constraint message:languagename column (e.g., constraint message:tamil) may be added in order to provide constraint messages in an alternative language.</t>
        </is>
      </c>
      <c r="L7" s="44" t="inlineStr">
        <is>
          <t>Enter an expression into this column to control when a field or group displays to the user (i.e., to control when it is "relevant"). The field or group will only show up to users when the expression in this column evaluates to true; otherwise, it will remain hidden. Use the relevance builder to build new relevance expressions. (Also see the expression quick-reference following the examples below.) 
Example: ${age} &lt; 18
View the help topic below for more details.</t>
        </is>
      </c>
      <c r="M7" s="44" t="inlineStr">
        <is>
          <t>Enter yes into this column to temporarily disable a field. (Rarely used.)
View the help topic below for more details.</t>
        </is>
      </c>
      <c r="N7" s="44" t="inlineStr">
        <is>
          <t>Enter yes into this column to require that users enter or select a value before continuing.
View the help topic below for more details.</t>
        </is>
      </c>
      <c r="O7" s="44" t="inlineStr">
        <is>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is>
      </c>
      <c r="P7" s="44" t="inlineStr">
        <is>
          <t>Any required message:languagename column (e.g., required message:tamil) may be added in order to provide required messages in an alternative language.</t>
        </is>
      </c>
      <c r="Q7" s="44" t="inlineStr">
        <is>
          <t>Enter yes into this column to make it read-only (a user can see the field, but cannot enter or select a value). (Rarely used, because note fields, which are by nature read-only, are automatically read-only regardless of what is specified here.)</t>
        </is>
      </c>
      <c r="R7" s="44" t="inlineStr">
        <is>
          <t>This column specifies the expression to use for a calculate field, or the expression to use for calculating the default entry or selection for a visible form field. Use the calculation builder to build new calculation expressions. (Also see the expression quick-reference following the examples below.)
View the help topic below for more details.</t>
        </is>
      </c>
      <c r="S7" s="44" t="inlineStr">
        <is>
          <t>For a begin repeat row, this column can specify the number of times to repeat the group of questions. (Can be a fixed count like 3 or a reference to an earlier field like ${numhh_members}.)
View the help topic below for more details.</t>
        </is>
      </c>
      <c r="T7" s="44" t="inlineStr">
        <is>
          <t>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paddy.png
View the help topic below for more details.</t>
        </is>
      </c>
      <c r="U7" s="44" t="inlineStr">
        <is>
          <t>To include a sound clip that can be played at a field, its filename should be specified here (and the file should be uploaded with this form defintion). Which media file formats are supported will depend on your Android device. 
Example: explanation.3gpp
View the help topic below for more details.</t>
        </is>
      </c>
      <c r="V7" s="44" t="inlineStr">
        <is>
          <t>To include a video clip that can be played at a field, its filename should be specified here (and the file should be uploaded with this form defintion). Which media file formats are supported will depend on your Android device. 
Example: demonstration.mp4
View the help topic below for more details.</t>
        </is>
      </c>
      <c r="W7" s="44" t="inlineStr">
        <is>
          <t>Any media:image:languagename column (e.g., media:image:tamil) may be added in order to provide images for an alternative language.
View the help topic below for more details.</t>
        </is>
      </c>
      <c r="X7" s="44" t="inlineStr">
        <is>
          <t>Any media:audio:languagename column (e.g., media:audio:tamil) may be added in order to provide audio clips for an alternative language.
View the help topic below for more details.</t>
        </is>
      </c>
      <c r="Y7" s="44" t="inlineStr">
        <is>
          <t>Any media:video:languagename column (e.g., media:video:tamil) may be added in order to provide video clips for an alternative language.
View the help topic below for more details.</t>
        </is>
      </c>
      <c r="Z7" s="39" t="inlineStr">
        <is>
          <t>When filtering lists of multiple-choice options, this column specifies, for each field, which prior field should be used when filtering the list of options. 
Example: filter=${survey_region}
View the help topic below for more details.</t>
        </is>
      </c>
      <c r="AA7" s="44" t="inlineStr">
        <is>
          <t>This column can specify an optional note to appear with the field in printable versions of the survey form, in order to explain when groups or fields will appear (i.e., when they are relevant), what restrictions there are on user entries (i.e., what constraints apply), etc.</t>
        </is>
      </c>
      <c r="AB7" s="44" t="inlineStr">
        <is>
          <t>This column can specify optional text or symbols to appear in the response area to the right of questions in printable versions of the survey form. For a text field, for example, you might put something like |___|___| if you are looking for two letters or numbers; or, for a checkbox, you might put a hollow square like □ (this is a special HTML character: enter "&amp;#9633;", without quotes, into this column); finally, for a radio button, you might simply enter a capital O.</t>
        </is>
      </c>
      <c r="AC7" s="44" t="inlineStr">
        <is>
          <t>Enter yes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is>
      </c>
      <c r="AD7" s="44" t="inlineStr">
        <is>
          <t xml:space="preserve">Enter a number of seconds that represents the minimum time enumerators should spend the first time they view the field. This represents a "speed limit" that can be enforced by SurveyCTO Collect for Android (with the Enforce minimum times for fields option within Collect's Admin Settings); alternatively, you can track violations with the following field types: "speed violations count", "speed violations list", and "speed violations audit" (see examples for these field types below).
View the help topic below for more details. </t>
        </is>
      </c>
    </row>
    <row r="8" ht="34" customFormat="1" customHeight="1" s="45">
      <c r="A8" s="62" t="n"/>
      <c r="B8" s="62" t="n"/>
      <c r="C8" s="62" t="n"/>
      <c r="D8" s="57" t="inlineStr">
        <is>
          <t>Help topic: Form languages</t>
        </is>
      </c>
      <c r="E8" s="62" t="n"/>
      <c r="F8" s="57" t="inlineStr">
        <is>
          <t>Help topic: Form languages</t>
        </is>
      </c>
      <c r="G8" s="63" t="inlineStr">
        <is>
          <t>Help topic: Pre-loading data into a form</t>
        </is>
      </c>
      <c r="H8" s="62" t="n"/>
      <c r="I8" s="63" t="inlineStr">
        <is>
          <t>Help topic: Using constraints to validate responses</t>
        </is>
      </c>
      <c r="J8" s="63" t="inlineStr">
        <is>
          <t>Help topic: Using constraints to validate responses</t>
        </is>
      </c>
      <c r="K8" s="62" t="n"/>
      <c r="L8" s="63" t="inlineStr">
        <is>
          <t>Help topic: Implementing skip patterns with "relevance"</t>
        </is>
      </c>
      <c r="M8" s="63" t="inlineStr">
        <is>
          <t>Help topic: Other field properties</t>
        </is>
      </c>
      <c r="N8" s="63" t="inlineStr">
        <is>
          <t>Help topic: Other field properties</t>
        </is>
      </c>
      <c r="O8" s="63" t="inlineStr">
        <is>
          <t>Help topic: Other field properties</t>
        </is>
      </c>
      <c r="P8" s="62" t="n"/>
      <c r="Q8" s="63" t="inlineStr">
        <is>
          <t>Help topic: Other field properties</t>
        </is>
      </c>
      <c r="R8" s="63" t="inlineStr">
        <is>
          <t>Help topic: Field type: calculate</t>
        </is>
      </c>
      <c r="S8" s="63" t="inlineStr">
        <is>
          <t>Help topic: Grouping and repeating questions</t>
        </is>
      </c>
      <c r="T8" s="63" t="inlineStr">
        <is>
          <t>Help topic: Images: Adding pictures and other graphics</t>
        </is>
      </c>
      <c r="U8" s="63" t="inlineStr">
        <is>
          <t>Help topic: Other field properties</t>
        </is>
      </c>
      <c r="V8" s="63" t="inlineStr">
        <is>
          <t>Help topic: Other field properties</t>
        </is>
      </c>
      <c r="W8" s="57" t="inlineStr">
        <is>
          <t>Help topic: Form languages</t>
        </is>
      </c>
      <c r="X8" s="57" t="inlineStr">
        <is>
          <t>Help topic: Form languages</t>
        </is>
      </c>
      <c r="Y8" s="57" t="inlineStr">
        <is>
          <t>Help topic: Form languages</t>
        </is>
      </c>
      <c r="Z8" s="63" t="inlineStr">
        <is>
          <t>Help topic: Dynamically filtering lists of multiple-choice options</t>
        </is>
      </c>
      <c r="AA8" s="63" t="inlineStr">
        <is>
          <t>Help topic: Downloading printable copies of your forms</t>
        </is>
      </c>
      <c r="AB8" s="63" t="inlineStr">
        <is>
          <t>Help topic: Downloading printable copies of your forms</t>
        </is>
      </c>
      <c r="AC8" s="55" t="inlineStr">
        <is>
          <t>Help topic: Encrypting form data (end-to-end encryption)</t>
        </is>
      </c>
      <c r="AD8" s="63" t="inlineStr">
        <is>
          <t>Help topic: Collecting high-quality data</t>
        </is>
      </c>
    </row>
    <row r="10" customFormat="1" s="24">
      <c r="A10" s="103" t="inlineStr">
        <is>
          <t>Examples (scroll right for appearance styles)</t>
        </is>
      </c>
      <c r="B10" s="161" t="n"/>
      <c r="C10" s="22"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row>
    <row r="12" ht="51" customFormat="1" customHeight="1" s="24">
      <c r="A12" s="51" t="inlineStr">
        <is>
          <t>enumerator</t>
        </is>
      </c>
      <c r="B12" s="25" t="inlineStr">
        <is>
          <t>fieldname</t>
        </is>
      </c>
      <c r="C12" s="26" t="inlineStr">
        <is>
          <t>Enumerator selection field (require a special code in order to reveal the full enumerator list):</t>
        </is>
      </c>
      <c r="D12" s="25" t="n"/>
      <c r="E12" s="25" t="n"/>
      <c r="F12" s="25" t="n"/>
      <c r="G12" s="25" t="n"/>
      <c r="H12" s="25" t="inlineStr">
        <is>
          <t>other-user-code(xyz)</t>
        </is>
      </c>
      <c r="I12" s="25" t="n"/>
      <c r="J12" s="25" t="n"/>
      <c r="K12" s="25" t="n"/>
      <c r="L12" s="25" t="n"/>
      <c r="M12" s="25" t="n"/>
      <c r="N12" s="25" t="n"/>
      <c r="O12" s="25" t="n"/>
      <c r="P12" s="25" t="n"/>
      <c r="Q12" s="25" t="n"/>
      <c r="R12" s="25" t="n"/>
      <c r="S12" s="25" t="n"/>
      <c r="T12" s="25" t="n"/>
      <c r="U12" s="25" t="n"/>
      <c r="V12" s="25" t="n"/>
      <c r="W12" s="25" t="n"/>
      <c r="X12" s="25" t="n"/>
      <c r="Y12" s="25" t="n"/>
      <c r="Z12" s="25" t="n"/>
      <c r="AA12" s="25" t="n"/>
      <c r="AB12" s="25" t="n"/>
      <c r="AC12" s="25" t="n"/>
      <c r="AD12" s="25" t="n"/>
    </row>
    <row r="13" ht="51" customFormat="1" customHeight="1" s="24">
      <c r="A13" s="51" t="inlineStr">
        <is>
          <t>enumerator</t>
        </is>
      </c>
      <c r="B13" s="25" t="inlineStr">
        <is>
          <t>fieldname</t>
        </is>
      </c>
      <c r="C13" s="26" t="inlineStr">
        <is>
          <t>Enumerator selection field (require a special code in order to enter a new enumerator):</t>
        </is>
      </c>
      <c r="D13" s="25" t="n"/>
      <c r="E13" s="25" t="n"/>
      <c r="F13" s="25" t="n"/>
      <c r="G13" s="25" t="n"/>
      <c r="H13" s="26" t="inlineStr">
        <is>
          <t>add-new-code(xyz)</t>
        </is>
      </c>
      <c r="I13" s="25" t="n"/>
      <c r="J13" s="25" t="n"/>
      <c r="K13" s="25" t="n"/>
      <c r="L13" s="25" t="n"/>
      <c r="M13" s="25" t="n"/>
      <c r="N13" s="25" t="n"/>
      <c r="O13" s="25" t="n"/>
      <c r="P13" s="25" t="n"/>
      <c r="Q13" s="25" t="n"/>
      <c r="R13" s="25" t="n"/>
      <c r="S13" s="25" t="n"/>
      <c r="T13" s="25" t="n"/>
      <c r="U13" s="25" t="n"/>
      <c r="V13" s="25" t="n"/>
      <c r="W13" s="25" t="n"/>
      <c r="X13" s="25" t="n"/>
      <c r="Y13" s="25" t="n"/>
      <c r="Z13" s="25" t="n"/>
      <c r="AA13" s="25" t="n"/>
      <c r="AB13" s="25" t="n"/>
      <c r="AC13" s="25" t="n"/>
      <c r="AD13" s="25" t="n"/>
    </row>
    <row r="14" ht="17" customFormat="1" customHeight="1" s="24">
      <c r="A14" s="51" t="inlineStr">
        <is>
          <t>enumerator</t>
        </is>
      </c>
      <c r="B14" s="25" t="inlineStr">
        <is>
          <t>fieldname</t>
        </is>
      </c>
      <c r="C14" s="26" t="inlineStr">
        <is>
          <t>Enumerator selection field:</t>
        </is>
      </c>
      <c r="D14" s="25" t="n"/>
      <c r="E14" s="25" t="n"/>
      <c r="F14" s="25" t="n"/>
      <c r="G14" s="25" t="n"/>
      <c r="H14" s="25" t="inlineStr">
        <is>
          <t>default-to-entry</t>
        </is>
      </c>
      <c r="I14" s="25" t="n"/>
      <c r="J14" s="25" t="n"/>
      <c r="K14" s="25" t="n"/>
      <c r="L14" s="25" t="n"/>
      <c r="M14" s="25" t="n"/>
      <c r="N14" s="25" t="n"/>
      <c r="O14" s="25" t="n"/>
      <c r="P14" s="25" t="n"/>
      <c r="Q14" s="25" t="n"/>
      <c r="R14" s="25" t="n"/>
      <c r="S14" s="25" t="n"/>
      <c r="T14" s="25" t="n"/>
      <c r="U14" s="25" t="n"/>
      <c r="V14" s="25" t="n"/>
      <c r="W14" s="25" t="n"/>
      <c r="X14" s="25" t="n"/>
      <c r="Y14" s="25" t="n"/>
      <c r="Z14" s="25" t="n"/>
      <c r="AA14" s="25" t="n"/>
      <c r="AB14" s="25" t="n"/>
      <c r="AC14" s="25" t="n"/>
      <c r="AD14" s="25" t="n"/>
    </row>
    <row r="15" ht="17" customFormat="1" customHeight="1" s="24">
      <c r="A15" s="51" t="inlineStr">
        <is>
          <t>enumerator</t>
        </is>
      </c>
      <c r="B15" s="25" t="inlineStr">
        <is>
          <t>fieldname</t>
        </is>
      </c>
      <c r="C15" s="26" t="inlineStr">
        <is>
          <t>Enumerator selection field:</t>
        </is>
      </c>
      <c r="D15" s="25" t="n"/>
      <c r="E15" s="25" t="n"/>
      <c r="F15" s="25" t="n"/>
      <c r="G15" s="25" t="n"/>
      <c r="H15" s="25" t="inlineStr">
        <is>
          <t>default-to-scan</t>
        </is>
      </c>
      <c r="I15" s="25" t="n"/>
      <c r="J15" s="25" t="n"/>
      <c r="K15" s="25" t="n"/>
      <c r="L15" s="25" t="n"/>
      <c r="M15" s="25" t="n"/>
      <c r="N15" s="25" t="n"/>
      <c r="O15" s="25" t="n"/>
      <c r="P15" s="25" t="n"/>
      <c r="Q15" s="25" t="n"/>
      <c r="R15" s="25" t="n"/>
      <c r="S15" s="25" t="n"/>
      <c r="T15" s="25" t="n"/>
      <c r="U15" s="25" t="n"/>
      <c r="V15" s="25" t="n"/>
      <c r="W15" s="25" t="n"/>
      <c r="X15" s="25" t="n"/>
      <c r="Y15" s="25" t="n"/>
      <c r="Z15" s="25" t="n"/>
      <c r="AA15" s="25" t="n"/>
      <c r="AB15" s="25" t="n"/>
      <c r="AC15" s="25" t="n"/>
      <c r="AD15" s="25" t="n"/>
    </row>
    <row r="16" ht="17" customFormat="1" customHeight="1" s="24">
      <c r="A16" s="51" t="inlineStr">
        <is>
          <t>text</t>
        </is>
      </c>
      <c r="B16" s="25" t="inlineStr">
        <is>
          <t>fieldname</t>
        </is>
      </c>
      <c r="C16" s="26" t="inlineStr">
        <is>
          <t>Standard text field:</t>
        </is>
      </c>
      <c r="D16" s="51" t="n"/>
      <c r="E16" s="25" t="n"/>
      <c r="F16" s="25" t="n"/>
      <c r="G16" s="25" t="n"/>
      <c r="H16" s="25" t="n"/>
      <c r="I16" s="25" t="n"/>
      <c r="J16" s="25" t="n"/>
      <c r="K16" s="25" t="n"/>
      <c r="L16" s="25" t="n"/>
      <c r="M16" s="25" t="n"/>
      <c r="N16" s="25" t="n"/>
      <c r="O16" s="25" t="n"/>
      <c r="P16" s="25" t="n"/>
      <c r="Q16" s="25" t="n"/>
      <c r="R16" s="25" t="n"/>
      <c r="S16" s="25" t="n"/>
      <c r="T16" s="25" t="n"/>
      <c r="U16" s="25" t="n"/>
      <c r="V16" s="25" t="n"/>
      <c r="W16" s="25" t="n"/>
      <c r="X16" s="25" t="n"/>
      <c r="Y16" s="25" t="n"/>
      <c r="Z16" s="25" t="n"/>
      <c r="AA16" s="25" t="n"/>
      <c r="AB16" s="25" t="n"/>
      <c r="AC16" s="25" t="n"/>
      <c r="AD16" s="25" t="n"/>
    </row>
    <row r="17" ht="17" customFormat="1" customHeight="1" s="24">
      <c r="A17" s="51" t="inlineStr">
        <is>
          <t>text</t>
        </is>
      </c>
      <c r="B17" s="25" t="inlineStr">
        <is>
          <t>fieldname</t>
        </is>
      </c>
      <c r="C17" s="26" t="inlineStr">
        <is>
          <t>Text field which uses the numeric keypad:</t>
        </is>
      </c>
      <c r="D17" s="25" t="n"/>
      <c r="E17" s="25" t="n"/>
      <c r="F17" s="25" t="n"/>
      <c r="G17" s="25" t="n"/>
      <c r="H17" s="25" t="inlineStr">
        <is>
          <t>numbers</t>
        </is>
      </c>
      <c r="I17" s="25" t="n"/>
      <c r="J17" s="25" t="n"/>
      <c r="K17" s="25" t="n"/>
      <c r="L17" s="25" t="n"/>
      <c r="M17" s="25" t="n"/>
      <c r="N17" s="25" t="n"/>
      <c r="O17" s="25" t="n"/>
      <c r="P17" s="25" t="n"/>
      <c r="Q17" s="25" t="n"/>
      <c r="R17" s="25" t="n"/>
      <c r="S17" s="25" t="n"/>
      <c r="T17" s="25" t="n"/>
      <c r="U17" s="25" t="n"/>
      <c r="V17" s="25" t="n"/>
      <c r="W17" s="25" t="n"/>
      <c r="X17" s="25" t="n"/>
      <c r="Y17" s="25" t="n"/>
      <c r="Z17" s="25" t="n"/>
      <c r="AA17" s="25" t="n"/>
      <c r="AB17" s="25" t="n"/>
      <c r="AC17" s="25" t="n"/>
      <c r="AD17" s="25" t="n"/>
    </row>
    <row r="18" ht="17" customFormat="1" customHeight="1" s="24">
      <c r="A18" s="51" t="inlineStr">
        <is>
          <t>integer</t>
        </is>
      </c>
      <c r="B18" s="25" t="inlineStr">
        <is>
          <t>fieldname</t>
        </is>
      </c>
      <c r="C18" s="26" t="inlineStr">
        <is>
          <t>Standard integer field:</t>
        </is>
      </c>
      <c r="D18" s="51" t="n"/>
      <c r="E18" s="25" t="n"/>
      <c r="F18" s="25" t="n"/>
      <c r="G18" s="25" t="n"/>
      <c r="H18" s="25" t="n"/>
      <c r="I18" s="25" t="n"/>
      <c r="J18" s="25" t="n"/>
      <c r="K18" s="25" t="n"/>
      <c r="L18" s="25" t="n"/>
      <c r="M18" s="25" t="n"/>
      <c r="N18" s="25" t="n"/>
      <c r="O18" s="25" t="n"/>
      <c r="P18" s="25" t="n"/>
      <c r="Q18" s="25" t="n"/>
      <c r="R18" s="25" t="n"/>
      <c r="S18" s="25" t="n"/>
      <c r="T18" s="25" t="n"/>
      <c r="U18" s="25" t="n"/>
      <c r="V18" s="25" t="n"/>
      <c r="W18" s="25" t="n"/>
      <c r="X18" s="25" t="n"/>
      <c r="Y18" s="25" t="n"/>
      <c r="Z18" s="25" t="n"/>
      <c r="AA18" s="25" t="n"/>
      <c r="AB18" s="25" t="n"/>
      <c r="AC18" s="25" t="n"/>
      <c r="AD18" s="25" t="n"/>
    </row>
    <row r="19" ht="17" customFormat="1" customHeight="1" s="24">
      <c r="A19" s="51" t="inlineStr">
        <is>
          <t>decimal</t>
        </is>
      </c>
      <c r="B19" s="25" t="inlineStr">
        <is>
          <t>fieldname</t>
        </is>
      </c>
      <c r="C19" s="26" t="inlineStr">
        <is>
          <t>Standard decimal field:</t>
        </is>
      </c>
      <c r="D19" s="51" t="n"/>
      <c r="E19" s="25" t="n"/>
      <c r="F19" s="25" t="n"/>
      <c r="G19" s="25" t="n"/>
      <c r="H19" s="25" t="n"/>
      <c r="I19" s="25" t="n"/>
      <c r="J19" s="25" t="n"/>
      <c r="K19" s="25" t="n"/>
      <c r="L19" s="25" t="n"/>
      <c r="M19" s="25" t="n"/>
      <c r="N19" s="25" t="n"/>
      <c r="O19" s="25" t="n"/>
      <c r="P19" s="25" t="n"/>
      <c r="Q19" s="25" t="n"/>
      <c r="R19" s="25" t="n"/>
      <c r="S19" s="25" t="n"/>
      <c r="T19" s="25" t="n"/>
      <c r="U19" s="25" t="n"/>
      <c r="V19" s="25" t="n"/>
      <c r="W19" s="25" t="n"/>
      <c r="X19" s="25" t="n"/>
      <c r="Y19" s="25" t="n"/>
      <c r="Z19" s="25" t="n"/>
      <c r="AA19" s="25" t="n"/>
      <c r="AB19" s="25" t="n"/>
      <c r="AC19" s="25" t="n"/>
      <c r="AD19" s="25" t="n"/>
    </row>
    <row r="20" ht="51" customFormat="1" customHeight="1" s="24">
      <c r="A20" s="51" t="inlineStr">
        <is>
          <t>select_one listname</t>
        </is>
      </c>
      <c r="B20" s="25" t="inlineStr">
        <is>
          <t>fieldname</t>
        </is>
      </c>
      <c r="C20" s="26" t="inlineStr">
        <is>
          <t>Standard multiple-choice field (allows one selection, shown as series of radio buttons):</t>
        </is>
      </c>
      <c r="D20" s="51" t="n"/>
      <c r="E20" s="25" t="n"/>
      <c r="F20" s="25" t="n"/>
      <c r="G20" s="25" t="n"/>
      <c r="H20" s="25" t="n"/>
      <c r="I20" s="25" t="n"/>
      <c r="J20" s="25" t="n"/>
      <c r="K20" s="25" t="n"/>
      <c r="L20" s="25" t="n"/>
      <c r="M20" s="25" t="n"/>
      <c r="N20" s="25" t="n"/>
      <c r="O20" s="25" t="n"/>
      <c r="P20" s="25" t="n"/>
      <c r="Q20" s="25" t="n"/>
      <c r="R20" s="25" t="n"/>
      <c r="S20" s="25" t="n"/>
      <c r="T20" s="25" t="n"/>
      <c r="U20" s="25" t="n"/>
      <c r="V20" s="25" t="n"/>
      <c r="W20" s="25" t="n"/>
      <c r="X20" s="25" t="n"/>
      <c r="Y20" s="25" t="n"/>
      <c r="Z20" s="25" t="n"/>
      <c r="AA20" s="25" t="n"/>
      <c r="AB20" s="25" t="n"/>
      <c r="AC20" s="25" t="n"/>
      <c r="AD20" s="25" t="n"/>
    </row>
    <row r="21" ht="51" customFormat="1" customHeight="1" s="24">
      <c r="A21" s="51" t="inlineStr">
        <is>
          <t>select_one listname</t>
        </is>
      </c>
      <c r="B21" s="25" t="inlineStr">
        <is>
          <t>fieldname</t>
        </is>
      </c>
      <c r="C21" s="26" t="inlineStr">
        <is>
          <t>Multiple-choice field (allows one selection, shown horizontally along likert-type scale):</t>
        </is>
      </c>
      <c r="D21" s="25" t="n"/>
      <c r="E21" s="25" t="n"/>
      <c r="F21" s="25" t="n"/>
      <c r="G21" s="25" t="n"/>
      <c r="H21" s="25" t="inlineStr">
        <is>
          <t>likert</t>
        </is>
      </c>
      <c r="I21" s="25" t="n"/>
      <c r="J21" s="25" t="n"/>
      <c r="K21" s="25" t="n"/>
      <c r="L21" s="25" t="n"/>
      <c r="M21" s="25" t="n"/>
      <c r="N21" s="25" t="n"/>
      <c r="O21" s="25" t="n"/>
      <c r="P21" s="25" t="n"/>
      <c r="Q21" s="25" t="n"/>
      <c r="R21" s="25" t="n"/>
      <c r="S21" s="25" t="n"/>
      <c r="T21" s="25" t="n"/>
      <c r="U21" s="25" t="n"/>
      <c r="V21" s="25" t="n"/>
      <c r="W21" s="25" t="n"/>
      <c r="X21" s="25" t="n"/>
      <c r="Y21" s="25" t="n"/>
      <c r="Z21" s="25" t="n"/>
      <c r="AA21" s="25" t="n"/>
      <c r="AB21" s="25" t="n"/>
      <c r="AC21" s="25" t="n"/>
      <c r="AD21" s="25" t="n"/>
    </row>
    <row r="22" ht="68" customFormat="1" customHeight="1" s="24">
      <c r="A22" s="51" t="inlineStr">
        <is>
          <t>select_one listname</t>
        </is>
      </c>
      <c r="B22" s="25" t="inlineStr">
        <is>
          <t>fieldname</t>
        </is>
      </c>
      <c r="C22" s="26" t="inlineStr">
        <is>
          <t>Multiple-choice field (allows one selection, shown horizontally along likert-type scale, labels only at ends of the scale):</t>
        </is>
      </c>
      <c r="D22" s="25" t="n"/>
      <c r="E22" s="25" t="n"/>
      <c r="F22" s="25" t="n"/>
      <c r="G22" s="25" t="n"/>
      <c r="H22" s="25" t="inlineStr">
        <is>
          <t>likert-min</t>
        </is>
      </c>
      <c r="I22" s="25" t="n"/>
      <c r="J22" s="25" t="n"/>
      <c r="K22" s="25" t="n"/>
      <c r="L22" s="25" t="n"/>
      <c r="M22" s="25" t="n"/>
      <c r="N22" s="25" t="n"/>
      <c r="O22" s="25" t="n"/>
      <c r="P22" s="25" t="n"/>
      <c r="Q22" s="25" t="n"/>
      <c r="R22" s="25" t="n"/>
      <c r="S22" s="25" t="n"/>
      <c r="T22" s="25" t="n"/>
      <c r="U22" s="25" t="n"/>
      <c r="V22" s="25" t="n"/>
      <c r="W22" s="25" t="n"/>
      <c r="X22" s="25" t="n"/>
      <c r="Y22" s="25" t="n"/>
      <c r="Z22" s="25" t="n"/>
      <c r="AA22" s="25" t="n"/>
      <c r="AB22" s="25" t="n"/>
      <c r="AC22" s="25" t="n"/>
      <c r="AD22" s="25" t="n"/>
    </row>
    <row r="23" ht="68" customFormat="1" customHeight="1" s="24">
      <c r="A23" s="51" t="inlineStr">
        <is>
          <t>select_one listname</t>
        </is>
      </c>
      <c r="B23" s="25" t="inlineStr">
        <is>
          <t>fieldname</t>
        </is>
      </c>
      <c r="C23" s="26" t="inlineStr">
        <is>
          <t>Multiple-choice field (allows one selection, shown horizontally along likert-type scale, labels only at ends and middle of scale):</t>
        </is>
      </c>
      <c r="D23" s="25" t="n"/>
      <c r="E23" s="25" t="n"/>
      <c r="F23" s="25" t="n"/>
      <c r="G23" s="25" t="n"/>
      <c r="H23" s="25" t="inlineStr">
        <is>
          <t>likert-mid</t>
        </is>
      </c>
      <c r="I23" s="25" t="n"/>
      <c r="J23" s="25" t="n"/>
      <c r="K23" s="25" t="n"/>
      <c r="L23" s="25" t="n"/>
      <c r="M23" s="25" t="n"/>
      <c r="N23" s="25" t="n"/>
      <c r="O23" s="25" t="n"/>
      <c r="P23" s="25" t="n"/>
      <c r="Q23" s="25" t="n"/>
      <c r="R23" s="25" t="n"/>
      <c r="S23" s="25" t="n"/>
      <c r="T23" s="25" t="n"/>
      <c r="U23" s="25" t="n"/>
      <c r="V23" s="25" t="n"/>
      <c r="W23" s="25" t="n"/>
      <c r="X23" s="25" t="n"/>
      <c r="Y23" s="25" t="n"/>
      <c r="Z23" s="25" t="n"/>
      <c r="AA23" s="25" t="n"/>
      <c r="AB23" s="25" t="n"/>
      <c r="AC23" s="25" t="n"/>
      <c r="AD23" s="25" t="n"/>
    </row>
    <row r="24" ht="51" customFormat="1" customHeight="1" s="24">
      <c r="A24" s="51" t="inlineStr">
        <is>
          <t>select_one listname</t>
        </is>
      </c>
      <c r="B24" s="25" t="inlineStr">
        <is>
          <t>fieldname</t>
        </is>
      </c>
      <c r="C24" s="26" t="inlineStr">
        <is>
          <t>Multiple-choice field (allows one selection, auto-advances to next question as soon as an option is selected):</t>
        </is>
      </c>
      <c r="D24" s="25" t="n"/>
      <c r="E24" s="25" t="n"/>
      <c r="F24" s="25" t="n"/>
      <c r="G24" s="25" t="n"/>
      <c r="H24" s="25" t="inlineStr">
        <is>
          <t>quick</t>
        </is>
      </c>
      <c r="I24" s="25" t="n"/>
      <c r="J24" s="25" t="n"/>
      <c r="K24" s="25" t="n"/>
      <c r="L24" s="25" t="n"/>
      <c r="M24" s="25" t="n"/>
      <c r="N24" s="25" t="n"/>
      <c r="O24" s="25" t="n"/>
      <c r="P24" s="25" t="n"/>
      <c r="Q24" s="25" t="n"/>
      <c r="R24" s="25" t="n"/>
      <c r="S24" s="25" t="n"/>
      <c r="T24" s="25" t="n"/>
      <c r="U24" s="25" t="n"/>
      <c r="V24" s="25" t="n"/>
      <c r="W24" s="25" t="n"/>
      <c r="X24" s="25" t="n"/>
      <c r="Y24" s="25" t="n"/>
      <c r="Z24" s="25" t="n"/>
      <c r="AA24" s="25" t="n"/>
      <c r="AB24" s="25" t="n"/>
      <c r="AC24" s="25" t="n"/>
      <c r="AD24" s="25" t="n"/>
    </row>
    <row r="25" ht="51" customFormat="1" customHeight="1" s="24">
      <c r="A25" s="51" t="inlineStr">
        <is>
          <t>select_one listname</t>
        </is>
      </c>
      <c r="B25" s="25" t="inlineStr">
        <is>
          <t>fieldname</t>
        </is>
      </c>
      <c r="C25" s="26" t="inlineStr">
        <is>
          <t>Multiple-choice field (allows one selection, shown as a drop-down selector):</t>
        </is>
      </c>
      <c r="D25" s="25" t="n"/>
      <c r="E25" s="25" t="n"/>
      <c r="F25" s="25" t="n"/>
      <c r="G25" s="25" t="n"/>
      <c r="H25" s="25" t="inlineStr">
        <is>
          <t>minimal</t>
        </is>
      </c>
      <c r="I25" s="25" t="n"/>
      <c r="J25" s="25" t="n"/>
      <c r="K25" s="25" t="n"/>
      <c r="L25" s="25" t="n"/>
      <c r="M25" s="25" t="n"/>
      <c r="N25" s="25" t="n"/>
      <c r="O25" s="25" t="n"/>
      <c r="P25" s="25" t="n"/>
      <c r="Q25" s="25" t="n"/>
      <c r="R25" s="25" t="n"/>
      <c r="S25" s="25" t="n"/>
      <c r="T25" s="25" t="n"/>
      <c r="U25" s="25" t="n"/>
      <c r="V25" s="25" t="n"/>
      <c r="W25" s="25" t="n"/>
      <c r="X25" s="25" t="n"/>
      <c r="Y25" s="25" t="n"/>
      <c r="Z25" s="25" t="n"/>
      <c r="AA25" s="25" t="n"/>
      <c r="AB25" s="25" t="n"/>
      <c r="AC25" s="25" t="n"/>
      <c r="AD25" s="25" t="n"/>
    </row>
    <row r="26" ht="51" customFormat="1" customHeight="1" s="24">
      <c r="A26" s="51" t="inlineStr">
        <is>
          <t>select_one listname</t>
        </is>
      </c>
      <c r="B26" s="25" t="inlineStr">
        <is>
          <t>fieldname</t>
        </is>
      </c>
      <c r="C26" s="26" t="inlineStr">
        <is>
          <t>Multiple-choice field (allows one selection, shown as a compact table of options):</t>
        </is>
      </c>
      <c r="D26" s="25" t="n"/>
      <c r="E26" s="25" t="n"/>
      <c r="F26" s="25" t="n"/>
      <c r="G26" s="25" t="n"/>
      <c r="H26" s="25" t="inlineStr">
        <is>
          <t>compact</t>
        </is>
      </c>
      <c r="I26" s="25" t="n"/>
      <c r="J26" s="25" t="n"/>
      <c r="K26" s="25" t="n"/>
      <c r="L26" s="25" t="n"/>
      <c r="M26" s="25" t="n"/>
      <c r="N26" s="25" t="n"/>
      <c r="O26" s="25" t="n"/>
      <c r="P26" s="25" t="n"/>
      <c r="Q26" s="25" t="n"/>
      <c r="R26" s="25" t="n"/>
      <c r="S26" s="25" t="n"/>
      <c r="T26" s="25" t="n"/>
      <c r="U26" s="25" t="n"/>
      <c r="V26" s="25" t="n"/>
      <c r="W26" s="25" t="n"/>
      <c r="X26" s="25" t="n"/>
      <c r="Y26" s="25" t="n"/>
      <c r="Z26" s="25" t="n"/>
      <c r="AA26" s="25" t="n"/>
      <c r="AB26" s="25" t="n"/>
      <c r="AC26" s="25" t="n"/>
      <c r="AD26" s="25" t="n"/>
    </row>
    <row r="27" ht="51" customFormat="1" customHeight="1" s="24">
      <c r="A27" s="51" t="inlineStr">
        <is>
          <t>select_one listname</t>
        </is>
      </c>
      <c r="B27" s="25" t="inlineStr">
        <is>
          <t>fieldname</t>
        </is>
      </c>
      <c r="C27" s="26" t="inlineStr">
        <is>
          <t>Multiple-choice field (allows one selection, shown as a compact table of options with exactly three columns):</t>
        </is>
      </c>
      <c r="D27" s="25" t="n"/>
      <c r="E27" s="25" t="n"/>
      <c r="F27" s="25" t="n"/>
      <c r="G27" s="25" t="n"/>
      <c r="H27" s="25" t="inlineStr">
        <is>
          <t>compact-3</t>
        </is>
      </c>
      <c r="I27" s="25" t="n"/>
      <c r="J27" s="25" t="n"/>
      <c r="K27" s="25" t="n"/>
      <c r="L27" s="25" t="n"/>
      <c r="M27" s="25" t="n"/>
      <c r="N27" s="25" t="n"/>
      <c r="O27" s="25" t="n"/>
      <c r="P27" s="25" t="n"/>
      <c r="Q27" s="25" t="n"/>
      <c r="R27" s="25" t="n"/>
      <c r="S27" s="25" t="n"/>
      <c r="T27" s="25" t="n"/>
      <c r="U27" s="25" t="n"/>
      <c r="V27" s="25" t="n"/>
      <c r="W27" s="25" t="n"/>
      <c r="X27" s="25" t="n"/>
      <c r="Y27" s="25" t="n"/>
      <c r="Z27" s="25" t="n"/>
      <c r="AA27" s="25" t="n"/>
      <c r="AB27" s="25" t="n"/>
      <c r="AC27" s="25" t="n"/>
      <c r="AD27" s="25" t="n"/>
    </row>
    <row r="28" ht="68" customFormat="1" customHeight="1" s="24">
      <c r="A28" s="51" t="inlineStr">
        <is>
          <t>select_one listname</t>
        </is>
      </c>
      <c r="B28" s="25" t="inlineStr">
        <is>
          <t>fieldname</t>
        </is>
      </c>
      <c r="C28" s="26" t="inlineStr">
        <is>
          <t>Multiple-choice field (allows one selection, shown as a compact table of options, auto-advances to next question as soon as an option is selected):</t>
        </is>
      </c>
      <c r="D28" s="25" t="n"/>
      <c r="E28" s="25" t="n"/>
      <c r="F28" s="25" t="n"/>
      <c r="G28" s="25" t="n"/>
      <c r="H28" s="25" t="inlineStr">
        <is>
          <t>quickcompact</t>
        </is>
      </c>
      <c r="I28" s="25" t="n"/>
      <c r="J28" s="25" t="n"/>
      <c r="K28" s="25" t="n"/>
      <c r="L28" s="25" t="n"/>
      <c r="M28" s="25" t="n"/>
      <c r="N28" s="25" t="n"/>
      <c r="O28" s="25" t="n"/>
      <c r="P28" s="25" t="n"/>
      <c r="Q28" s="25" t="n"/>
      <c r="R28" s="25" t="n"/>
      <c r="S28" s="25" t="n"/>
      <c r="T28" s="25" t="n"/>
      <c r="U28" s="25" t="n"/>
      <c r="V28" s="25" t="n"/>
      <c r="W28" s="25" t="n"/>
      <c r="X28" s="25" t="n"/>
      <c r="Y28" s="25" t="n"/>
      <c r="Z28" s="25" t="n"/>
      <c r="AA28" s="25" t="n"/>
      <c r="AB28" s="25" t="n"/>
      <c r="AC28" s="25" t="n"/>
      <c r="AD28" s="25" t="n"/>
    </row>
    <row r="29" ht="85" customFormat="1" customHeight="1" s="24">
      <c r="A29" s="51" t="inlineStr">
        <is>
          <t>select_one listname</t>
        </is>
      </c>
      <c r="B29" s="25" t="inlineStr">
        <is>
          <t>fieldname</t>
        </is>
      </c>
      <c r="C29" s="26" t="inlineStr">
        <is>
          <t>Multiple-choice field (allows one selection, shown as a compact table of options with exactly three columns, auto-advances to next question as soon as an option is selected):</t>
        </is>
      </c>
      <c r="D29" s="25" t="n"/>
      <c r="E29" s="25" t="n"/>
      <c r="F29" s="25" t="n"/>
      <c r="G29" s="25" t="n"/>
      <c r="H29" s="25" t="inlineStr">
        <is>
          <t>quickcompact-3</t>
        </is>
      </c>
      <c r="I29" s="25" t="n"/>
      <c r="J29" s="25" t="n"/>
      <c r="K29" s="25" t="n"/>
      <c r="L29" s="25" t="n"/>
      <c r="M29" s="25" t="n"/>
      <c r="N29" s="25" t="n"/>
      <c r="O29" s="25" t="n"/>
      <c r="P29" s="25" t="n"/>
      <c r="Q29" s="25" t="n"/>
      <c r="R29" s="25" t="n"/>
      <c r="S29" s="25" t="n"/>
      <c r="T29" s="25" t="n"/>
      <c r="U29" s="25" t="n"/>
      <c r="V29" s="25" t="n"/>
      <c r="W29" s="25" t="n"/>
      <c r="X29" s="25" t="n"/>
      <c r="Y29" s="25" t="n"/>
      <c r="Z29" s="25" t="n"/>
      <c r="AA29" s="25" t="n"/>
      <c r="AB29" s="25" t="n"/>
      <c r="AC29" s="25" t="n"/>
      <c r="AD29" s="25" t="n"/>
    </row>
    <row r="30" ht="68" customFormat="1" customHeight="1" s="24">
      <c r="A30" s="51" t="inlineStr">
        <is>
          <t>select_one listname</t>
        </is>
      </c>
      <c r="B30" s="25" t="inlineStr">
        <is>
          <t>fieldname</t>
        </is>
      </c>
      <c r="C30" s="26" t="inlineStr">
        <is>
          <t>Multiple-choice field (allows one selection, loads options from pre-loaded .csv file, includes options based on a "contains" comparison):</t>
        </is>
      </c>
      <c r="D30" s="25" t="n"/>
      <c r="E30" s="25" t="n"/>
      <c r="F30" s="25" t="n"/>
      <c r="G30" s="25" t="n"/>
      <c r="H30" s="25" t="inlineStr">
        <is>
          <t>search('hhplotdata', 'contains', 'respondentname', ${nametofind})</t>
        </is>
      </c>
      <c r="I30" s="25" t="n"/>
      <c r="J30" s="25" t="n"/>
      <c r="K30" s="25" t="n"/>
      <c r="L30" s="25" t="n"/>
      <c r="M30" s="25" t="n"/>
      <c r="N30" s="25" t="n"/>
      <c r="O30" s="25" t="n"/>
      <c r="P30" s="25" t="n"/>
      <c r="Q30" s="25" t="n"/>
      <c r="R30" s="25" t="n"/>
      <c r="S30" s="25" t="n"/>
      <c r="T30" s="25" t="n"/>
      <c r="U30" s="25" t="n"/>
      <c r="V30" s="25" t="n"/>
      <c r="W30" s="25" t="n"/>
      <c r="X30" s="25" t="n"/>
      <c r="Y30" s="25" t="n"/>
      <c r="Z30" s="25" t="n"/>
      <c r="AA30" s="25" t="n"/>
      <c r="AB30" s="25" t="n"/>
      <c r="AC30" s="25" t="n"/>
      <c r="AD30" s="25" t="n"/>
    </row>
    <row r="31" ht="68" customFormat="1" customHeight="1" s="24">
      <c r="A31" s="51" t="inlineStr">
        <is>
          <t>select_one listname</t>
        </is>
      </c>
      <c r="B31" s="25" t="inlineStr">
        <is>
          <t>fieldname</t>
        </is>
      </c>
      <c r="C31" s="26" t="inlineStr">
        <is>
          <t>Multiple-choice field (allows one selection, loads options from pre-loaded .csv file, includes options based on a "starts with" comparison):</t>
        </is>
      </c>
      <c r="D31" s="25" t="n"/>
      <c r="E31" s="25" t="n"/>
      <c r="F31" s="25" t="n"/>
      <c r="G31" s="25" t="n"/>
      <c r="H31" s="25" t="inlineStr">
        <is>
          <t>search('hhplotdata', 'startswith', 'respondentname', ${nameprefix})</t>
        </is>
      </c>
      <c r="I31" s="25" t="n"/>
      <c r="J31" s="25" t="n"/>
      <c r="K31" s="25" t="n"/>
      <c r="L31" s="25" t="n"/>
      <c r="M31" s="25" t="n"/>
      <c r="N31" s="25" t="n"/>
      <c r="O31" s="25" t="n"/>
      <c r="P31" s="25" t="n"/>
      <c r="Q31" s="25" t="n"/>
      <c r="R31" s="25" t="n"/>
      <c r="S31" s="25" t="n"/>
      <c r="T31" s="25" t="n"/>
      <c r="U31" s="25" t="n"/>
      <c r="V31" s="25" t="n"/>
      <c r="W31" s="25" t="n"/>
      <c r="X31" s="25" t="n"/>
      <c r="Y31" s="25" t="n"/>
      <c r="Z31" s="25" t="n"/>
      <c r="AA31" s="25" t="n"/>
      <c r="AB31" s="25" t="n"/>
      <c r="AC31" s="25" t="n"/>
      <c r="AD31" s="25" t="n"/>
    </row>
    <row r="32" ht="68" customFormat="1" customHeight="1" s="24">
      <c r="A32" s="51" t="inlineStr">
        <is>
          <t>select_one listname</t>
        </is>
      </c>
      <c r="B32" s="25" t="inlineStr">
        <is>
          <t>fieldname</t>
        </is>
      </c>
      <c r="C32" s="30" t="inlineStr">
        <is>
          <t>Multiple-choice field (allows one selection, loads options from pre-loaded .csv file, includes options based on an "ends with" comparison):</t>
        </is>
      </c>
      <c r="D32" s="25" t="n"/>
      <c r="E32" s="25" t="n"/>
      <c r="F32" s="25" t="n"/>
      <c r="G32" s="25" t="n"/>
      <c r="H32" s="25" t="inlineStr">
        <is>
          <t>search('hhplotdata', 'endswith', 'respondentname', ${namesuffix})</t>
        </is>
      </c>
      <c r="I32" s="25" t="n"/>
      <c r="J32" s="25" t="n"/>
      <c r="K32" s="25" t="n"/>
      <c r="L32" s="25" t="n"/>
      <c r="M32" s="25" t="n"/>
      <c r="N32" s="25" t="n"/>
      <c r="O32" s="25" t="n"/>
      <c r="P32" s="25" t="n"/>
      <c r="Q32" s="25" t="n"/>
      <c r="R32" s="25" t="n"/>
      <c r="S32" s="25" t="n"/>
      <c r="T32" s="25" t="n"/>
      <c r="U32" s="25" t="n"/>
      <c r="V32" s="25" t="n"/>
      <c r="W32" s="25" t="n"/>
      <c r="X32" s="25" t="n"/>
      <c r="Y32" s="25" t="n"/>
      <c r="Z32" s="25" t="n"/>
      <c r="AA32" s="25" t="n"/>
      <c r="AB32" s="25" t="n"/>
      <c r="AC32" s="25" t="n"/>
      <c r="AD32" s="25" t="n"/>
    </row>
    <row r="33" ht="68" customFormat="1" customHeight="1" s="24">
      <c r="A33" s="51" t="inlineStr">
        <is>
          <t>select_one listname</t>
        </is>
      </c>
      <c r="B33" s="25" t="inlineStr">
        <is>
          <t>fieldname</t>
        </is>
      </c>
      <c r="C33" s="26" t="inlineStr">
        <is>
          <t>Multiple-choice field (allows one selection, loads options from pre-loaded .csv file, includes options based on an "exact match" comparison):</t>
        </is>
      </c>
      <c r="D33" s="25" t="n"/>
      <c r="E33" s="25" t="n"/>
      <c r="F33" s="25" t="n"/>
      <c r="G33" s="25" t="n"/>
      <c r="H33" s="25" t="inlineStr">
        <is>
          <t>search('hhplotdata', 'matches', 'respondentname', ${nametofind})</t>
        </is>
      </c>
      <c r="I33" s="25" t="n"/>
      <c r="J33" s="25" t="n"/>
      <c r="K33" s="25" t="n"/>
      <c r="L33" s="25" t="n"/>
      <c r="M33" s="25" t="n"/>
      <c r="N33" s="25" t="n"/>
      <c r="O33" s="25" t="n"/>
      <c r="P33" s="25" t="n"/>
      <c r="Q33" s="25" t="n"/>
      <c r="R33" s="25" t="n"/>
      <c r="S33" s="25" t="n"/>
      <c r="T33" s="25" t="n"/>
      <c r="U33" s="25" t="n"/>
      <c r="V33" s="25" t="n"/>
      <c r="W33" s="25" t="n"/>
      <c r="X33" s="25" t="n"/>
      <c r="Y33" s="25" t="n"/>
      <c r="Z33" s="25" t="n"/>
      <c r="AA33" s="25" t="n"/>
      <c r="AB33" s="25" t="n"/>
      <c r="AC33" s="25" t="n"/>
      <c r="AD33" s="25" t="n"/>
    </row>
    <row r="34" ht="85" customFormat="1" customHeight="1" s="24">
      <c r="A34" s="51" t="inlineStr">
        <is>
          <t>select_one listname</t>
        </is>
      </c>
      <c r="B34" s="25" t="inlineStr">
        <is>
          <t>fieldname</t>
        </is>
      </c>
      <c r="C34" s="26" t="inlineStr">
        <is>
          <t>Multiple-choice field (allows one selection, loads options from pre-loaded .csv file, includes options based on both a "contains" comparison and an "exact match" filter):</t>
        </is>
      </c>
      <c r="D34" s="25" t="n"/>
      <c r="E34" s="25" t="n"/>
      <c r="F34" s="25" t="n"/>
      <c r="G34" s="25" t="n"/>
      <c r="H34" s="25" t="inlineStr">
        <is>
          <t>search('hhplotdata', 'contains', 'respondentname', ${nametofind}, 'villageid', ${villageid})</t>
        </is>
      </c>
      <c r="I34" s="25" t="n"/>
      <c r="J34" s="25" t="n"/>
      <c r="K34" s="25" t="n"/>
      <c r="L34" s="25" t="n"/>
      <c r="M34" s="25" t="n"/>
      <c r="N34" s="25" t="n"/>
      <c r="O34" s="25" t="n"/>
      <c r="P34" s="25" t="n"/>
      <c r="Q34" s="25" t="n"/>
      <c r="R34" s="25" t="n"/>
      <c r="S34" s="25" t="n"/>
      <c r="T34" s="25" t="n"/>
      <c r="U34" s="25" t="n"/>
      <c r="V34" s="25" t="n"/>
      <c r="W34" s="25" t="n"/>
      <c r="X34" s="25" t="n"/>
      <c r="Y34" s="25" t="n"/>
      <c r="Z34" s="25" t="n"/>
      <c r="AA34" s="25" t="n"/>
      <c r="AB34" s="25" t="n"/>
      <c r="AC34" s="25" t="n"/>
      <c r="AD34" s="25" t="n"/>
    </row>
    <row r="35" ht="51" customFormat="1" customHeight="1" s="24">
      <c r="A35" s="51" t="inlineStr">
        <is>
          <t>select_multiple listname</t>
        </is>
      </c>
      <c r="B35" s="25" t="inlineStr">
        <is>
          <t>fieldname</t>
        </is>
      </c>
      <c r="C35" s="26" t="inlineStr">
        <is>
          <t>Standard multiple-choice field (allows multiple selections, shown as series of radio buttons):</t>
        </is>
      </c>
      <c r="D35" s="51" t="n"/>
      <c r="E35" s="25" t="n"/>
      <c r="F35" s="25" t="n"/>
      <c r="G35" s="25" t="n"/>
      <c r="H35" s="25" t="n"/>
      <c r="I35" s="25" t="n"/>
      <c r="J35" s="25" t="n"/>
      <c r="K35" s="25" t="n"/>
      <c r="L35" s="25" t="n"/>
      <c r="M35" s="25" t="n"/>
      <c r="N35" s="25" t="n"/>
      <c r="O35" s="25" t="n"/>
      <c r="P35" s="25" t="n"/>
      <c r="Q35" s="25" t="n"/>
      <c r="R35" s="25" t="n"/>
      <c r="S35" s="25" t="n"/>
      <c r="T35" s="25" t="n"/>
      <c r="U35" s="25" t="n"/>
      <c r="V35" s="25" t="n"/>
      <c r="W35" s="25" t="n"/>
      <c r="X35" s="25" t="n"/>
      <c r="Y35" s="25" t="n"/>
      <c r="Z35" s="25" t="n"/>
      <c r="AA35" s="25" t="n"/>
      <c r="AB35" s="25" t="n"/>
      <c r="AC35" s="25" t="n"/>
      <c r="AD35" s="25" t="n"/>
    </row>
    <row r="36" ht="34" customFormat="1" customHeight="1" s="24">
      <c r="A36" s="51" t="inlineStr">
        <is>
          <t>select_multiple listname</t>
        </is>
      </c>
      <c r="B36" s="25" t="inlineStr">
        <is>
          <t>fieldname</t>
        </is>
      </c>
      <c r="C36" s="26" t="inlineStr">
        <is>
          <t>Multiple-choice field (allows multiple selections, shown as a pop-up selector):</t>
        </is>
      </c>
      <c r="D36" s="25" t="n"/>
      <c r="E36" s="25" t="n"/>
      <c r="F36" s="25" t="n"/>
      <c r="G36" s="25" t="n"/>
      <c r="H36" s="25" t="inlineStr">
        <is>
          <t>minimal</t>
        </is>
      </c>
      <c r="I36" s="25" t="n"/>
      <c r="J36" s="25" t="n"/>
      <c r="K36" s="25" t="n"/>
      <c r="L36" s="25" t="n"/>
      <c r="M36" s="25" t="n"/>
      <c r="N36" s="25" t="n"/>
      <c r="O36" s="25" t="n"/>
      <c r="P36" s="25" t="n"/>
      <c r="Q36" s="25" t="n"/>
      <c r="R36" s="25" t="n"/>
      <c r="S36" s="25" t="n"/>
      <c r="T36" s="25" t="n"/>
      <c r="U36" s="25" t="n"/>
      <c r="V36" s="25" t="n"/>
      <c r="W36" s="25" t="n"/>
      <c r="X36" s="25" t="n"/>
      <c r="Y36" s="25" t="n"/>
      <c r="Z36" s="25" t="n"/>
      <c r="AA36" s="25" t="n"/>
      <c r="AB36" s="25" t="n"/>
      <c r="AC36" s="25" t="n"/>
      <c r="AD36" s="25" t="n"/>
    </row>
    <row r="37" ht="51" customFormat="1" customHeight="1" s="24">
      <c r="A37" s="51" t="inlineStr">
        <is>
          <t>select_multiple listname</t>
        </is>
      </c>
      <c r="B37" s="25" t="inlineStr">
        <is>
          <t>fieldname</t>
        </is>
      </c>
      <c r="C37" s="26" t="inlineStr">
        <is>
          <t>Multiple-choice field (allows multiple selections, shown as a compact table of options):</t>
        </is>
      </c>
      <c r="D37" s="25" t="n"/>
      <c r="E37" s="25" t="n"/>
      <c r="F37" s="25" t="n"/>
      <c r="G37" s="25" t="n"/>
      <c r="H37" s="25" t="inlineStr">
        <is>
          <t>compact</t>
        </is>
      </c>
      <c r="I37" s="25" t="n"/>
      <c r="J37" s="25" t="n"/>
      <c r="K37" s="25" t="n"/>
      <c r="L37" s="25" t="n"/>
      <c r="M37" s="25" t="n"/>
      <c r="N37" s="25" t="n"/>
      <c r="O37" s="25" t="n"/>
      <c r="P37" s="25" t="n"/>
      <c r="Q37" s="25" t="n"/>
      <c r="R37" s="25" t="n"/>
      <c r="S37" s="25" t="n"/>
      <c r="T37" s="25" t="n"/>
      <c r="U37" s="25" t="n"/>
      <c r="V37" s="25" t="n"/>
      <c r="W37" s="25" t="n"/>
      <c r="X37" s="25" t="n"/>
      <c r="Y37" s="25" t="n"/>
      <c r="Z37" s="25" t="n"/>
      <c r="AA37" s="25" t="n"/>
      <c r="AB37" s="25" t="n"/>
      <c r="AC37" s="25" t="n"/>
      <c r="AD37" s="25" t="n"/>
    </row>
    <row r="38" ht="51" customFormat="1" customHeight="1" s="24">
      <c r="A38" s="51" t="inlineStr">
        <is>
          <t>select_multiple listname</t>
        </is>
      </c>
      <c r="B38" s="25" t="inlineStr">
        <is>
          <t>fieldname</t>
        </is>
      </c>
      <c r="C38" s="26" t="inlineStr">
        <is>
          <t>Multiple-choice field (allows multiple selections, shown as a compact table of options with exactly three columns):</t>
        </is>
      </c>
      <c r="D38" s="25" t="n"/>
      <c r="E38" s="25" t="n"/>
      <c r="F38" s="25" t="n"/>
      <c r="G38" s="25" t="n"/>
      <c r="H38" s="25" t="inlineStr">
        <is>
          <t>compact-3</t>
        </is>
      </c>
      <c r="I38" s="25" t="n"/>
      <c r="J38" s="25" t="n"/>
      <c r="K38" s="25" t="n"/>
      <c r="L38" s="25" t="n"/>
      <c r="M38" s="25" t="n"/>
      <c r="N38" s="25" t="n"/>
      <c r="O38" s="25" t="n"/>
      <c r="P38" s="25" t="n"/>
      <c r="Q38" s="25" t="n"/>
      <c r="R38" s="25" t="n"/>
      <c r="S38" s="25" t="n"/>
      <c r="T38" s="25" t="n"/>
      <c r="U38" s="25" t="n"/>
      <c r="V38" s="25" t="n"/>
      <c r="W38" s="25" t="n"/>
      <c r="X38" s="25" t="n"/>
      <c r="Y38" s="25" t="n"/>
      <c r="Z38" s="25" t="n"/>
      <c r="AA38" s="25" t="n"/>
      <c r="AB38" s="25" t="n"/>
      <c r="AC38" s="25" t="n"/>
      <c r="AD38" s="25" t="n"/>
    </row>
    <row r="39" ht="68" customFormat="1" customHeight="1" s="24">
      <c r="A39" s="51" t="inlineStr">
        <is>
          <t>select_multiple listname</t>
        </is>
      </c>
      <c r="B39" s="25" t="inlineStr">
        <is>
          <t>fieldname</t>
        </is>
      </c>
      <c r="C39" s="26" t="inlineStr">
        <is>
          <t>Multiple-choice field (allows multiple selections, loads options from pre-loaded .csv file, includes options based on a "contains" comparison):</t>
        </is>
      </c>
      <c r="D39" s="25" t="n"/>
      <c r="E39" s="25" t="n"/>
      <c r="F39" s="25" t="n"/>
      <c r="G39" s="25" t="n"/>
      <c r="H39" s="25" t="inlineStr">
        <is>
          <t>search('hhplotdata', 'contains', 'respondentname', ${nametofind})</t>
        </is>
      </c>
      <c r="I39" s="25" t="n"/>
      <c r="J39" s="25" t="n"/>
      <c r="K39" s="25" t="n"/>
      <c r="L39" s="25" t="n"/>
      <c r="M39" s="25" t="n"/>
      <c r="N39" s="25" t="n"/>
      <c r="O39" s="25" t="n"/>
      <c r="P39" s="25" t="n"/>
      <c r="Q39" s="25" t="n"/>
      <c r="R39" s="25" t="n"/>
      <c r="S39" s="25" t="n"/>
      <c r="T39" s="25" t="n"/>
      <c r="U39" s="25" t="n"/>
      <c r="V39" s="25" t="n"/>
      <c r="W39" s="25" t="n"/>
      <c r="X39" s="25" t="n"/>
      <c r="Y39" s="25" t="n"/>
      <c r="Z39" s="25" t="n"/>
      <c r="AA39" s="25" t="n"/>
      <c r="AB39" s="25" t="n"/>
      <c r="AC39" s="25" t="n"/>
      <c r="AD39" s="25" t="n"/>
    </row>
    <row r="40" ht="68" customFormat="1" customHeight="1" s="24">
      <c r="A40" s="51" t="inlineStr">
        <is>
          <t>select_multiple listname</t>
        </is>
      </c>
      <c r="B40" s="25" t="inlineStr">
        <is>
          <t>fieldname</t>
        </is>
      </c>
      <c r="C40" s="26" t="inlineStr">
        <is>
          <t>Multiple-choice field (allows multiple selections, loads options from pre-loaded .csv file, includes options based on a "starts with" comparison):</t>
        </is>
      </c>
      <c r="D40" s="25" t="n"/>
      <c r="E40" s="25" t="n"/>
      <c r="F40" s="25" t="n"/>
      <c r="G40" s="25" t="n"/>
      <c r="H40" s="25" t="inlineStr">
        <is>
          <t>search('hhplotdata', 'startswith', 'respondentname', ${nameprefix})</t>
        </is>
      </c>
      <c r="I40" s="25" t="n"/>
      <c r="J40" s="25" t="n"/>
      <c r="K40" s="25" t="n"/>
      <c r="L40" s="25" t="n"/>
      <c r="M40" s="25" t="n"/>
      <c r="N40" s="25" t="n"/>
      <c r="O40" s="25" t="n"/>
      <c r="P40" s="25" t="n"/>
      <c r="Q40" s="25" t="n"/>
      <c r="R40" s="25" t="n"/>
      <c r="S40" s="25" t="n"/>
      <c r="T40" s="25" t="n"/>
      <c r="U40" s="25" t="n"/>
      <c r="V40" s="25" t="n"/>
      <c r="W40" s="25" t="n"/>
      <c r="X40" s="25" t="n"/>
      <c r="Y40" s="25" t="n"/>
      <c r="Z40" s="25" t="n"/>
      <c r="AA40" s="25" t="n"/>
      <c r="AB40" s="25" t="n"/>
      <c r="AC40" s="25" t="n"/>
      <c r="AD40" s="25" t="n"/>
    </row>
    <row r="41" ht="68" customFormat="1" customHeight="1" s="24">
      <c r="A41" s="51" t="inlineStr">
        <is>
          <t>select_multiple listname</t>
        </is>
      </c>
      <c r="B41" s="25" t="inlineStr">
        <is>
          <t>fieldname</t>
        </is>
      </c>
      <c r="C41" s="30" t="inlineStr">
        <is>
          <t>Multiple-choice field (allows multiple selections, loads options from pre-loaded .csv file, includes options based on an "ends with" comparison):</t>
        </is>
      </c>
      <c r="D41" s="25" t="n"/>
      <c r="E41" s="25" t="n"/>
      <c r="F41" s="25" t="n"/>
      <c r="G41" s="25" t="n"/>
      <c r="H41" s="25" t="inlineStr">
        <is>
          <t>search('hhplotdata', 'endswith', 'respondentname', ${namesuffix})</t>
        </is>
      </c>
      <c r="I41" s="25" t="n"/>
      <c r="J41" s="25" t="n"/>
      <c r="K41" s="25" t="n"/>
      <c r="L41" s="25" t="n"/>
      <c r="M41" s="25" t="n"/>
      <c r="N41" s="25" t="n"/>
      <c r="O41" s="25" t="n"/>
      <c r="P41" s="25" t="n"/>
      <c r="Q41" s="25" t="n"/>
      <c r="R41" s="25" t="n"/>
      <c r="S41" s="25" t="n"/>
      <c r="T41" s="25" t="n"/>
      <c r="U41" s="25" t="n"/>
      <c r="V41" s="25" t="n"/>
      <c r="W41" s="25" t="n"/>
      <c r="X41" s="25" t="n"/>
      <c r="Y41" s="25" t="n"/>
      <c r="Z41" s="25" t="n"/>
      <c r="AA41" s="25" t="n"/>
      <c r="AB41" s="25" t="n"/>
      <c r="AC41" s="25" t="n"/>
      <c r="AD41" s="25" t="n"/>
    </row>
    <row r="42" ht="68" customFormat="1" customHeight="1" s="24">
      <c r="A42" s="51" t="inlineStr">
        <is>
          <t>select_multiple listname</t>
        </is>
      </c>
      <c r="B42" s="25" t="inlineStr">
        <is>
          <t>fieldname</t>
        </is>
      </c>
      <c r="C42" s="26" t="inlineStr">
        <is>
          <t>Multiple-choice field (allows multiple selections, loads options from pre-loaded .csv file, includes options based on an "exact match" comparison):</t>
        </is>
      </c>
      <c r="D42" s="25" t="n"/>
      <c r="E42" s="25" t="n"/>
      <c r="F42" s="25" t="n"/>
      <c r="G42" s="25" t="n"/>
      <c r="H42" s="25" t="inlineStr">
        <is>
          <t>search('hhplotdata', 'matches', 'respondentname', ${nametofind})</t>
        </is>
      </c>
      <c r="I42" s="25" t="n"/>
      <c r="J42" s="25" t="n"/>
      <c r="K42" s="25" t="n"/>
      <c r="L42" s="25" t="n"/>
      <c r="M42" s="25" t="n"/>
      <c r="N42" s="25" t="n"/>
      <c r="O42" s="25" t="n"/>
      <c r="P42" s="25" t="n"/>
      <c r="Q42" s="25" t="n"/>
      <c r="R42" s="25" t="n"/>
      <c r="S42" s="25" t="n"/>
      <c r="T42" s="25" t="n"/>
      <c r="U42" s="25" t="n"/>
      <c r="V42" s="25" t="n"/>
      <c r="W42" s="25" t="n"/>
      <c r="X42" s="25" t="n"/>
      <c r="Y42" s="25" t="n"/>
      <c r="Z42" s="25" t="n"/>
      <c r="AA42" s="25" t="n"/>
      <c r="AB42" s="25" t="n"/>
      <c r="AC42" s="25" t="n"/>
      <c r="AD42" s="25" t="n"/>
    </row>
    <row r="43" ht="85" customFormat="1" customHeight="1" s="24">
      <c r="A43" s="51" t="inlineStr">
        <is>
          <t>select_multiple listname</t>
        </is>
      </c>
      <c r="B43" s="25" t="inlineStr">
        <is>
          <t>fieldname</t>
        </is>
      </c>
      <c r="C43" s="26" t="inlineStr">
        <is>
          <t>Multiple-choice field (allows multiple selections, loads options from pre-loaded .csv file, includes options based on both a "contains" comparison and an "exact match" filter):</t>
        </is>
      </c>
      <c r="D43" s="25" t="n"/>
      <c r="E43" s="25" t="n"/>
      <c r="F43" s="25" t="n"/>
      <c r="G43" s="25" t="n"/>
      <c r="H43" s="25" t="inlineStr">
        <is>
          <t>search('hhplotdata', 'contains', 'respondentname', ${nametofind}, 'villageid', ${villageid})</t>
        </is>
      </c>
      <c r="I43" s="25" t="n"/>
      <c r="J43" s="25" t="n"/>
      <c r="K43" s="25" t="n"/>
      <c r="L43" s="25" t="n"/>
      <c r="M43" s="25" t="n"/>
      <c r="N43" s="25" t="n"/>
      <c r="O43" s="25" t="n"/>
      <c r="P43" s="25" t="n"/>
      <c r="Q43" s="25" t="n"/>
      <c r="R43" s="25" t="n"/>
      <c r="S43" s="25" t="n"/>
      <c r="T43" s="25" t="n"/>
      <c r="U43" s="25" t="n"/>
      <c r="V43" s="25" t="n"/>
      <c r="W43" s="25" t="n"/>
      <c r="X43" s="25" t="n"/>
      <c r="Y43" s="25" t="n"/>
      <c r="Z43" s="25" t="n"/>
      <c r="AA43" s="25" t="n"/>
      <c r="AB43" s="25" t="n"/>
      <c r="AC43" s="25" t="n"/>
      <c r="AD43" s="25" t="n"/>
    </row>
    <row r="44" ht="17" customFormat="1" customHeight="1" s="24">
      <c r="A44" s="51" t="inlineStr">
        <is>
          <t>geopoint</t>
        </is>
      </c>
      <c r="B44" s="25" t="inlineStr">
        <is>
          <t>fieldname</t>
        </is>
      </c>
      <c r="C44" s="26" t="inlineStr">
        <is>
          <t>Standard GPS location-capture field:</t>
        </is>
      </c>
      <c r="D44" s="51" t="n"/>
      <c r="E44" s="25" t="n"/>
      <c r="F44" s="25" t="n"/>
      <c r="G44" s="25" t="n"/>
      <c r="H44" s="25" t="n"/>
      <c r="I44" s="25" t="n"/>
      <c r="J44" s="25" t="n"/>
      <c r="K44" s="25" t="n"/>
      <c r="L44" s="25" t="n"/>
      <c r="M44" s="25" t="n"/>
      <c r="N44" s="25" t="n"/>
      <c r="O44" s="25" t="n"/>
      <c r="P44" s="25" t="n"/>
      <c r="Q44" s="25" t="n"/>
      <c r="R44" s="25" t="n"/>
      <c r="S44" s="25" t="n"/>
      <c r="T44" s="25" t="n"/>
      <c r="U44" s="25" t="n"/>
      <c r="V44" s="25" t="n"/>
      <c r="W44" s="25" t="n"/>
      <c r="X44" s="25" t="n"/>
      <c r="Y44" s="25" t="n"/>
      <c r="Z44" s="25" t="n"/>
      <c r="AA44" s="25" t="n"/>
      <c r="AB44" s="25" t="n"/>
      <c r="AC44" s="25" t="n"/>
      <c r="AD44" s="25" t="n"/>
    </row>
    <row r="45" ht="17" customFormat="1" customHeight="1" s="24">
      <c r="A45" s="51" t="inlineStr">
        <is>
          <t>geoshape</t>
        </is>
      </c>
      <c r="B45" s="25" t="inlineStr">
        <is>
          <t>fieldname</t>
        </is>
      </c>
      <c r="C45" s="26" t="inlineStr">
        <is>
          <t>Boundary-capture field (GPS polygon):</t>
        </is>
      </c>
      <c r="D45" s="52" t="n"/>
      <c r="E45" s="25" t="n"/>
      <c r="F45" s="25" t="n"/>
      <c r="G45" s="25" t="n"/>
      <c r="H45" s="25" t="n"/>
      <c r="I45" s="25" t="n"/>
      <c r="J45" s="25" t="n"/>
      <c r="K45" s="25" t="n"/>
      <c r="L45" s="25" t="n"/>
      <c r="M45" s="25" t="n"/>
      <c r="N45" s="25" t="n"/>
      <c r="O45" s="25" t="n"/>
      <c r="P45" s="25" t="n"/>
      <c r="Q45" s="25" t="n"/>
      <c r="R45" s="25" t="n"/>
      <c r="S45" s="25" t="n"/>
      <c r="T45" s="25" t="n"/>
      <c r="U45" s="25" t="n"/>
      <c r="V45" s="25" t="n"/>
      <c r="W45" s="25" t="n"/>
      <c r="X45" s="25" t="n"/>
      <c r="Y45" s="25" t="n"/>
      <c r="Z45" s="25" t="n"/>
      <c r="AA45" s="25" t="n"/>
      <c r="AB45" s="25" t="n"/>
      <c r="AC45" s="25" t="n"/>
      <c r="AD45" s="25" t="n"/>
    </row>
    <row r="46" ht="34" customFormat="1" customHeight="1" s="24">
      <c r="A46" s="51" t="inlineStr">
        <is>
          <t>geotrace</t>
        </is>
      </c>
      <c r="B46" s="25" t="inlineStr">
        <is>
          <t>fieldname</t>
        </is>
      </c>
      <c r="C46" s="26" t="inlineStr">
        <is>
          <t>Boundary- or path-capture field (GPS polyline or polygon):</t>
        </is>
      </c>
      <c r="D46" s="51" t="n"/>
      <c r="E46" s="25" t="n"/>
      <c r="F46" s="25" t="n"/>
      <c r="G46" s="25" t="n"/>
      <c r="H46" s="25" t="n"/>
      <c r="I46" s="25" t="n"/>
      <c r="J46" s="25" t="n"/>
      <c r="K46" s="25" t="n"/>
      <c r="L46" s="25" t="n"/>
      <c r="M46" s="25" t="n"/>
      <c r="N46" s="25" t="n"/>
      <c r="O46" s="25" t="n"/>
      <c r="P46" s="25" t="n"/>
      <c r="Q46" s="25" t="n"/>
      <c r="R46" s="25" t="n"/>
      <c r="S46" s="25" t="n"/>
      <c r="T46" s="25" t="n"/>
      <c r="U46" s="25" t="n"/>
      <c r="V46" s="25" t="n"/>
      <c r="W46" s="25" t="n"/>
      <c r="X46" s="25" t="n"/>
      <c r="Y46" s="25" t="n"/>
      <c r="Z46" s="25" t="n"/>
      <c r="AA46" s="25" t="n"/>
      <c r="AB46" s="25" t="n"/>
      <c r="AC46" s="25" t="n"/>
      <c r="AD46" s="25" t="n"/>
    </row>
    <row r="47" ht="17" customFormat="1" customHeight="1" s="24">
      <c r="A47" s="51" t="inlineStr">
        <is>
          <t>barcode</t>
        </is>
      </c>
      <c r="B47" s="25" t="inlineStr">
        <is>
          <t>fieldname</t>
        </is>
      </c>
      <c r="C47" s="26" t="inlineStr">
        <is>
          <t>Standard scan-barcode field:</t>
        </is>
      </c>
      <c r="D47" s="51" t="n"/>
      <c r="E47" s="25" t="n"/>
      <c r="F47" s="25" t="n"/>
      <c r="G47" s="25" t="n"/>
      <c r="H47" s="25" t="n"/>
      <c r="I47" s="25" t="n"/>
      <c r="J47" s="25" t="n"/>
      <c r="K47" s="25" t="n"/>
      <c r="L47" s="25" t="n"/>
      <c r="M47" s="25" t="n"/>
      <c r="N47" s="25" t="n"/>
      <c r="O47" s="25" t="n"/>
      <c r="P47" s="25" t="n"/>
      <c r="Q47" s="25" t="n"/>
      <c r="R47" s="25" t="n"/>
      <c r="S47" s="25" t="n"/>
      <c r="T47" s="25" t="n"/>
      <c r="U47" s="25" t="n"/>
      <c r="V47" s="25" t="n"/>
      <c r="W47" s="25" t="n"/>
      <c r="X47" s="25" t="n"/>
      <c r="Y47" s="25" t="n"/>
      <c r="Z47" s="25" t="n"/>
      <c r="AA47" s="25" t="n"/>
      <c r="AB47" s="25" t="n"/>
      <c r="AC47" s="25" t="n"/>
      <c r="AD47" s="25" t="n"/>
    </row>
    <row r="48" ht="17" customFormat="1" customHeight="1" s="24">
      <c r="A48" s="51" t="inlineStr">
        <is>
          <t>date</t>
        </is>
      </c>
      <c r="B48" s="25" t="inlineStr">
        <is>
          <t>fieldname</t>
        </is>
      </c>
      <c r="C48" s="26" t="inlineStr">
        <is>
          <t>Standard date field:</t>
        </is>
      </c>
      <c r="D48" s="51" t="n"/>
      <c r="E48" s="25" t="n"/>
      <c r="F48" s="25" t="n"/>
      <c r="G48" s="25" t="n"/>
      <c r="H48" s="25" t="n"/>
      <c r="I48" s="25" t="n"/>
      <c r="J48" s="25" t="n"/>
      <c r="K48" s="25" t="n"/>
      <c r="L48" s="25" t="n"/>
      <c r="M48" s="25" t="n"/>
      <c r="N48" s="25" t="n"/>
      <c r="O48" s="25" t="n"/>
      <c r="P48" s="25" t="n"/>
      <c r="Q48" s="25" t="n"/>
      <c r="R48" s="25" t="n"/>
      <c r="S48" s="25" t="n"/>
      <c r="T48" s="25" t="n"/>
      <c r="U48" s="25" t="n"/>
      <c r="V48" s="25" t="n"/>
      <c r="W48" s="25" t="n"/>
      <c r="X48" s="25" t="n"/>
      <c r="Y48" s="25" t="n"/>
      <c r="Z48" s="25" t="n"/>
      <c r="AA48" s="25" t="n"/>
      <c r="AB48" s="25" t="n"/>
      <c r="AC48" s="25" t="n"/>
      <c r="AD48" s="25" t="n"/>
    </row>
    <row r="49" ht="17" customFormat="1" customHeight="1" s="24">
      <c r="A49" s="51" t="inlineStr">
        <is>
          <t>date</t>
        </is>
      </c>
      <c r="B49" s="25" t="inlineStr">
        <is>
          <t>fieldname</t>
        </is>
      </c>
      <c r="C49" s="26" t="inlineStr">
        <is>
          <t>Date field (but for smaller screens):</t>
        </is>
      </c>
      <c r="D49" s="25" t="n"/>
      <c r="E49" s="25" t="n"/>
      <c r="F49" s="25" t="n"/>
      <c r="G49" s="25" t="n"/>
      <c r="H49" s="25" t="inlineStr">
        <is>
          <t>no-calendar</t>
        </is>
      </c>
      <c r="I49" s="25" t="n"/>
      <c r="J49" s="25" t="n"/>
      <c r="K49" s="25" t="n"/>
      <c r="L49" s="25" t="n"/>
      <c r="M49" s="25" t="n"/>
      <c r="N49" s="25" t="n"/>
      <c r="O49" s="25" t="n"/>
      <c r="P49" s="25" t="n"/>
      <c r="Q49" s="25" t="n"/>
      <c r="R49" s="25" t="n"/>
      <c r="S49" s="25" t="n"/>
      <c r="T49" s="25" t="n"/>
      <c r="U49" s="25" t="n"/>
      <c r="V49" s="25" t="n"/>
      <c r="W49" s="25" t="n"/>
      <c r="X49" s="25" t="n"/>
      <c r="Y49" s="25" t="n"/>
      <c r="Z49" s="25" t="n"/>
      <c r="AA49" s="25" t="n"/>
      <c r="AB49" s="25" t="n"/>
      <c r="AC49" s="25" t="n"/>
      <c r="AD49" s="25" t="n"/>
    </row>
    <row r="50" ht="17" customFormat="1" customHeight="1" s="24">
      <c r="A50" s="51" t="inlineStr">
        <is>
          <t>datetime</t>
        </is>
      </c>
      <c r="B50" s="25" t="inlineStr">
        <is>
          <t>fieldname</t>
        </is>
      </c>
      <c r="C50" s="26" t="inlineStr">
        <is>
          <t>Standard date+time field:</t>
        </is>
      </c>
      <c r="D50" s="51" t="n"/>
      <c r="E50" s="25" t="n"/>
      <c r="F50" s="25" t="n"/>
      <c r="G50" s="25" t="n"/>
      <c r="H50" s="25" t="n"/>
      <c r="I50" s="25" t="n"/>
      <c r="J50" s="25" t="n"/>
      <c r="K50" s="25" t="n"/>
      <c r="L50" s="25" t="n"/>
      <c r="M50" s="25" t="n"/>
      <c r="N50" s="25" t="n"/>
      <c r="O50" s="25" t="n"/>
      <c r="P50" s="25" t="n"/>
      <c r="Q50" s="25" t="n"/>
      <c r="R50" s="25" t="n"/>
      <c r="S50" s="25" t="n"/>
      <c r="T50" s="25" t="n"/>
      <c r="U50" s="25" t="n"/>
      <c r="V50" s="25" t="n"/>
      <c r="W50" s="25" t="n"/>
      <c r="X50" s="25" t="n"/>
      <c r="Y50" s="25" t="n"/>
      <c r="Z50" s="25" t="n"/>
      <c r="AA50" s="25" t="n"/>
      <c r="AB50" s="25" t="n"/>
      <c r="AC50" s="25" t="n"/>
      <c r="AD50" s="25" t="n"/>
    </row>
    <row r="51" ht="17" customFormat="1" customHeight="1" s="24">
      <c r="A51" s="51" t="inlineStr">
        <is>
          <t>datetime</t>
        </is>
      </c>
      <c r="B51" s="25" t="inlineStr">
        <is>
          <t>fieldname</t>
        </is>
      </c>
      <c r="C51" s="26" t="inlineStr">
        <is>
          <t>Date+time field (but for smaller screens):</t>
        </is>
      </c>
      <c r="D51" s="25" t="n"/>
      <c r="E51" s="25" t="n"/>
      <c r="F51" s="25" t="n"/>
      <c r="G51" s="25" t="n"/>
      <c r="H51" s="25" t="inlineStr">
        <is>
          <t>no-calendar</t>
        </is>
      </c>
      <c r="I51" s="25" t="n"/>
      <c r="J51" s="25" t="n"/>
      <c r="K51" s="25" t="n"/>
      <c r="L51" s="25" t="n"/>
      <c r="M51" s="25" t="n"/>
      <c r="N51" s="25" t="n"/>
      <c r="O51" s="25" t="n"/>
      <c r="P51" s="25" t="n"/>
      <c r="Q51" s="25" t="n"/>
      <c r="R51" s="25" t="n"/>
      <c r="S51" s="25" t="n"/>
      <c r="T51" s="25" t="n"/>
      <c r="U51" s="25" t="n"/>
      <c r="V51" s="25" t="n"/>
      <c r="W51" s="25" t="n"/>
      <c r="X51" s="25" t="n"/>
      <c r="Y51" s="25" t="n"/>
      <c r="Z51" s="25" t="n"/>
      <c r="AA51" s="25" t="n"/>
      <c r="AB51" s="25" t="n"/>
      <c r="AC51" s="25" t="n"/>
      <c r="AD51" s="25" t="n"/>
    </row>
    <row r="52" ht="17" customFormat="1" customHeight="1" s="24">
      <c r="A52" s="51" t="inlineStr">
        <is>
          <t>time</t>
        </is>
      </c>
      <c r="B52" s="25" t="inlineStr">
        <is>
          <t>fieldname</t>
        </is>
      </c>
      <c r="C52" s="26" t="inlineStr">
        <is>
          <t>Standard time field:</t>
        </is>
      </c>
      <c r="D52" s="25" t="n"/>
      <c r="E52" s="25" t="n"/>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c r="Z52" s="25" t="n"/>
      <c r="AA52" s="25" t="n"/>
      <c r="AB52" s="25" t="n"/>
      <c r="AC52" s="25" t="n"/>
      <c r="AD52" s="25" t="n"/>
    </row>
    <row r="53" ht="17" customFormat="1" customHeight="1" s="24">
      <c r="A53" s="51" t="inlineStr">
        <is>
          <t>image</t>
        </is>
      </c>
      <c r="B53" s="25" t="inlineStr">
        <is>
          <t>fieldname</t>
        </is>
      </c>
      <c r="C53" s="26" t="inlineStr">
        <is>
          <t>Standard image-capture field:</t>
        </is>
      </c>
      <c r="D53" s="25" t="n"/>
      <c r="E53" s="25" t="n"/>
      <c r="F53" s="25" t="n"/>
      <c r="G53" s="25" t="n"/>
      <c r="H53" s="25" t="n"/>
      <c r="I53" s="25" t="n"/>
      <c r="J53" s="25" t="n"/>
      <c r="K53" s="25" t="n"/>
      <c r="L53" s="25" t="n"/>
      <c r="M53" s="25" t="n"/>
      <c r="N53" s="25" t="n"/>
      <c r="O53" s="25" t="n"/>
      <c r="P53" s="25" t="n"/>
      <c r="Q53" s="25" t="n"/>
      <c r="R53" s="25" t="n"/>
      <c r="S53" s="25" t="n"/>
      <c r="T53" s="25" t="n"/>
      <c r="U53" s="25" t="n"/>
      <c r="V53" s="25" t="n"/>
      <c r="W53" s="25" t="n"/>
      <c r="X53" s="25" t="n"/>
      <c r="Y53" s="25" t="n"/>
      <c r="Z53" s="25" t="n"/>
      <c r="AA53" s="25" t="n"/>
      <c r="AB53" s="25" t="n"/>
      <c r="AC53" s="25" t="n"/>
      <c r="AD53" s="25" t="n"/>
    </row>
    <row r="54" ht="34" customFormat="1" customHeight="1" s="24">
      <c r="A54" s="51" t="inlineStr">
        <is>
          <t>image</t>
        </is>
      </c>
      <c r="B54" s="25" t="inlineStr">
        <is>
          <t>fieldname</t>
        </is>
      </c>
      <c r="C54" s="26" t="inlineStr">
        <is>
          <t>Image-capture field which allows user to annotate image:</t>
        </is>
      </c>
      <c r="D54" s="25" t="n"/>
      <c r="E54" s="25" t="n"/>
      <c r="F54" s="25" t="n"/>
      <c r="G54" s="25" t="n"/>
      <c r="H54" s="25" t="inlineStr">
        <is>
          <t>annotate</t>
        </is>
      </c>
      <c r="I54" s="25" t="n"/>
      <c r="J54" s="25" t="n"/>
      <c r="K54" s="25" t="n"/>
      <c r="L54" s="25" t="n"/>
      <c r="M54" s="25" t="n"/>
      <c r="N54" s="25" t="n"/>
      <c r="O54" s="25" t="n"/>
      <c r="P54" s="25" t="n"/>
      <c r="Q54" s="25" t="n"/>
      <c r="R54" s="25" t="n"/>
      <c r="S54" s="25" t="n"/>
      <c r="T54" s="25" t="n"/>
      <c r="U54" s="25" t="n"/>
      <c r="V54" s="25" t="n"/>
      <c r="W54" s="25" t="n"/>
      <c r="X54" s="25" t="n"/>
      <c r="Y54" s="25" t="n"/>
      <c r="Z54" s="25" t="n"/>
      <c r="AA54" s="25" t="n"/>
      <c r="AB54" s="25" t="n"/>
      <c r="AC54" s="25" t="n"/>
      <c r="AD54" s="25" t="n"/>
    </row>
    <row r="55" ht="34" customFormat="1" customHeight="1" s="24">
      <c r="A55" s="51" t="inlineStr">
        <is>
          <t>image</t>
        </is>
      </c>
      <c r="B55" s="25" t="inlineStr">
        <is>
          <t>fieldname</t>
        </is>
      </c>
      <c r="C55" s="26" t="inlineStr">
        <is>
          <t>Image-capture field which allows user to draw image:</t>
        </is>
      </c>
      <c r="D55" s="25" t="n"/>
      <c r="E55" s="25" t="n"/>
      <c r="F55" s="25" t="n"/>
      <c r="G55" s="25" t="n"/>
      <c r="H55" s="25" t="inlineStr">
        <is>
          <t>draw</t>
        </is>
      </c>
      <c r="I55" s="25" t="n"/>
      <c r="J55" s="25" t="n"/>
      <c r="K55" s="25" t="n"/>
      <c r="L55" s="25" t="n"/>
      <c r="M55" s="25" t="n"/>
      <c r="N55" s="25" t="n"/>
      <c r="O55" s="25" t="n"/>
      <c r="P55" s="25" t="n"/>
      <c r="Q55" s="25" t="n"/>
      <c r="R55" s="25" t="n"/>
      <c r="S55" s="25" t="n"/>
      <c r="T55" s="25" t="n"/>
      <c r="U55" s="25" t="n"/>
      <c r="V55" s="25" t="n"/>
      <c r="W55" s="25" t="n"/>
      <c r="X55" s="25" t="n"/>
      <c r="Y55" s="25" t="n"/>
      <c r="Z55" s="25" t="n"/>
      <c r="AA55" s="25" t="n"/>
      <c r="AB55" s="25" t="n"/>
      <c r="AC55" s="25" t="n"/>
      <c r="AD55" s="25" t="n"/>
    </row>
    <row r="56" ht="34" customFormat="1" customHeight="1" s="24">
      <c r="A56" s="51" t="inlineStr">
        <is>
          <t>image</t>
        </is>
      </c>
      <c r="B56" s="25" t="inlineStr">
        <is>
          <t>fieldname</t>
        </is>
      </c>
      <c r="C56" s="26" t="inlineStr">
        <is>
          <t>Image-capture field which collects a signature as the image:</t>
        </is>
      </c>
      <c r="D56" s="25" t="n"/>
      <c r="E56" s="25" t="n"/>
      <c r="F56" s="25" t="n"/>
      <c r="G56" s="25" t="n"/>
      <c r="H56" s="25" t="inlineStr">
        <is>
          <t>signature</t>
        </is>
      </c>
      <c r="I56" s="25" t="n"/>
      <c r="J56" s="25" t="n"/>
      <c r="K56" s="25" t="n"/>
      <c r="L56" s="25" t="n"/>
      <c r="M56" s="25" t="n"/>
      <c r="N56" s="25" t="n"/>
      <c r="O56" s="25" t="n"/>
      <c r="P56" s="25" t="n"/>
      <c r="Q56" s="25" t="n"/>
      <c r="R56" s="25" t="n"/>
      <c r="S56" s="25" t="n"/>
      <c r="T56" s="25" t="n"/>
      <c r="U56" s="25" t="n"/>
      <c r="V56" s="25" t="n"/>
      <c r="W56" s="25" t="n"/>
      <c r="X56" s="25" t="n"/>
      <c r="Y56" s="25" t="n"/>
      <c r="Z56" s="25" t="n"/>
      <c r="AA56" s="25" t="n"/>
      <c r="AB56" s="25" t="n"/>
      <c r="AC56" s="25" t="n"/>
      <c r="AD56" s="25" t="n"/>
    </row>
    <row r="57" ht="17" customFormat="1" customHeight="1" s="24">
      <c r="A57" s="51" t="inlineStr">
        <is>
          <t>audio</t>
        </is>
      </c>
      <c r="B57" s="25" t="inlineStr">
        <is>
          <t>fieldname</t>
        </is>
      </c>
      <c r="C57" s="26" t="inlineStr">
        <is>
          <t>Standard audio-capture field:</t>
        </is>
      </c>
      <c r="D57" s="25" t="n"/>
      <c r="E57" s="25" t="n"/>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c r="Z57" s="25" t="n"/>
      <c r="AA57" s="25" t="n"/>
      <c r="AB57" s="25" t="n"/>
      <c r="AC57" s="25" t="n"/>
      <c r="AD57" s="25" t="n"/>
    </row>
    <row r="58" ht="17" customFormat="1" customHeight="1" s="24">
      <c r="A58" s="51" t="inlineStr">
        <is>
          <t>video</t>
        </is>
      </c>
      <c r="B58" s="25" t="inlineStr">
        <is>
          <t>fieldname</t>
        </is>
      </c>
      <c r="C58" s="26" t="inlineStr">
        <is>
          <t>Standard video-capture field:</t>
        </is>
      </c>
      <c r="D58" s="25" t="n"/>
      <c r="E58" s="25" t="n"/>
      <c r="F58" s="25" t="n"/>
      <c r="G58" s="25" t="n"/>
      <c r="H58" s="25" t="n"/>
      <c r="I58" s="25" t="n"/>
      <c r="J58" s="25" t="n"/>
      <c r="K58" s="25" t="n"/>
      <c r="L58" s="25" t="n"/>
      <c r="M58" s="25" t="n"/>
      <c r="N58" s="25" t="n"/>
      <c r="O58" s="25" t="n"/>
      <c r="P58" s="25" t="n"/>
      <c r="Q58" s="25" t="n"/>
      <c r="R58" s="25" t="n"/>
      <c r="S58" s="25" t="n"/>
      <c r="T58" s="25" t="n"/>
      <c r="U58" s="25" t="n"/>
      <c r="V58" s="25" t="n"/>
      <c r="W58" s="25" t="n"/>
      <c r="X58" s="25" t="n"/>
      <c r="Y58" s="25" t="n"/>
      <c r="Z58" s="25" t="n"/>
      <c r="AA58" s="25" t="n"/>
      <c r="AB58" s="25" t="n"/>
      <c r="AC58" s="25" t="n"/>
      <c r="AD58" s="25" t="n"/>
    </row>
    <row r="59" ht="34" customFormat="1" customHeight="1" s="24">
      <c r="A59" s="51" t="inlineStr">
        <is>
          <t>file</t>
        </is>
      </c>
      <c r="B59" s="25" t="inlineStr">
        <is>
          <t>fieldname</t>
        </is>
      </c>
      <c r="C59" s="26" t="inlineStr">
        <is>
          <t>Attach text, image, video, audio, PDF, ZIP, or MS Office file (Excel or Word):</t>
        </is>
      </c>
      <c r="D59" s="25" t="n"/>
      <c r="E59" s="25" t="n"/>
      <c r="F59" s="25" t="n"/>
      <c r="G59" s="25" t="n"/>
      <c r="H59" s="25" t="n"/>
      <c r="I59" s="25" t="n"/>
      <c r="J59" s="25" t="n"/>
      <c r="K59" s="25" t="n"/>
      <c r="L59" s="25" t="n"/>
      <c r="M59" s="25" t="n"/>
      <c r="N59" s="25" t="n"/>
      <c r="O59" s="25" t="n"/>
      <c r="P59" s="25" t="n"/>
      <c r="Q59" s="25" t="n"/>
      <c r="R59" s="25" t="n"/>
      <c r="S59" s="25" t="n"/>
      <c r="T59" s="25" t="n"/>
      <c r="U59" s="25" t="n"/>
      <c r="V59" s="25" t="n"/>
      <c r="W59" s="25" t="n"/>
      <c r="X59" s="25" t="n"/>
      <c r="Y59" s="25" t="n"/>
      <c r="Z59" s="25" t="n"/>
      <c r="AA59" s="25" t="n"/>
      <c r="AB59" s="25" t="n"/>
      <c r="AC59" s="25" t="n"/>
      <c r="AD59" s="25" t="n"/>
    </row>
    <row r="60" ht="17" customFormat="1" customHeight="1" s="24">
      <c r="A60" s="51" t="inlineStr">
        <is>
          <t>note</t>
        </is>
      </c>
      <c r="B60" s="25" t="inlineStr">
        <is>
          <t>fieldname</t>
        </is>
      </c>
      <c r="C60" s="26" t="inlineStr">
        <is>
          <t>Standard note field (read-only).</t>
        </is>
      </c>
      <c r="D60" s="25" t="n"/>
      <c r="E60" s="25" t="n"/>
      <c r="F60" s="25" t="n"/>
      <c r="G60" s="25" t="n"/>
      <c r="H60" s="25" t="n"/>
      <c r="I60" s="25" t="n"/>
      <c r="J60" s="25" t="n"/>
      <c r="K60" s="25" t="n"/>
      <c r="L60" s="25" t="n"/>
      <c r="M60" s="25" t="n"/>
      <c r="N60" s="25" t="n"/>
      <c r="O60" s="25" t="n"/>
      <c r="P60" s="25" t="n"/>
      <c r="Q60" s="25" t="n"/>
      <c r="R60" s="25" t="n"/>
      <c r="S60" s="25" t="n"/>
      <c r="T60" s="25" t="n"/>
      <c r="U60" s="25" t="n"/>
      <c r="V60" s="25" t="n"/>
      <c r="W60" s="25" t="n"/>
      <c r="X60" s="25" t="n"/>
      <c r="Y60" s="25" t="n"/>
      <c r="Z60" s="25" t="n"/>
      <c r="AA60" s="25" t="n"/>
      <c r="AB60" s="25" t="n"/>
      <c r="AC60" s="25" t="n"/>
      <c r="AD60" s="25" t="n"/>
    </row>
    <row r="61" customFormat="1" s="24">
      <c r="A61" s="51" t="inlineStr">
        <is>
          <t>start</t>
        </is>
      </c>
      <c r="B61" s="25" t="inlineStr">
        <is>
          <t>fieldname</t>
        </is>
      </c>
      <c r="C61" s="26" t="n"/>
      <c r="D61" s="25" t="n"/>
      <c r="E61" s="25" t="n"/>
      <c r="F61" s="25" t="n"/>
      <c r="G61" s="25" t="n"/>
      <c r="H61" s="25" t="n"/>
      <c r="I61" s="25" t="n"/>
      <c r="J61" s="25" t="n"/>
      <c r="K61" s="25" t="n"/>
      <c r="L61" s="25" t="n"/>
      <c r="M61" s="25" t="n"/>
      <c r="N61" s="25" t="n"/>
      <c r="O61" s="25" t="n"/>
      <c r="P61" s="25" t="n"/>
      <c r="Q61" s="25" t="n"/>
      <c r="R61" s="25" t="n"/>
      <c r="S61" s="25" t="n"/>
      <c r="T61" s="25" t="n"/>
      <c r="U61" s="25" t="n"/>
      <c r="V61" s="25" t="n"/>
      <c r="W61" s="25" t="n"/>
      <c r="X61" s="25" t="n"/>
      <c r="Y61" s="25" t="n"/>
      <c r="Z61" s="25" t="n"/>
      <c r="AA61" s="25" t="n"/>
      <c r="AB61" s="25" t="n"/>
      <c r="AC61" s="25" t="n"/>
      <c r="AD61" s="25" t="n"/>
    </row>
    <row r="62" customFormat="1" s="24">
      <c r="A62" s="51" t="inlineStr">
        <is>
          <t>end</t>
        </is>
      </c>
      <c r="B62" s="25" t="inlineStr">
        <is>
          <t>fieldname</t>
        </is>
      </c>
      <c r="C62" s="26" t="n"/>
      <c r="D62" s="25" t="n"/>
      <c r="E62" s="25" t="n"/>
      <c r="F62" s="25" t="n"/>
      <c r="G62" s="25" t="n"/>
      <c r="H62" s="25" t="n"/>
      <c r="I62" s="25" t="n"/>
      <c r="J62" s="25" t="n"/>
      <c r="K62" s="25" t="n"/>
      <c r="L62" s="25" t="n"/>
      <c r="M62" s="25" t="n"/>
      <c r="N62" s="25" t="n"/>
      <c r="O62" s="25" t="n"/>
      <c r="P62" s="25" t="n"/>
      <c r="Q62" s="25" t="n"/>
      <c r="R62" s="25" t="n"/>
      <c r="S62" s="25" t="n"/>
      <c r="T62" s="25" t="n"/>
      <c r="U62" s="25" t="n"/>
      <c r="V62" s="25" t="n"/>
      <c r="W62" s="25" t="n"/>
      <c r="X62" s="25" t="n"/>
      <c r="Y62" s="25" t="n"/>
      <c r="Z62" s="25" t="n"/>
      <c r="AA62" s="25" t="n"/>
      <c r="AB62" s="25" t="n"/>
      <c r="AC62" s="25" t="n"/>
      <c r="AD62" s="25" t="n"/>
    </row>
    <row r="63" customFormat="1" s="24">
      <c r="A63" s="51" t="inlineStr">
        <is>
          <t>deviceid</t>
        </is>
      </c>
      <c r="B63" s="25" t="inlineStr">
        <is>
          <t>fieldname</t>
        </is>
      </c>
      <c r="C63" s="26" t="n"/>
      <c r="D63" s="25" t="n"/>
      <c r="E63" s="25" t="n"/>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c r="Z63" s="25" t="n"/>
      <c r="AA63" s="25" t="n"/>
      <c r="AB63" s="25" t="n"/>
      <c r="AC63" s="25" t="n"/>
      <c r="AD63" s="25" t="n"/>
    </row>
    <row r="64" customFormat="1" s="24">
      <c r="A64" s="51" t="inlineStr">
        <is>
          <t>subscriberid</t>
        </is>
      </c>
      <c r="B64" s="25" t="inlineStr">
        <is>
          <t>fieldname</t>
        </is>
      </c>
      <c r="C64" s="26" t="n"/>
      <c r="D64" s="25" t="n"/>
      <c r="E64" s="25" t="n"/>
      <c r="F64" s="25" t="n"/>
      <c r="G64" s="25" t="n"/>
      <c r="H64" s="25" t="n"/>
      <c r="I64" s="25" t="n"/>
      <c r="J64" s="25" t="n"/>
      <c r="K64" s="25" t="n"/>
      <c r="L64" s="25" t="n"/>
      <c r="M64" s="25" t="n"/>
      <c r="N64" s="25" t="n"/>
      <c r="O64" s="25" t="n"/>
      <c r="P64" s="25" t="n"/>
      <c r="Q64" s="25" t="n"/>
      <c r="R64" s="25" t="n"/>
      <c r="S64" s="25" t="n"/>
      <c r="T64" s="25" t="n"/>
      <c r="U64" s="25" t="n"/>
      <c r="V64" s="25" t="n"/>
      <c r="W64" s="25" t="n"/>
      <c r="X64" s="25" t="n"/>
      <c r="Y64" s="25" t="n"/>
      <c r="Z64" s="25" t="n"/>
      <c r="AA64" s="25" t="n"/>
      <c r="AB64" s="25" t="n"/>
      <c r="AC64" s="25" t="n"/>
      <c r="AD64" s="25" t="n"/>
    </row>
    <row r="65" customFormat="1" s="24">
      <c r="A65" s="51" t="inlineStr">
        <is>
          <t>simserial</t>
        </is>
      </c>
      <c r="B65" s="25" t="inlineStr">
        <is>
          <t>fieldname</t>
        </is>
      </c>
      <c r="C65" s="26" t="n"/>
      <c r="D65" s="25" t="n"/>
      <c r="E65" s="25" t="n"/>
      <c r="F65" s="25" t="n"/>
      <c r="G65" s="25" t="n"/>
      <c r="H65" s="25" t="n"/>
      <c r="I65" s="25" t="n"/>
      <c r="J65" s="25" t="n"/>
      <c r="K65" s="25" t="n"/>
      <c r="L65" s="25" t="n"/>
      <c r="M65" s="25" t="n"/>
      <c r="N65" s="25" t="n"/>
      <c r="O65" s="25" t="n"/>
      <c r="P65" s="25" t="n"/>
      <c r="Q65" s="25" t="n"/>
      <c r="R65" s="25" t="n"/>
      <c r="S65" s="25" t="n"/>
      <c r="T65" s="25" t="n"/>
      <c r="U65" s="25" t="n"/>
      <c r="V65" s="25" t="n"/>
      <c r="W65" s="25" t="n"/>
      <c r="X65" s="25" t="n"/>
      <c r="Y65" s="25" t="n"/>
      <c r="Z65" s="25" t="n"/>
      <c r="AA65" s="25" t="n"/>
      <c r="AB65" s="25" t="n"/>
      <c r="AC65" s="25" t="n"/>
      <c r="AD65" s="25" t="n"/>
    </row>
    <row r="66" customFormat="1" s="24">
      <c r="A66" s="51" t="inlineStr">
        <is>
          <t>caseid</t>
        </is>
      </c>
      <c r="B66" s="25" t="inlineStr">
        <is>
          <t>fieldname</t>
        </is>
      </c>
      <c r="C66" s="26" t="n"/>
      <c r="D66" s="25" t="n"/>
      <c r="E66" s="25" t="n"/>
      <c r="F66" s="25" t="n"/>
      <c r="G66" s="25" t="n"/>
      <c r="H66" s="25" t="n"/>
      <c r="I66" s="25" t="n"/>
      <c r="J66" s="25" t="n"/>
      <c r="K66" s="25" t="n"/>
      <c r="L66" s="25" t="n"/>
      <c r="M66" s="25" t="n"/>
      <c r="N66" s="25" t="n"/>
      <c r="O66" s="25" t="n"/>
      <c r="P66" s="25" t="n"/>
      <c r="Q66" s="25" t="n"/>
      <c r="R66" s="25" t="n"/>
      <c r="S66" s="25" t="n"/>
      <c r="T66" s="25" t="n"/>
      <c r="U66" s="25" t="n"/>
      <c r="V66" s="25" t="n"/>
      <c r="W66" s="25" t="n"/>
      <c r="X66" s="25" t="n"/>
      <c r="Y66" s="25" t="n"/>
      <c r="Z66" s="25" t="n"/>
      <c r="AA66" s="25" t="n"/>
      <c r="AB66" s="25" t="n"/>
      <c r="AC66" s="25" t="n"/>
      <c r="AD66" s="25" t="n"/>
    </row>
    <row r="67" customFormat="1" s="24">
      <c r="A67" s="51" t="inlineStr">
        <is>
          <t>phonenumber</t>
        </is>
      </c>
      <c r="B67" s="25" t="inlineStr">
        <is>
          <t>fieldname</t>
        </is>
      </c>
      <c r="C67" s="26" t="n"/>
      <c r="D67" s="25" t="n"/>
      <c r="E67" s="25" t="n"/>
      <c r="F67" s="25" t="n"/>
      <c r="G67" s="25" t="n"/>
      <c r="H67" s="25" t="n"/>
      <c r="I67" s="25" t="n"/>
      <c r="J67" s="25" t="n"/>
      <c r="K67" s="25" t="n"/>
      <c r="L67" s="25" t="n"/>
      <c r="M67" s="25" t="n"/>
      <c r="N67" s="25" t="n"/>
      <c r="O67" s="25" t="n"/>
      <c r="P67" s="25" t="n"/>
      <c r="Q67" s="25" t="n"/>
      <c r="R67" s="25" t="n"/>
      <c r="S67" s="25" t="n"/>
      <c r="T67" s="25" t="n"/>
      <c r="U67" s="25" t="n"/>
      <c r="V67" s="25" t="n"/>
      <c r="W67" s="25" t="n"/>
      <c r="X67" s="25" t="n"/>
      <c r="Y67" s="25" t="n"/>
      <c r="Z67" s="25" t="n"/>
      <c r="AA67" s="25" t="n"/>
      <c r="AB67" s="25" t="n"/>
      <c r="AC67" s="25" t="n"/>
      <c r="AD67" s="25" t="n"/>
    </row>
    <row r="68" customFormat="1" s="24">
      <c r="A68" s="51" t="inlineStr">
        <is>
          <t>comments</t>
        </is>
      </c>
      <c r="B68" s="25" t="inlineStr">
        <is>
          <t>fieldname</t>
        </is>
      </c>
      <c r="C68" s="26" t="n"/>
      <c r="D68" s="25" t="n"/>
      <c r="E68" s="25" t="n"/>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c r="Z68" s="25" t="n"/>
      <c r="AA68" s="25" t="n"/>
      <c r="AB68" s="25" t="n"/>
      <c r="AC68" s="25" t="n"/>
      <c r="AD68" s="25" t="n"/>
    </row>
    <row r="69" customFormat="1" s="24">
      <c r="A69" s="51" t="inlineStr">
        <is>
          <t>calculate</t>
        </is>
      </c>
      <c r="B69" s="25" t="inlineStr">
        <is>
          <t>fieldname</t>
        </is>
      </c>
      <c r="C69" s="26" t="n"/>
      <c r="D69" s="25" t="n"/>
      <c r="E69" s="25" t="n"/>
      <c r="F69" s="25" t="n"/>
      <c r="G69" s="25" t="n"/>
      <c r="H69" s="25" t="n"/>
      <c r="I69" s="25" t="n"/>
      <c r="J69" s="25" t="n"/>
      <c r="K69" s="25" t="n"/>
      <c r="L69" s="25" t="n"/>
      <c r="M69" s="25" t="n"/>
      <c r="N69" s="25" t="n"/>
      <c r="O69" s="25" t="n"/>
      <c r="P69" s="25" t="n"/>
      <c r="Q69" s="25" t="n"/>
      <c r="R69" s="25" t="inlineStr">
        <is>
          <t>(${age1}+${age2}+${age3}) div 3</t>
        </is>
      </c>
      <c r="S69" s="25" t="n"/>
      <c r="T69" s="25" t="n"/>
      <c r="U69" s="25" t="n"/>
      <c r="V69" s="25" t="n"/>
      <c r="W69" s="25" t="n"/>
      <c r="X69" s="25" t="n"/>
      <c r="Y69" s="25" t="n"/>
      <c r="Z69" s="25" t="n"/>
      <c r="AA69" s="25" t="n"/>
      <c r="AB69" s="25" t="n"/>
      <c r="AC69" s="25" t="n"/>
      <c r="AD69" s="25" t="n"/>
    </row>
    <row r="70" customFormat="1" s="24">
      <c r="A70" s="51" t="inlineStr">
        <is>
          <t>calculate_here</t>
        </is>
      </c>
      <c r="B70" s="25" t="inlineStr">
        <is>
          <t>fieldname</t>
        </is>
      </c>
      <c r="C70" s="26" t="n"/>
      <c r="D70" s="25" t="n"/>
      <c r="E70" s="25" t="n"/>
      <c r="F70" s="25" t="n"/>
      <c r="G70" s="25" t="n"/>
      <c r="H70" s="25" t="n"/>
      <c r="I70" s="25" t="n"/>
      <c r="J70" s="25" t="n"/>
      <c r="K70" s="25" t="n"/>
      <c r="L70" s="25" t="n"/>
      <c r="M70" s="25" t="n"/>
      <c r="N70" s="25" t="n"/>
      <c r="O70" s="25" t="n"/>
      <c r="P70" s="25" t="n"/>
      <c r="Q70" s="25" t="n"/>
      <c r="R70" s="25" t="inlineStr">
        <is>
          <t>once(format-date-time(now(), '%Y-%b-%e %H:%M:%S'))</t>
        </is>
      </c>
      <c r="S70" s="25" t="n"/>
      <c r="T70" s="25" t="n"/>
      <c r="U70" s="25" t="n"/>
      <c r="V70" s="25" t="n"/>
      <c r="W70" s="25" t="n"/>
      <c r="X70" s="25" t="n"/>
      <c r="Y70" s="25" t="n"/>
      <c r="Z70" s="25" t="n"/>
      <c r="AA70" s="25" t="n"/>
      <c r="AB70" s="25" t="n"/>
      <c r="AC70" s="25" t="n"/>
      <c r="AD70" s="25" t="n"/>
    </row>
    <row r="71" customFormat="1" s="24">
      <c r="A71" s="51" t="inlineStr">
        <is>
          <t>text audit</t>
        </is>
      </c>
      <c r="B71" s="25" t="inlineStr">
        <is>
          <t>fieldname</t>
        </is>
      </c>
      <c r="C71" s="26" t="n"/>
      <c r="D71" s="25" t="n"/>
      <c r="E71" s="25" t="n"/>
      <c r="F71" s="25" t="n"/>
      <c r="G71" s="25" t="n"/>
      <c r="H71" s="25" t="inlineStr">
        <is>
          <t>p = 50</t>
        </is>
      </c>
      <c r="I71" s="25" t="n"/>
      <c r="J71" s="25" t="n"/>
      <c r="K71" s="25" t="n"/>
      <c r="L71" s="25" t="n"/>
      <c r="M71" s="25" t="n"/>
      <c r="N71" s="25" t="n"/>
      <c r="O71" s="25" t="n"/>
      <c r="P71" s="25" t="n"/>
      <c r="Q71" s="25" t="n"/>
      <c r="R71" s="25" t="n"/>
      <c r="S71" s="25" t="n"/>
      <c r="T71" s="25" t="n"/>
      <c r="U71" s="25" t="n"/>
      <c r="V71" s="25" t="n"/>
      <c r="W71" s="25" t="n"/>
      <c r="X71" s="25" t="n"/>
      <c r="Y71" s="25" t="n"/>
      <c r="Z71" s="25" t="n"/>
      <c r="AA71" s="25" t="n"/>
      <c r="AB71" s="25" t="n"/>
      <c r="AC71" s="25" t="n"/>
      <c r="AD71" s="25" t="n"/>
    </row>
    <row r="72" customFormat="1" s="24">
      <c r="A72" s="25" t="inlineStr">
        <is>
          <t>text audit</t>
        </is>
      </c>
      <c r="B72" s="25" t="inlineStr">
        <is>
          <t>fieldname</t>
        </is>
      </c>
      <c r="C72" s="26" t="n"/>
      <c r="D72" s="25" t="n"/>
      <c r="E72" s="25" t="n"/>
      <c r="F72" s="25" t="n"/>
      <c r="G72" s="25" t="n"/>
      <c r="H72" s="25" t="inlineStr">
        <is>
          <t>p = 50; eventlog; choices</t>
        </is>
      </c>
      <c r="I72" s="25" t="n"/>
      <c r="J72" s="25" t="n"/>
      <c r="K72" s="25" t="n"/>
      <c r="L72" s="25" t="n"/>
      <c r="M72" s="25" t="n"/>
      <c r="N72" s="25" t="n"/>
      <c r="O72" s="25" t="n"/>
      <c r="P72" s="25" t="n"/>
      <c r="Q72" s="25" t="n"/>
      <c r="R72" s="25" t="n"/>
      <c r="S72" s="25" t="n"/>
      <c r="T72" s="25" t="n"/>
      <c r="U72" s="25" t="n"/>
      <c r="V72" s="25" t="n"/>
      <c r="W72" s="25" t="n"/>
      <c r="X72" s="25" t="n"/>
      <c r="Y72" s="25" t="n"/>
      <c r="Z72" s="25" t="n"/>
      <c r="AA72" s="25" t="n"/>
      <c r="AB72" s="25" t="n"/>
      <c r="AC72" s="25" t="n"/>
      <c r="AD72" s="25" t="n"/>
    </row>
    <row r="73" customFormat="1" s="24">
      <c r="A73" s="51" t="inlineStr">
        <is>
          <t>audio audit</t>
        </is>
      </c>
      <c r="B73" s="25" t="inlineStr">
        <is>
          <t>fieldname</t>
        </is>
      </c>
      <c r="C73" s="26" t="n"/>
      <c r="D73" s="25" t="n"/>
      <c r="E73" s="25" t="n"/>
      <c r="F73" s="25" t="n"/>
      <c r="G73" s="25" t="n"/>
      <c r="H73" s="25" t="inlineStr">
        <is>
          <t>p = 50; s = 0; d = 60</t>
        </is>
      </c>
      <c r="I73" s="25" t="n"/>
      <c r="J73" s="25" t="n"/>
      <c r="K73" s="25" t="n"/>
      <c r="L73" s="25" t="n"/>
      <c r="M73" s="25" t="n"/>
      <c r="N73" s="25" t="n"/>
      <c r="O73" s="25" t="n"/>
      <c r="P73" s="25" t="n"/>
      <c r="Q73" s="25" t="n"/>
      <c r="R73" s="25" t="n"/>
      <c r="S73" s="25" t="n"/>
      <c r="T73" s="25" t="n"/>
      <c r="U73" s="25" t="n"/>
      <c r="V73" s="25" t="n"/>
      <c r="W73" s="25" t="n"/>
      <c r="X73" s="25" t="n"/>
      <c r="Y73" s="25" t="n"/>
      <c r="Z73" s="25" t="n"/>
      <c r="AA73" s="25" t="n"/>
      <c r="AB73" s="25" t="n"/>
      <c r="AC73" s="25" t="n"/>
      <c r="AD73" s="25" t="n"/>
    </row>
    <row r="74" customFormat="1" s="24">
      <c r="A74" s="51" t="inlineStr">
        <is>
          <t>audio audit</t>
        </is>
      </c>
      <c r="B74" s="25" t="inlineStr">
        <is>
          <t>fieldname</t>
        </is>
      </c>
      <c r="C74" s="26" t="n"/>
      <c r="D74" s="25" t="n"/>
      <c r="E74" s="25" t="n"/>
      <c r="F74" s="25" t="n"/>
      <c r="G74" s="25" t="n"/>
      <c r="H74" s="25" t="inlineStr">
        <is>
          <t>p = 50; s = 0-600; d = 60</t>
        </is>
      </c>
      <c r="I74" s="25" t="n"/>
      <c r="J74" s="25" t="n"/>
      <c r="K74" s="25" t="n"/>
      <c r="L74" s="25" t="n"/>
      <c r="M74" s="25" t="n"/>
      <c r="N74" s="25" t="n"/>
      <c r="O74" s="25" t="n"/>
      <c r="P74" s="25" t="n"/>
      <c r="Q74" s="25" t="n"/>
      <c r="R74" s="25" t="n"/>
      <c r="S74" s="25" t="n"/>
      <c r="T74" s="25" t="n"/>
      <c r="U74" s="25" t="n"/>
      <c r="V74" s="25" t="n"/>
      <c r="W74" s="25" t="n"/>
      <c r="X74" s="25" t="n"/>
      <c r="Y74" s="25" t="n"/>
      <c r="Z74" s="25" t="n"/>
      <c r="AA74" s="25" t="n"/>
      <c r="AB74" s="25" t="n"/>
      <c r="AC74" s="25" t="n"/>
      <c r="AD74" s="25" t="n"/>
    </row>
    <row r="75" customFormat="1" s="24">
      <c r="A75" s="51" t="inlineStr">
        <is>
          <t>audio audit</t>
        </is>
      </c>
      <c r="B75" s="25" t="inlineStr">
        <is>
          <t>fieldname</t>
        </is>
      </c>
      <c r="C75" s="26" t="n"/>
      <c r="D75" s="25" t="n"/>
      <c r="E75" s="25" t="n"/>
      <c r="F75" s="25" t="n"/>
      <c r="G75" s="25" t="n"/>
      <c r="H75" s="25" t="inlineStr">
        <is>
          <t>p = 50; s = firstfield; d = lastfield</t>
        </is>
      </c>
      <c r="I75" s="25" t="n"/>
      <c r="J75" s="25" t="n"/>
      <c r="K75" s="25" t="n"/>
      <c r="L75" s="25" t="n"/>
      <c r="M75" s="25" t="n"/>
      <c r="N75" s="25" t="n"/>
      <c r="O75" s="25" t="n"/>
      <c r="P75" s="25" t="n"/>
      <c r="Q75" s="25" t="n"/>
      <c r="R75" s="25" t="n"/>
      <c r="S75" s="25" t="n"/>
      <c r="T75" s="25" t="n"/>
      <c r="U75" s="25" t="n"/>
      <c r="V75" s="25" t="n"/>
      <c r="W75" s="25" t="n"/>
      <c r="X75" s="25" t="n"/>
      <c r="Y75" s="25" t="n"/>
      <c r="Z75" s="25" t="n"/>
      <c r="AA75" s="25" t="n"/>
      <c r="AB75" s="25" t="n"/>
      <c r="AC75" s="25" t="n"/>
      <c r="AD75" s="25" t="n"/>
    </row>
    <row r="76" ht="17" customFormat="1" customHeight="1" s="24">
      <c r="A76" s="51" t="inlineStr">
        <is>
          <t>begin group</t>
        </is>
      </c>
      <c r="B76" s="25" t="inlineStr">
        <is>
          <t>groupname</t>
        </is>
      </c>
      <c r="C76" s="26" t="inlineStr">
        <is>
          <t>Standard group</t>
        </is>
      </c>
      <c r="D76" s="25" t="n"/>
      <c r="E76" s="25" t="n"/>
      <c r="F76" s="25" t="n"/>
      <c r="G76" s="25" t="n"/>
      <c r="H76" s="25" t="n"/>
      <c r="I76" s="25" t="n"/>
      <c r="J76" s="25" t="n"/>
      <c r="K76" s="25" t="n"/>
      <c r="L76" s="25" t="n"/>
      <c r="M76" s="25" t="n"/>
      <c r="N76" s="25" t="n"/>
      <c r="O76" s="25" t="n"/>
      <c r="P76" s="25" t="n"/>
      <c r="Q76" s="25" t="n"/>
      <c r="R76" s="25" t="n"/>
      <c r="S76" s="25" t="n"/>
      <c r="T76" s="25" t="n"/>
      <c r="U76" s="25" t="n"/>
      <c r="V76" s="25" t="n"/>
      <c r="W76" s="25" t="n"/>
      <c r="X76" s="25" t="n"/>
      <c r="Y76" s="25" t="n"/>
      <c r="Z76" s="25" t="n"/>
      <c r="AA76" s="25" t="n"/>
      <c r="AB76" s="25" t="n"/>
      <c r="AC76" s="25" t="n"/>
      <c r="AD76" s="25" t="n"/>
    </row>
    <row r="77" customFormat="1" s="24">
      <c r="A77" s="25" t="inlineStr">
        <is>
          <t>…</t>
        </is>
      </c>
      <c r="B77" s="25" t="n"/>
      <c r="C77" s="26" t="n"/>
      <c r="D77" s="25" t="n"/>
      <c r="E77" s="25" t="n"/>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c r="Z77" s="25" t="n"/>
      <c r="AA77" s="25" t="n"/>
      <c r="AB77" s="25" t="n"/>
      <c r="AC77" s="25" t="n"/>
      <c r="AD77" s="25" t="n"/>
    </row>
    <row r="78" customFormat="1" s="24">
      <c r="A78" s="25" t="inlineStr">
        <is>
          <t>end group</t>
        </is>
      </c>
      <c r="B78" s="25" t="inlineStr">
        <is>
          <t>groupname</t>
        </is>
      </c>
      <c r="C78" s="26" t="n"/>
      <c r="D78" s="25" t="n"/>
      <c r="E78" s="25" t="n"/>
      <c r="F78" s="25" t="n"/>
      <c r="G78" s="25" t="n"/>
      <c r="H78" s="25" t="n"/>
      <c r="I78" s="25" t="n"/>
      <c r="J78" s="25" t="n"/>
      <c r="K78" s="25" t="n"/>
      <c r="L78" s="25" t="n"/>
      <c r="M78" s="25" t="n"/>
      <c r="N78" s="25" t="n"/>
      <c r="O78" s="25" t="n"/>
      <c r="P78" s="25" t="n"/>
      <c r="Q78" s="25" t="n"/>
      <c r="R78" s="25" t="n"/>
      <c r="S78" s="25" t="n"/>
      <c r="T78" s="25" t="n"/>
      <c r="U78" s="25" t="n"/>
      <c r="V78" s="25" t="n"/>
      <c r="W78" s="25" t="n"/>
      <c r="X78" s="25" t="n"/>
      <c r="Y78" s="25" t="n"/>
      <c r="Z78" s="25" t="n"/>
      <c r="AA78" s="25" t="n"/>
      <c r="AB78" s="25" t="n"/>
      <c r="AC78" s="25" t="n"/>
      <c r="AD78" s="25" t="n"/>
    </row>
    <row r="79" ht="17" customFormat="1" customHeight="1" s="24">
      <c r="A79" s="51" t="inlineStr">
        <is>
          <t>begin repeat</t>
        </is>
      </c>
      <c r="B79" s="25" t="inlineStr">
        <is>
          <t>repeatname</t>
        </is>
      </c>
      <c r="C79" s="26" t="inlineStr">
        <is>
          <t>Standard repeated group</t>
        </is>
      </c>
      <c r="D79" s="25" t="n"/>
      <c r="E79" s="25" t="n"/>
      <c r="F79" s="25" t="n"/>
      <c r="G79" s="25" t="n"/>
      <c r="H79" s="25" t="n"/>
      <c r="I79" s="25" t="n"/>
      <c r="J79" s="25" t="n"/>
      <c r="K79" s="25" t="n"/>
      <c r="L79" s="25" t="n"/>
      <c r="M79" s="25" t="n"/>
      <c r="N79" s="25" t="n"/>
      <c r="O79" s="25" t="n"/>
      <c r="P79" s="25" t="n"/>
      <c r="Q79" s="25" t="n"/>
      <c r="R79" s="25" t="n"/>
      <c r="S79" s="25" t="n"/>
      <c r="T79" s="25" t="n"/>
      <c r="U79" s="25" t="n"/>
      <c r="V79" s="25" t="n"/>
      <c r="W79" s="25" t="n"/>
      <c r="X79" s="25" t="n"/>
      <c r="Y79" s="25" t="n"/>
      <c r="Z79" s="25" t="n"/>
      <c r="AA79" s="25" t="n"/>
      <c r="AB79" s="25" t="n"/>
      <c r="AC79" s="25" t="n"/>
      <c r="AD79" s="25" t="n"/>
    </row>
    <row r="80" customFormat="1" s="24">
      <c r="A80" s="25" t="inlineStr">
        <is>
          <t>…</t>
        </is>
      </c>
      <c r="B80" s="25" t="n"/>
      <c r="C80" s="26" t="n"/>
      <c r="D80" s="25" t="n"/>
      <c r="E80" s="25" t="n"/>
      <c r="F80" s="25" t="n"/>
      <c r="G80" s="25" t="n"/>
      <c r="H80" s="25" t="n"/>
      <c r="I80" s="25" t="n"/>
      <c r="J80" s="25" t="n"/>
      <c r="K80" s="25" t="n"/>
      <c r="L80" s="25" t="n"/>
      <c r="M80" s="25" t="n"/>
      <c r="N80" s="25" t="n"/>
      <c r="O80" s="25" t="n"/>
      <c r="P80" s="25" t="n"/>
      <c r="Q80" s="25" t="n"/>
      <c r="R80" s="25" t="n"/>
      <c r="S80" s="25" t="n"/>
      <c r="T80" s="25" t="n"/>
      <c r="U80" s="25" t="n"/>
      <c r="V80" s="25" t="n"/>
      <c r="W80" s="25" t="n"/>
      <c r="X80" s="25" t="n"/>
      <c r="Y80" s="25" t="n"/>
      <c r="Z80" s="25" t="n"/>
      <c r="AA80" s="25" t="n"/>
      <c r="AB80" s="25" t="n"/>
      <c r="AC80" s="25" t="n"/>
      <c r="AD80" s="25" t="n"/>
    </row>
    <row r="81" customFormat="1" s="24">
      <c r="A81" s="25" t="inlineStr">
        <is>
          <t>end repeat</t>
        </is>
      </c>
      <c r="B81" s="25" t="inlineStr">
        <is>
          <t>repeatname</t>
        </is>
      </c>
      <c r="C81" s="26" t="n"/>
      <c r="D81" s="25" t="n"/>
      <c r="E81" s="25" t="n"/>
      <c r="F81" s="25" t="n"/>
      <c r="G81" s="25" t="n"/>
      <c r="H81" s="25" t="n"/>
      <c r="I81" s="25" t="n"/>
      <c r="J81" s="25" t="n"/>
      <c r="K81" s="25" t="n"/>
      <c r="L81" s="25" t="n"/>
      <c r="M81" s="25" t="n"/>
      <c r="N81" s="25" t="n"/>
      <c r="O81" s="25" t="n"/>
      <c r="P81" s="25" t="n"/>
      <c r="Q81" s="25" t="n"/>
      <c r="R81" s="25" t="n"/>
      <c r="S81" s="25" t="n"/>
      <c r="T81" s="25" t="n"/>
      <c r="U81" s="25" t="n"/>
      <c r="V81" s="25" t="n"/>
      <c r="W81" s="25" t="n"/>
      <c r="X81" s="25" t="n"/>
      <c r="Y81" s="25" t="n"/>
      <c r="Z81" s="25" t="n"/>
      <c r="AA81" s="25" t="n"/>
      <c r="AB81" s="25" t="n"/>
      <c r="AC81" s="25" t="n"/>
      <c r="AD81" s="25" t="n"/>
    </row>
    <row r="82" ht="17" customFormat="1" customHeight="1" s="24">
      <c r="A82" s="51" t="inlineStr">
        <is>
          <t>begin repeat</t>
        </is>
      </c>
      <c r="B82" s="25" t="inlineStr">
        <is>
          <t>repeatname</t>
        </is>
      </c>
      <c r="C82" s="26" t="inlineStr">
        <is>
          <t>Group repeated exactly three times</t>
        </is>
      </c>
      <c r="D82" s="25" t="n"/>
      <c r="E82" s="25" t="n"/>
      <c r="F82" s="25" t="n"/>
      <c r="G82" s="25" t="n"/>
      <c r="H82" s="25" t="n"/>
      <c r="I82" s="25" t="n"/>
      <c r="J82" s="25" t="n"/>
      <c r="K82" s="25" t="n"/>
      <c r="L82" s="25" t="n"/>
      <c r="M82" s="25" t="n"/>
      <c r="N82" s="25" t="n"/>
      <c r="O82" s="25" t="n"/>
      <c r="P82" s="25" t="n"/>
      <c r="Q82" s="25" t="n"/>
      <c r="R82" s="25" t="n"/>
      <c r="S82" s="27" t="n">
        <v>3</v>
      </c>
      <c r="T82" s="25" t="n"/>
      <c r="U82" s="25" t="n"/>
      <c r="V82" s="25" t="n"/>
      <c r="W82" s="25" t="n"/>
      <c r="X82" s="25" t="n"/>
      <c r="Y82" s="25" t="n"/>
      <c r="Z82" s="25" t="n"/>
      <c r="AA82" s="25" t="n"/>
      <c r="AB82" s="25" t="n"/>
      <c r="AC82" s="25" t="n"/>
      <c r="AD82" s="25" t="n"/>
    </row>
    <row r="83" customFormat="1" s="24">
      <c r="A83" s="25" t="inlineStr">
        <is>
          <t>…</t>
        </is>
      </c>
      <c r="B83" s="25" t="n"/>
      <c r="C83" s="26" t="n"/>
      <c r="D83" s="25" t="n"/>
      <c r="E83" s="25" t="n"/>
      <c r="F83" s="25" t="n"/>
      <c r="G83" s="25" t="n"/>
      <c r="H83" s="25" t="n"/>
      <c r="I83" s="25" t="n"/>
      <c r="J83" s="25" t="n"/>
      <c r="K83" s="25" t="n"/>
      <c r="L83" s="25" t="n"/>
      <c r="M83" s="25" t="n"/>
      <c r="N83" s="25" t="n"/>
      <c r="O83" s="25" t="n"/>
      <c r="P83" s="25" t="n"/>
      <c r="Q83" s="25" t="n"/>
      <c r="R83" s="25" t="n"/>
      <c r="S83" s="25" t="n"/>
      <c r="T83" s="25" t="n"/>
      <c r="U83" s="25" t="n"/>
      <c r="V83" s="25" t="n"/>
      <c r="W83" s="25" t="n"/>
      <c r="X83" s="25" t="n"/>
      <c r="Y83" s="25" t="n"/>
      <c r="Z83" s="25" t="n"/>
      <c r="AA83" s="25" t="n"/>
      <c r="AB83" s="25" t="n"/>
      <c r="AC83" s="25" t="n"/>
      <c r="AD83" s="25" t="n"/>
    </row>
    <row r="84" customFormat="1" s="24">
      <c r="A84" s="25" t="inlineStr">
        <is>
          <t>end repeat</t>
        </is>
      </c>
      <c r="B84" s="25" t="inlineStr">
        <is>
          <t>repeatname</t>
        </is>
      </c>
      <c r="C84" s="26" t="n"/>
      <c r="D84" s="25" t="n"/>
      <c r="E84" s="25" t="n"/>
      <c r="F84" s="25" t="n"/>
      <c r="G84" s="25" t="n"/>
      <c r="H84" s="25" t="n"/>
      <c r="I84" s="25" t="n"/>
      <c r="J84" s="25" t="n"/>
      <c r="K84" s="25" t="n"/>
      <c r="L84" s="25" t="n"/>
      <c r="M84" s="25" t="n"/>
      <c r="N84" s="25" t="n"/>
      <c r="O84" s="25" t="n"/>
      <c r="P84" s="25" t="n"/>
      <c r="Q84" s="25" t="n"/>
      <c r="R84" s="25" t="n"/>
      <c r="S84" s="25" t="n"/>
      <c r="T84" s="25" t="n"/>
      <c r="U84" s="25" t="n"/>
      <c r="V84" s="25" t="n"/>
      <c r="W84" s="25" t="n"/>
      <c r="X84" s="25" t="n"/>
      <c r="Y84" s="25" t="n"/>
      <c r="Z84" s="25" t="n"/>
      <c r="AA84" s="25" t="n"/>
      <c r="AB84" s="25" t="n"/>
      <c r="AC84" s="25" t="n"/>
      <c r="AD84" s="25" t="n"/>
    </row>
    <row r="85" customFormat="1" s="24">
      <c r="A85" s="51" t="inlineStr">
        <is>
          <t>speed violations count</t>
        </is>
      </c>
      <c r="B85" s="25" t="inlineStr">
        <is>
          <t>fieldname</t>
        </is>
      </c>
      <c r="C85" s="26" t="n"/>
      <c r="D85" s="25" t="n"/>
      <c r="E85" s="25" t="n"/>
      <c r="F85" s="25" t="n"/>
      <c r="G85" s="25" t="n"/>
      <c r="H85" s="25" t="n"/>
      <c r="I85" s="25" t="n"/>
      <c r="J85" s="25" t="n"/>
      <c r="K85" s="25" t="n"/>
      <c r="L85" s="25" t="n"/>
      <c r="M85" s="25" t="n"/>
      <c r="N85" s="25" t="n"/>
      <c r="O85" s="25" t="n"/>
      <c r="P85" s="25" t="n"/>
      <c r="Q85" s="25" t="n"/>
      <c r="R85" s="25" t="n"/>
      <c r="S85" s="25" t="n"/>
      <c r="T85" s="25" t="n"/>
      <c r="U85" s="25" t="n"/>
      <c r="V85" s="25" t="n"/>
      <c r="W85" s="25" t="n"/>
      <c r="X85" s="25" t="n"/>
      <c r="Y85" s="25" t="n"/>
      <c r="Z85" s="25" t="n"/>
      <c r="AA85" s="25" t="n"/>
      <c r="AB85" s="25" t="n"/>
      <c r="AC85" s="25" t="n"/>
      <c r="AD85" s="25" t="n"/>
    </row>
    <row r="86" customFormat="1" s="24">
      <c r="A86" s="51" t="inlineStr">
        <is>
          <t>speed violations list</t>
        </is>
      </c>
      <c r="B86" s="25" t="inlineStr">
        <is>
          <t>fieldname</t>
        </is>
      </c>
      <c r="C86" s="26" t="n"/>
      <c r="D86" s="25" t="n"/>
      <c r="E86" s="25" t="n"/>
      <c r="F86" s="25" t="n"/>
      <c r="G86" s="25" t="n"/>
      <c r="H86" s="25" t="n"/>
      <c r="I86" s="25" t="n"/>
      <c r="J86" s="25" t="n"/>
      <c r="K86" s="25" t="n"/>
      <c r="L86" s="25" t="n"/>
      <c r="M86" s="25" t="n"/>
      <c r="N86" s="25" t="n"/>
      <c r="O86" s="25" t="n"/>
      <c r="P86" s="25" t="n"/>
      <c r="Q86" s="25" t="n"/>
      <c r="R86" s="25" t="n"/>
      <c r="S86" s="25" t="n"/>
      <c r="T86" s="25" t="n"/>
      <c r="U86" s="25" t="n"/>
      <c r="V86" s="25" t="n"/>
      <c r="W86" s="25" t="n"/>
      <c r="X86" s="25" t="n"/>
      <c r="Y86" s="25" t="n"/>
      <c r="Z86" s="25" t="n"/>
      <c r="AA86" s="25" t="n"/>
      <c r="AB86" s="25" t="n"/>
      <c r="AC86" s="25" t="n"/>
      <c r="AD86" s="25" t="n"/>
    </row>
    <row r="87" customFormat="1" s="24">
      <c r="A87" s="51" t="inlineStr">
        <is>
          <t>speed violations audit</t>
        </is>
      </c>
      <c r="B87" s="25" t="inlineStr">
        <is>
          <t>fieldname</t>
        </is>
      </c>
      <c r="C87" s="26" t="n"/>
      <c r="D87" s="25" t="n"/>
      <c r="E87" s="25" t="n"/>
      <c r="F87" s="25" t="n"/>
      <c r="G87" s="25" t="n"/>
      <c r="H87" s="25" t="inlineStr">
        <is>
          <t>v = 5; d = 120</t>
        </is>
      </c>
      <c r="I87" s="25" t="n"/>
      <c r="J87" s="25" t="n"/>
      <c r="K87" s="25" t="n"/>
      <c r="L87" s="25" t="n"/>
      <c r="M87" s="25" t="n"/>
      <c r="N87" s="25" t="n"/>
      <c r="O87" s="25" t="n"/>
      <c r="P87" s="25" t="n"/>
      <c r="Q87" s="25" t="n"/>
      <c r="R87" s="25" t="n"/>
      <c r="S87" s="25" t="n"/>
      <c r="T87" s="25" t="n"/>
      <c r="U87" s="25" t="n"/>
      <c r="V87" s="25" t="n"/>
      <c r="W87" s="25" t="n"/>
      <c r="X87" s="25" t="n"/>
      <c r="Y87" s="25" t="n"/>
      <c r="Z87" s="25" t="n"/>
      <c r="AA87" s="25" t="n"/>
      <c r="AB87" s="25" t="n"/>
      <c r="AC87" s="25" t="n"/>
      <c r="AD87" s="25" t="n"/>
    </row>
    <row r="88" customFormat="1" s="24">
      <c r="A88" s="51" t="inlineStr">
        <is>
          <t>sensor_stream movement</t>
        </is>
      </c>
      <c r="B88" s="25" t="inlineStr">
        <is>
          <t>fieldname</t>
        </is>
      </c>
      <c r="C88" s="26" t="n"/>
      <c r="D88" s="25" t="n"/>
      <c r="E88" s="25" t="n"/>
      <c r="F88" s="25" t="n"/>
      <c r="G88" s="25" t="n"/>
      <c r="H88" s="25" t="inlineStr">
        <is>
          <t>period = 1</t>
        </is>
      </c>
      <c r="I88" s="25" t="n"/>
      <c r="J88" s="25" t="n"/>
      <c r="K88" s="25" t="n"/>
      <c r="L88" s="25" t="n"/>
      <c r="M88" s="25" t="n"/>
      <c r="N88" s="25" t="n"/>
      <c r="O88" s="25" t="n"/>
      <c r="P88" s="25" t="n"/>
      <c r="Q88" s="25" t="n"/>
      <c r="R88" s="25" t="n"/>
      <c r="S88" s="25" t="n"/>
      <c r="T88" s="25" t="n"/>
      <c r="U88" s="25" t="n"/>
      <c r="V88" s="25" t="n"/>
      <c r="W88" s="25" t="n"/>
      <c r="X88" s="25" t="n"/>
      <c r="Y88" s="25" t="n"/>
      <c r="Z88" s="25" t="n"/>
      <c r="AA88" s="25" t="n"/>
      <c r="AB88" s="25" t="n"/>
      <c r="AC88" s="25" t="n"/>
      <c r="AD88" s="25" t="n"/>
    </row>
    <row r="89" customFormat="1" s="24">
      <c r="A89" s="51" t="inlineStr">
        <is>
          <t>sensor_statistic pct_movement_between</t>
        </is>
      </c>
      <c r="B89" s="25" t="inlineStr">
        <is>
          <t>fieldname</t>
        </is>
      </c>
      <c r="C89" s="26" t="n"/>
      <c r="D89" s="25" t="n"/>
      <c r="E89" s="25" t="n"/>
      <c r="F89" s="25" t="n"/>
      <c r="G89" s="25" t="n"/>
      <c r="H89" s="25" t="inlineStr">
        <is>
          <t>min = 0.25; max = 2</t>
        </is>
      </c>
      <c r="I89" s="25" t="n"/>
      <c r="J89" s="25" t="n"/>
      <c r="K89" s="25" t="n"/>
      <c r="L89" s="25" t="n"/>
      <c r="M89" s="25" t="n"/>
      <c r="N89" s="25" t="n"/>
      <c r="O89" s="25" t="n"/>
      <c r="P89" s="25" t="n"/>
      <c r="Q89" s="25" t="n"/>
      <c r="R89" s="25" t="n"/>
      <c r="S89" s="25" t="n"/>
      <c r="T89" s="25" t="n"/>
      <c r="U89" s="25" t="n"/>
      <c r="V89" s="25" t="n"/>
      <c r="W89" s="25" t="n"/>
      <c r="X89" s="25" t="n"/>
      <c r="Y89" s="25" t="n"/>
      <c r="Z89" s="25" t="n"/>
      <c r="AA89" s="25" t="n"/>
      <c r="AB89" s="25" t="n"/>
      <c r="AC89" s="25" t="n"/>
      <c r="AD89" s="25" t="n"/>
    </row>
    <row r="91">
      <c r="A91" s="104" t="inlineStr">
        <is>
          <t>Quick reference for relevance, constraint, and selected calculation expressions</t>
        </is>
      </c>
      <c r="B91" s="162" t="n"/>
      <c r="C91" s="35" t="n"/>
      <c r="D91" s="36" t="n"/>
    </row>
    <row r="92">
      <c r="A92" s="163" t="inlineStr">
        <is>
          <t>Learn about all available expressions in "Using expressions in your forms: a reference for all operators and functions"</t>
        </is>
      </c>
      <c r="B92" s="164" t="n"/>
      <c r="C92" s="162" t="n"/>
      <c r="D92" s="36" t="n"/>
    </row>
    <row r="94">
      <c r="A94" s="14" t="inlineStr">
        <is>
          <t>Operation</t>
        </is>
      </c>
      <c r="B94" s="14" t="inlineStr">
        <is>
          <t>Operator</t>
        </is>
      </c>
      <c r="C94" s="14" t="inlineStr">
        <is>
          <t>Example</t>
        </is>
      </c>
      <c r="D94" s="14" t="inlineStr">
        <is>
          <t>Example answer</t>
        </is>
      </c>
    </row>
    <row r="95">
      <c r="A95" s="15" t="inlineStr">
        <is>
          <t>Addition</t>
        </is>
      </c>
      <c r="B95" s="15" t="inlineStr">
        <is>
          <t>+</t>
        </is>
      </c>
      <c r="C95" s="15" t="inlineStr">
        <is>
          <t>1 + 1</t>
        </is>
      </c>
      <c r="D95" s="15" t="n">
        <v>2</v>
      </c>
    </row>
    <row r="96">
      <c r="A96" s="15" t="inlineStr">
        <is>
          <t>Subtraction</t>
        </is>
      </c>
      <c r="B96" s="15" t="inlineStr">
        <is>
          <t>-</t>
        </is>
      </c>
      <c r="C96" s="16">
        <f>"3 - 2"</f>
        <v/>
      </c>
      <c r="D96" s="15" t="n">
        <v>1</v>
      </c>
    </row>
    <row r="97">
      <c r="A97" s="15" t="inlineStr">
        <is>
          <t>Multiplication</t>
        </is>
      </c>
      <c r="B97" s="15" t="inlineStr">
        <is>
          <t>*</t>
        </is>
      </c>
      <c r="C97" s="15" t="inlineStr">
        <is>
          <t>3 * 2</t>
        </is>
      </c>
      <c r="D97" s="15" t="n">
        <v>6</v>
      </c>
    </row>
    <row r="98">
      <c r="A98" s="15" t="inlineStr">
        <is>
          <t>Division</t>
        </is>
      </c>
      <c r="B98" s="15" t="inlineStr">
        <is>
          <t>div</t>
        </is>
      </c>
      <c r="C98" s="15" t="inlineStr">
        <is>
          <t>10 div 2</t>
        </is>
      </c>
      <c r="D98" s="15" t="n">
        <v>5</v>
      </c>
    </row>
    <row r="99">
      <c r="A99" s="15" t="inlineStr">
        <is>
          <t>Modulus</t>
        </is>
      </c>
      <c r="B99" s="15" t="inlineStr">
        <is>
          <t>mod</t>
        </is>
      </c>
      <c r="C99" s="15" t="inlineStr">
        <is>
          <t>9 mod 2</t>
        </is>
      </c>
      <c r="D99" s="15" t="n">
        <v>1</v>
      </c>
    </row>
    <row r="100">
      <c r="A100" s="15" t="inlineStr">
        <is>
          <t>Equal</t>
        </is>
      </c>
      <c r="B100" s="15" t="inlineStr">
        <is>
          <t>=</t>
        </is>
      </c>
      <c r="C100" s="15" t="inlineStr">
        <is>
          <t>${fieldname} = 3</t>
        </is>
      </c>
      <c r="D100" s="15" t="inlineStr">
        <is>
          <t>true or false</t>
        </is>
      </c>
    </row>
    <row r="101">
      <c r="A101" s="15" t="inlineStr">
        <is>
          <t>Not equal</t>
        </is>
      </c>
      <c r="B101" s="15" t="inlineStr">
        <is>
          <t>!=</t>
        </is>
      </c>
      <c r="C101" s="15" t="inlineStr">
        <is>
          <t>${fieldname} != 3</t>
        </is>
      </c>
      <c r="D101" s="15" t="inlineStr">
        <is>
          <t>true or false</t>
        </is>
      </c>
    </row>
    <row r="102">
      <c r="A102" s="15" t="inlineStr">
        <is>
          <t>Greater-than</t>
        </is>
      </c>
      <c r="B102" s="15" t="inlineStr">
        <is>
          <t>&gt;</t>
        </is>
      </c>
      <c r="C102" s="15" t="inlineStr">
        <is>
          <t>${fieldname} &gt; 3</t>
        </is>
      </c>
      <c r="D102" s="15" t="inlineStr">
        <is>
          <t>true or false</t>
        </is>
      </c>
    </row>
    <row r="103">
      <c r="A103" s="15" t="inlineStr">
        <is>
          <t>&gt;-or-equal</t>
        </is>
      </c>
      <c r="B103" s="15" t="inlineStr">
        <is>
          <t>&gt;=</t>
        </is>
      </c>
      <c r="C103" s="15" t="inlineStr">
        <is>
          <t>${fieldname} &gt;= 3</t>
        </is>
      </c>
      <c r="D103" s="15" t="inlineStr">
        <is>
          <t>true or false</t>
        </is>
      </c>
    </row>
    <row r="104">
      <c r="A104" s="15" t="inlineStr">
        <is>
          <t>Less-than</t>
        </is>
      </c>
      <c r="B104" s="15" t="inlineStr">
        <is>
          <t>&lt;</t>
        </is>
      </c>
      <c r="C104" s="15" t="inlineStr">
        <is>
          <t>${fieldname} &lt; 3</t>
        </is>
      </c>
      <c r="D104" s="15" t="inlineStr">
        <is>
          <t>true or false</t>
        </is>
      </c>
    </row>
    <row r="105">
      <c r="A105" s="15" t="inlineStr">
        <is>
          <t>&lt;-or-equal</t>
        </is>
      </c>
      <c r="B105" s="15" t="inlineStr">
        <is>
          <t>&lt;=</t>
        </is>
      </c>
      <c r="C105" s="15" t="inlineStr">
        <is>
          <t>${fieldname} &lt;= 3</t>
        </is>
      </c>
      <c r="D105" s="15" t="inlineStr">
        <is>
          <t>true or false</t>
        </is>
      </c>
    </row>
    <row r="106">
      <c r="A106" s="15" t="inlineStr">
        <is>
          <t>Or</t>
        </is>
      </c>
      <c r="B106" s="15" t="inlineStr">
        <is>
          <t>or</t>
        </is>
      </c>
      <c r="C106" s="15" t="inlineStr">
        <is>
          <t>${fieldname} = 3 or ${fieldname} = 4</t>
        </is>
      </c>
      <c r="D106" s="15" t="inlineStr">
        <is>
          <t>true or false</t>
        </is>
      </c>
    </row>
    <row r="107">
      <c r="A107" s="15" t="inlineStr">
        <is>
          <t>And</t>
        </is>
      </c>
      <c r="B107" s="15" t="inlineStr">
        <is>
          <t>and</t>
        </is>
      </c>
      <c r="C107" s="15" t="inlineStr">
        <is>
          <t>${fieldname} &gt; 3 and ${fieldname} &lt; 5</t>
        </is>
      </c>
      <c r="D107" s="15" t="inlineStr">
        <is>
          <t>true or false</t>
        </is>
      </c>
    </row>
    <row r="108">
      <c r="A108" s="15" t="inlineStr">
        <is>
          <t>Not</t>
        </is>
      </c>
      <c r="B108" s="15" t="inlineStr">
        <is>
          <t>not()</t>
        </is>
      </c>
      <c r="C108" s="15" t="inlineStr">
        <is>
          <t>not(${fieldname} &gt; 3 and ${fieldname} &lt; 5)</t>
        </is>
      </c>
      <c r="D108" s="15" t="inlineStr">
        <is>
          <t>false or true</t>
        </is>
      </c>
    </row>
    <row r="109">
      <c r="A109" s="17" t="n"/>
      <c r="B109" s="17" t="n"/>
      <c r="C109" s="18" t="n"/>
      <c r="D109" s="17" t="n"/>
    </row>
    <row r="110">
      <c r="A110" s="17" t="n"/>
      <c r="B110" s="14" t="inlineStr">
        <is>
          <t>Function</t>
        </is>
      </c>
      <c r="C110" s="14" t="inlineStr">
        <is>
          <t>Example</t>
        </is>
      </c>
      <c r="D110" s="17" t="n"/>
    </row>
    <row r="111">
      <c r="A111" s="17" t="n"/>
      <c r="B111" s="15" t="inlineStr">
        <is>
          <t>relevant(field)</t>
        </is>
      </c>
      <c r="C111" s="15" t="inlineStr">
        <is>
          <t>relevant(${followup_question})</t>
        </is>
      </c>
      <c r="D111" s="17" t="n"/>
    </row>
    <row r="112" ht="17" customHeight="1">
      <c r="A112" s="17" t="n"/>
      <c r="B112" s="15" t="inlineStr">
        <is>
          <t>empty(field)</t>
        </is>
      </c>
      <c r="C112" s="31" t="inlineStr">
        <is>
          <t>empty(${consent})</t>
        </is>
      </c>
      <c r="D112" s="17" t="n"/>
    </row>
    <row r="113" ht="17" customHeight="1">
      <c r="A113" s="17" t="n"/>
      <c r="B113" s="19" t="inlineStr">
        <is>
          <t>once(expression)</t>
        </is>
      </c>
      <c r="C113" s="20" t="inlineStr">
        <is>
          <t>once(random())</t>
        </is>
      </c>
      <c r="D113" s="17" t="n"/>
    </row>
    <row r="114" ht="17" customHeight="1">
      <c r="A114" s="17" t="n"/>
      <c r="B114" s="20" t="inlineStr">
        <is>
          <t>once(random())</t>
        </is>
      </c>
      <c r="C114" s="20" t="inlineStr">
        <is>
          <t>once(random())</t>
        </is>
      </c>
      <c r="D114" s="17" t="n"/>
    </row>
    <row r="115" ht="34" customHeight="1">
      <c r="A115" s="17" t="n"/>
      <c r="B115" s="20" t="inlineStr">
        <is>
          <t>pulldata(csvname, colname, lookupcolname, lookupval)</t>
        </is>
      </c>
      <c r="C115" s="20" t="inlineStr">
        <is>
          <t>pulldata('hhplotdata', 'plot1size', 'hhid_key', ${hhid})</t>
        </is>
      </c>
      <c r="D115" s="17" t="n"/>
    </row>
    <row r="116" ht="17" customHeight="1">
      <c r="A116" s="17" t="n"/>
      <c r="B116" s="20" t="inlineStr">
        <is>
          <t>string-length(field)</t>
        </is>
      </c>
      <c r="C116" s="20" t="inlineStr">
        <is>
          <t>string-length(.) &gt; 3</t>
        </is>
      </c>
      <c r="D116" s="17" t="n"/>
    </row>
    <row r="117" ht="17" customHeight="1">
      <c r="A117" s="17" t="n"/>
      <c r="B117" s="20" t="inlineStr">
        <is>
          <t>count-selected(field)</t>
        </is>
      </c>
      <c r="C117" s="20" t="inlineStr">
        <is>
          <t>count-selected(.) &gt;= 1</t>
        </is>
      </c>
      <c r="D117" s="17" t="n"/>
    </row>
    <row r="118" ht="17" customHeight="1">
      <c r="A118" s="17" t="n"/>
      <c r="B118" s="20" t="inlineStr">
        <is>
          <t>selected(field, value)</t>
        </is>
      </c>
      <c r="C118" s="20" t="inlineStr">
        <is>
          <t>selected(${fieldname}, 'Male')</t>
        </is>
      </c>
      <c r="D118" s="17" t="n"/>
    </row>
    <row r="119" ht="17" customHeight="1">
      <c r="A119" s="17" t="n"/>
      <c r="B119" s="20" t="inlineStr">
        <is>
          <t>selected-at(field, number)</t>
        </is>
      </c>
      <c r="C119" s="20" t="inlineStr">
        <is>
          <t>selected-at(${fieldname}, 0) = 'Shona'</t>
        </is>
      </c>
      <c r="D119" s="17" t="n"/>
    </row>
    <row r="120" ht="34" customHeight="1">
      <c r="A120" s="17" t="n"/>
      <c r="B120" s="20" t="inlineStr">
        <is>
          <t>choice-label(field, value)</t>
        </is>
      </c>
      <c r="C120" s="20" t="inlineStr">
        <is>
          <t>choice-label(${selectonefield}, ${selectonefield})</t>
        </is>
      </c>
      <c r="D120" s="17" t="n"/>
    </row>
    <row r="121" ht="17" customHeight="1">
      <c r="A121" s="17" t="n"/>
      <c r="B121" s="20" t="inlineStr">
        <is>
          <t>concat(fieldorstring, fieldorstring, ...)</t>
        </is>
      </c>
      <c r="C121" s="20" t="inlineStr">
        <is>
          <t>concat(${firstname}, ' ', ${lastname})</t>
        </is>
      </c>
      <c r="D121" s="17" t="n"/>
    </row>
    <row r="122" ht="17" customHeight="1">
      <c r="A122" s="17" t="n"/>
      <c r="B122" s="20" t="inlineStr">
        <is>
          <t>index()</t>
        </is>
      </c>
      <c r="C122" s="20" t="inlineStr">
        <is>
          <t>index()</t>
        </is>
      </c>
      <c r="D122" s="17" t="n"/>
    </row>
    <row r="123" ht="17" customHeight="1">
      <c r="A123" s="17" t="n"/>
      <c r="B123" s="20" t="inlineStr">
        <is>
          <t>count(repeatgroup)</t>
        </is>
      </c>
      <c r="C123" s="20" t="inlineStr">
        <is>
          <t>count(${repeatgroupname})</t>
        </is>
      </c>
      <c r="D123" s="17" t="n"/>
    </row>
    <row r="124" ht="17" customHeight="1">
      <c r="A124" s="17" t="n"/>
      <c r="B124" s="20" t="inlineStr">
        <is>
          <t>sum(repeatedfield)</t>
        </is>
      </c>
      <c r="C124" s="20" t="inlineStr">
        <is>
          <t>sum(${loan_size})</t>
        </is>
      </c>
      <c r="D124" s="17" t="n"/>
    </row>
    <row r="125" ht="17" customHeight="1">
      <c r="A125" s="17" t="n"/>
      <c r="B125" s="20" t="inlineStr">
        <is>
          <t>join(string, repeatedfield)</t>
        </is>
      </c>
      <c r="C125" s="20" t="inlineStr">
        <is>
          <t>join(' ,', ${hh_member_name})</t>
        </is>
      </c>
      <c r="D125" s="17" t="n"/>
    </row>
    <row r="126" ht="17" customHeight="1">
      <c r="A126" s="17" t="n"/>
      <c r="B126" s="20" t="inlineStr">
        <is>
          <t>min(repeatedfield)</t>
        </is>
      </c>
      <c r="C126" s="20" t="inlineStr">
        <is>
          <t>min(${hh_member_age})</t>
        </is>
      </c>
      <c r="D126" s="17" t="n"/>
    </row>
    <row r="127" ht="17" customHeight="1">
      <c r="A127" s="17" t="n"/>
      <c r="B127" s="20" t="inlineStr">
        <is>
          <t>max(repeatedfield)</t>
        </is>
      </c>
      <c r="C127" s="20" t="inlineStr">
        <is>
          <t>max(${hh_member_age})</t>
        </is>
      </c>
      <c r="D127" s="17" t="n"/>
    </row>
    <row r="128" ht="34" customHeight="1">
      <c r="A128" s="17" t="n"/>
      <c r="B128" s="20" t="inlineStr">
        <is>
          <t>indexed-repeat(repeatedfield, repeatgroup, index)</t>
        </is>
      </c>
      <c r="C128" s="20" t="inlineStr">
        <is>
          <t>indexed-repeat(${name}, ${names}, 1)</t>
        </is>
      </c>
      <c r="D128" s="17" t="n"/>
    </row>
    <row r="129" ht="17" customHeight="1">
      <c r="A129" s="17" t="n"/>
      <c r="B129" s="20" t="inlineStr">
        <is>
          <t>substr(fieldorstring, startindex, endindex)</t>
        </is>
      </c>
      <c r="C129" s="20" t="inlineStr">
        <is>
          <t>substr(${phone}, 0, 3)</t>
        </is>
      </c>
      <c r="D129" s="17" t="n"/>
    </row>
    <row r="130" ht="17" customHeight="1">
      <c r="A130" s="17" t="n"/>
      <c r="B130" s="20" t="inlineStr">
        <is>
          <t>coalesce(field1, field2)</t>
        </is>
      </c>
      <c r="C130" s="20" t="inlineStr">
        <is>
          <t>coalesce(${id}, ${id2})</t>
        </is>
      </c>
      <c r="D130" s="17" t="n"/>
    </row>
    <row r="131" ht="17" customHeight="1">
      <c r="A131" s="17" t="n"/>
      <c r="B131" s="20" t="inlineStr">
        <is>
          <t>round(field, digits)</t>
        </is>
      </c>
      <c r="C131" s="20" t="inlineStr">
        <is>
          <t>round(${interest_rate}, 2)</t>
        </is>
      </c>
      <c r="D131" s="17" t="n"/>
    </row>
    <row r="132" ht="34" customHeight="1">
      <c r="A132" s="17" t="n"/>
      <c r="B132" s="20" t="inlineStr">
        <is>
          <t>regex(field, expression)</t>
        </is>
      </c>
      <c r="C132" s="20" t="inlineStr">
        <is>
          <t>regex(., '[A-Za-z0-9._%+-]+@[A-Za-z0-9.-]+.[A-Za-z]{2,4}')</t>
        </is>
      </c>
      <c r="D132" s="17" t="n"/>
    </row>
    <row r="133" ht="51" customHeight="1">
      <c r="A133" s="17" t="n"/>
      <c r="B133" s="20" t="inlineStr">
        <is>
          <t>if(expression, valueiftrue, valueiffalse)</t>
        </is>
      </c>
      <c r="C133" s="20" t="inlineStr">
        <is>
          <t>if(selected(${country}, 'South Africa') or selected(${country}, 'Zimbabwe'), 'SADC', 'Non-SADC')</t>
        </is>
      </c>
      <c r="D133" s="17" t="n"/>
    </row>
    <row r="134" ht="17" customHeight="1">
      <c r="A134" s="17" t="n"/>
      <c r="B134" s="21" t="inlineStr">
        <is>
          <t>today()</t>
        </is>
      </c>
      <c r="C134" s="21" t="inlineStr">
        <is>
          <t>format-date-time(today(), '%Y-%b-%e')</t>
        </is>
      </c>
      <c r="D134" s="17" t="n"/>
    </row>
    <row r="135" ht="34" customHeight="1">
      <c r="A135" s="17" t="n"/>
      <c r="B135" s="21" t="inlineStr">
        <is>
          <t>now()</t>
        </is>
      </c>
      <c r="C135" s="21" t="inlineStr">
        <is>
          <t>once(format-date-time(now(), '%Y-%b-%e %H:%M:%S'))</t>
        </is>
      </c>
      <c r="D135" s="17" t="n"/>
    </row>
    <row r="136" ht="17" customHeight="1">
      <c r="A136" s="17" t="n"/>
      <c r="B136" s="21" t="inlineStr">
        <is>
          <t>username()</t>
        </is>
      </c>
      <c r="C136" s="21" t="inlineStr">
        <is>
          <t>username()</t>
        </is>
      </c>
      <c r="D136" s="17" t="n"/>
    </row>
    <row r="137" ht="17" customHeight="1">
      <c r="A137" s="17" t="n"/>
      <c r="B137" s="21" t="inlineStr">
        <is>
          <t>duration()</t>
        </is>
      </c>
      <c r="C137" s="21" t="inlineStr">
        <is>
          <t>duration()</t>
        </is>
      </c>
      <c r="D137" s="17" t="n"/>
    </row>
    <row r="138" ht="17" customHeight="1">
      <c r="A138" s="17" t="n"/>
      <c r="B138" s="21" t="inlineStr">
        <is>
          <t>rank-index(index, repeatedfield)</t>
        </is>
      </c>
      <c r="C138" s="21" t="inlineStr">
        <is>
          <t>rank-index(1, ${random_draw})</t>
        </is>
      </c>
      <c r="D138" s="17" t="n"/>
    </row>
    <row r="139" ht="34" customHeight="1">
      <c r="A139" s="17" t="n"/>
      <c r="B139" s="21" t="inlineStr">
        <is>
          <t>rank-value(fieldorvalue, fieldorlist)</t>
        </is>
      </c>
      <c r="C139" s="21" t="inlineStr">
        <is>
          <t>rank-value(${random_draw}, ${list_of_draws})</t>
        </is>
      </c>
      <c r="D139" s="17" t="n"/>
    </row>
    <row r="140" ht="17" customHeight="1">
      <c r="A140" s="17" t="n"/>
      <c r="B140" s="21" t="inlineStr">
        <is>
          <t>de-duplicate(string, field)</t>
        </is>
      </c>
      <c r="C140" s="21" t="inlineStr">
        <is>
          <t>de-duplicate(' ', join(' ', ${repeatedfield}))</t>
        </is>
      </c>
      <c r="D140" s="17" t="n"/>
    </row>
    <row r="141" ht="34" customHeight="1">
      <c r="A141" s="17" t="n"/>
      <c r="B141" s="21" t="inlineStr">
        <is>
          <t>distance-between(geopointfield1, geopointfield2)</t>
        </is>
      </c>
      <c r="C141" s="21" t="inlineStr">
        <is>
          <t>distance-between(${start_gps}, ${end_gps})</t>
        </is>
      </c>
      <c r="D141" s="17" t="n"/>
    </row>
    <row r="142" ht="17" customHeight="1">
      <c r="A142" s="17" t="n"/>
      <c r="B142" s="21" t="inlineStr">
        <is>
          <t>area(repeatedgeopointfield)</t>
        </is>
      </c>
      <c r="C142" s="21" t="inlineStr">
        <is>
          <t>area(${gps_reading})</t>
        </is>
      </c>
      <c r="D142" s="17" t="n"/>
    </row>
    <row r="143" ht="17" customHeight="1">
      <c r="A143" s="17" t="n"/>
      <c r="B143" s="21" t="inlineStr">
        <is>
          <t>phone-call-log()</t>
        </is>
      </c>
      <c r="C143" s="21" t="inlineStr">
        <is>
          <t>phone-call-log()</t>
        </is>
      </c>
      <c r="D143" s="17" t="n"/>
    </row>
    <row r="144" ht="17" customHeight="1">
      <c r="A144" s="33" t="n"/>
      <c r="B144" s="34" t="inlineStr">
        <is>
          <t>plug-in-metadata(field)</t>
        </is>
      </c>
      <c r="C144" s="34" t="inlineStr">
        <is>
          <t>plug-in-metadata(${counter})</t>
        </is>
      </c>
      <c r="D144" s="33" t="n"/>
    </row>
    <row r="145">
      <c r="B145" s="32" t="n"/>
      <c r="C145" s="32" t="n"/>
    </row>
    <row r="146">
      <c r="B146" s="32" t="n"/>
      <c r="C146" s="32" t="n"/>
    </row>
    <row r="147">
      <c r="B147" s="32" t="n"/>
      <c r="C147" s="32" t="n"/>
    </row>
    <row r="148">
      <c r="B148" s="32" t="n"/>
      <c r="C148" s="32" t="n"/>
    </row>
    <row r="149">
      <c r="B149" s="32" t="n"/>
      <c r="C149" s="32" t="n"/>
    </row>
    <row r="150">
      <c r="B150" s="32" t="n"/>
      <c r="C150" s="32" t="n"/>
    </row>
    <row r="151">
      <c r="B151" s="32" t="n"/>
      <c r="C151" s="32" t="n"/>
    </row>
    <row r="152">
      <c r="B152" s="32" t="n"/>
      <c r="C152" s="32" t="n"/>
    </row>
    <row r="153">
      <c r="B153" s="32" t="n"/>
      <c r="C153" s="32" t="n"/>
    </row>
    <row r="154">
      <c r="B154" s="32" t="n"/>
      <c r="C154" s="32" t="n"/>
    </row>
    <row r="155">
      <c r="B155" s="32" t="n"/>
      <c r="C155" s="32" t="n"/>
    </row>
  </sheetData>
  <mergeCells count="7">
    <mergeCell ref="A4:B4"/>
    <mergeCell ref="A2:B2"/>
    <mergeCell ref="A10:B10"/>
    <mergeCell ref="A92:C92"/>
    <mergeCell ref="A1:B1"/>
    <mergeCell ref="A3:B3"/>
    <mergeCell ref="A91:B91"/>
  </mergeCells>
  <conditionalFormatting sqref="A6:J6 L6:O6 Q6:S6">
    <cfRule type="expression" priority="96" dxfId="1" stopIfTrue="1">
      <formula>$A6="end group"</formula>
    </cfRule>
    <cfRule type="expression" priority="95" dxfId="2" stopIfTrue="1">
      <formula>$A6="begin repeat"</formula>
    </cfRule>
    <cfRule type="expression" priority="98" dxfId="1" stopIfTrue="1">
      <formula>$A6="begin group"</formula>
    </cfRule>
  </conditionalFormatting>
  <conditionalFormatting sqref="A6:J6 Q6:S6">
    <cfRule type="expression" priority="75" dxfId="11" stopIfTrue="1">
      <formula>OR($A6="calculate", $A6="calculate_here")</formula>
    </cfRule>
    <cfRule type="expression" priority="77" dxfId="12" stopIfTrue="1">
      <formula>$A6="note"</formula>
    </cfRule>
    <cfRule type="expression" priority="79" dxfId="10" stopIfTrue="1">
      <formula>$A6="barcode"</formula>
    </cfRule>
    <cfRule type="expression" priority="81" dxfId="9" stopIfTrue="1">
      <formula>$A6="geopoint"</formula>
    </cfRule>
    <cfRule type="expression" priority="93" dxfId="2" stopIfTrue="1">
      <formula>$A6="end repeat"</formula>
    </cfRule>
    <cfRule type="expression" priority="92" dxfId="4" stopIfTrue="1">
      <formula>$A6="text"</formula>
    </cfRule>
    <cfRule type="expression" priority="83" dxfId="8" stopIfTrue="1">
      <formula>OR($A6="audio audit", $A6="text audit")</formula>
    </cfRule>
    <cfRule type="expression" priority="90" dxfId="5" stopIfTrue="1">
      <formula>$A6="integer"</formula>
    </cfRule>
    <cfRule type="expression" priority="84" dxfId="0" stopIfTrue="1">
      <formula>OR($A6="phonenumber", $A6="start", $A6="end", $A6="deviceid", $A6="subscriberid", $A6="simserial")</formula>
    </cfRule>
    <cfRule type="expression" priority="88" dxfId="6" stopIfTrue="1">
      <formula>$A6="decimal"</formula>
    </cfRule>
    <cfRule type="expression" priority="86" dxfId="7" stopIfTrue="1">
      <formula>OR(AND(LEFT($A6, 16)="select_multiple ", LEN($A6)&gt;16, NOT(ISNUMBER(SEARCH(" ", $A6, 17)))), AND(LEFT($A6, 11)="select_one ", LEN($A6)&gt;11, NOT(ISNUMBER(SEARCH(" ", $A6, 12)))))</formula>
    </cfRule>
  </conditionalFormatting>
  <conditionalFormatting sqref="A6:J6">
    <cfRule type="expression" priority="73" dxfId="21" stopIfTrue="1">
      <formula>OR($A6="date", $A6="datetime")</formula>
    </cfRule>
    <cfRule type="expression" priority="71" dxfId="22" stopIfTrue="1">
      <formula>$A6="image"</formula>
    </cfRule>
    <cfRule type="expression" priority="69" dxfId="23" stopIfTrue="1">
      <formula>OR($A6="audio", $A6="video")</formula>
    </cfRule>
    <cfRule type="expression" priority="67" dxfId="24" stopIfTrue="1">
      <formula>$A6="comments"</formula>
    </cfRule>
  </conditionalFormatting>
  <conditionalFormatting sqref="B6 H6">
    <cfRule type="expression" priority="82" dxfId="64" stopIfTrue="1">
      <formula>OR($A6="audio audit", $A6="text audit")</formula>
    </cfRule>
  </conditionalFormatting>
  <conditionalFormatting sqref="B6 R6">
    <cfRule type="expression" priority="74" dxfId="63" stopIfTrue="1">
      <formula>OR($A6="calculate", $A6="calculate_here")</formula>
    </cfRule>
  </conditionalFormatting>
  <conditionalFormatting sqref="B6">
    <cfRule type="expression" priority="66" dxfId="62" stopIfTrue="1">
      <formula>$A6="comments"</formula>
    </cfRule>
  </conditionalFormatting>
  <conditionalFormatting sqref="B6:C6 H6 L6">
    <cfRule type="expression" priority="97" dxfId="47" stopIfTrue="1">
      <formula>$A6="begin group"</formula>
    </cfRule>
  </conditionalFormatting>
  <conditionalFormatting sqref="B6:C6 H6">
    <cfRule type="expression" priority="72" dxfId="49" stopIfTrue="1">
      <formula>OR($A6="date", $A6="datetime")</formula>
    </cfRule>
    <cfRule type="expression" priority="70" dxfId="48" stopIfTrue="1">
      <formula>$A6="image"</formula>
    </cfRule>
    <cfRule type="expression" priority="85" dxfId="46" stopIfTrue="1">
      <formula>OR(AND(LEFT($A6, 16)="select_multiple ", LEN($A6)&gt;16, NOT(ISNUMBER(SEARCH(" ", $A6, 17)))), AND(LEFT($A6, 11)="select_one ", LEN($A6)&gt;11, NOT(ISNUMBER(SEARCH(" ", $A6, 12)))))</formula>
    </cfRule>
  </conditionalFormatting>
  <conditionalFormatting sqref="B6:C6 L6 S6">
    <cfRule type="expression" priority="94" dxfId="41" stopIfTrue="1">
      <formula>$A6="begin repeat"</formula>
    </cfRule>
  </conditionalFormatting>
  <conditionalFormatting sqref="B6:C6">
    <cfRule type="expression" priority="68" dxfId="45" stopIfTrue="1">
      <formula>OR($A6="audio", $A6="video")</formula>
    </cfRule>
    <cfRule type="expression" priority="76" dxfId="42" stopIfTrue="1">
      <formula>$A6="note"</formula>
    </cfRule>
    <cfRule type="expression" priority="78" dxfId="43" stopIfTrue="1">
      <formula>$A6="barcode"</formula>
    </cfRule>
    <cfRule type="expression" priority="80" dxfId="44" stopIfTrue="1">
      <formula>$A6="geopoint"</formula>
    </cfRule>
  </conditionalFormatting>
  <conditionalFormatting sqref="B6:F6 H6">
    <cfRule type="expression" priority="91" dxfId="52" stopIfTrue="1">
      <formula>$A6="text"</formula>
    </cfRule>
  </conditionalFormatting>
  <conditionalFormatting sqref="B6:F6 I6:J6">
    <cfRule type="expression" priority="87" dxfId="40" stopIfTrue="1">
      <formula>$A6="decimal"</formula>
    </cfRule>
    <cfRule type="expression" priority="89" dxfId="36" stopIfTrue="1">
      <formula>$A6="integer"</formula>
    </cfRule>
  </conditionalFormatting>
  <conditionalFormatting sqref="D6">
    <cfRule type="expression" priority="41" dxfId="49" stopIfTrue="1">
      <formula>OR($A6="date", $A6="datetime")</formula>
    </cfRule>
    <cfRule type="expression" priority="40" dxfId="48" stopIfTrue="1">
      <formula>$A6="image"</formula>
    </cfRule>
    <cfRule type="expression" priority="47" dxfId="47" stopIfTrue="1">
      <formula>$A6="begin group"</formula>
    </cfRule>
    <cfRule type="expression" priority="45" dxfId="46" stopIfTrue="1">
      <formula>OR(AND(LEFT($A6, 16)="select_multiple ", LEN($A6)&gt;16, NOT(ISNUMBER(SEARCH(" ", $A6, 17)))), AND(LEFT($A6, 11)="select_one ", LEN($A6)&gt;11, NOT(ISNUMBER(SEARCH(" ", $A6, 12)))))</formula>
    </cfRule>
    <cfRule type="expression" priority="39" dxfId="45" stopIfTrue="1">
      <formula>OR($A6="audio", $A6="video")</formula>
    </cfRule>
    <cfRule type="expression" priority="44" dxfId="44" stopIfTrue="1">
      <formula>$A6="geopoint"</formula>
    </cfRule>
    <cfRule type="expression" priority="43" dxfId="43" stopIfTrue="1">
      <formula>$A6="barcode"</formula>
    </cfRule>
    <cfRule type="expression" priority="42" dxfId="42" stopIfTrue="1">
      <formula>$A6="note"</formula>
    </cfRule>
    <cfRule type="expression" priority="46" dxfId="41" stopIfTrue="1">
      <formula>$A6="begin repeat"</formula>
    </cfRule>
  </conditionalFormatting>
  <conditionalFormatting sqref="K6">
    <cfRule type="expression" priority="30" dxfId="40" stopIfTrue="1">
      <formula>$A6="decimal"</formula>
    </cfRule>
    <cfRule type="expression" priority="38" dxfId="1" stopIfTrue="1">
      <formula>$A6="begin group"</formula>
    </cfRule>
    <cfRule type="expression" priority="37" dxfId="1" stopIfTrue="1">
      <formula>$A6="end group"</formula>
    </cfRule>
    <cfRule type="expression" priority="36" dxfId="2" stopIfTrue="1">
      <formula>$A6="begin repeat"</formula>
    </cfRule>
    <cfRule type="expression" priority="32" dxfId="36" stopIfTrue="1">
      <formula>$A6="integer"</formula>
    </cfRule>
  </conditionalFormatting>
  <conditionalFormatting sqref="K6:O6">
    <cfRule type="expression" priority="31" dxfId="6" stopIfTrue="1">
      <formula>$A6="decimal"</formula>
    </cfRule>
    <cfRule type="expression" priority="35" dxfId="2" stopIfTrue="1">
      <formula>$A6="end repeat"</formula>
    </cfRule>
    <cfRule type="expression" priority="34" dxfId="4" stopIfTrue="1">
      <formula>$A6="text"</formula>
    </cfRule>
    <cfRule type="expression" priority="33" dxfId="5" stopIfTrue="1">
      <formula>$A6="integer"</formula>
    </cfRule>
  </conditionalFormatting>
  <conditionalFormatting sqref="K6:P6">
    <cfRule type="expression" priority="11" dxfId="7" stopIfTrue="1">
      <formula>OR(AND(LEFT($A6, 16)="select_multiple ", LEN($A6)&gt;16, NOT(ISNUMBER(SEARCH(" ", $A6, 17)))), AND(LEFT($A6, 11)="select_one ", LEN($A6)&gt;11, NOT(ISNUMBER(SEARCH(" ", $A6, 12)))))</formula>
    </cfRule>
    <cfRule type="expression" priority="10" dxfId="0" stopIfTrue="1">
      <formula>OR($A6="phonenumber", $A6="start", $A6="end", $A6="deviceid", $A6="subscriberid", $A6="simserial")</formula>
    </cfRule>
    <cfRule type="expression" priority="9" dxfId="8" stopIfTrue="1">
      <formula>OR($A6="audio audit", $A6="text audit")</formula>
    </cfRule>
    <cfRule type="expression" priority="8" dxfId="9" stopIfTrue="1">
      <formula>$A6="geopoint"</formula>
    </cfRule>
    <cfRule type="expression" priority="7" dxfId="10" stopIfTrue="1">
      <formula>$A6="barcode"</formula>
    </cfRule>
    <cfRule type="expression" priority="6" dxfId="12" stopIfTrue="1">
      <formula>$A6="note"</formula>
    </cfRule>
    <cfRule type="expression" priority="5" dxfId="11" stopIfTrue="1">
      <formula>OR($A6="calculate", $A6="calculate_here")</formula>
    </cfRule>
  </conditionalFormatting>
  <conditionalFormatting sqref="K6:AD6">
    <cfRule type="expression" priority="1" dxfId="24" stopIfTrue="1">
      <formula>$A6="comments"</formula>
    </cfRule>
    <cfRule type="expression" priority="2" dxfId="23" stopIfTrue="1">
      <formula>OR($A6="audio", $A6="video")</formula>
    </cfRule>
    <cfRule type="expression" priority="3" dxfId="22" stopIfTrue="1">
      <formula>$A6="image"</formula>
    </cfRule>
    <cfRule type="expression" priority="4" dxfId="21" stopIfTrue="1">
      <formula>OR($A6="date", $A6="datetime")</formula>
    </cfRule>
  </conditionalFormatting>
  <conditionalFormatting sqref="P6">
    <cfRule type="expression" priority="18" dxfId="1" stopIfTrue="1">
      <formula>$A6="begin group"</formula>
    </cfRule>
    <cfRule type="expression" priority="12" dxfId="6" stopIfTrue="1">
      <formula>$A6="decimal"</formula>
    </cfRule>
    <cfRule type="expression" priority="13" dxfId="5" stopIfTrue="1">
      <formula>$A6="integer"</formula>
    </cfRule>
    <cfRule type="expression" priority="14" dxfId="4" stopIfTrue="1">
      <formula>$A6="text"</formula>
    </cfRule>
    <cfRule type="expression" priority="15" dxfId="2" stopIfTrue="1">
      <formula>$A6="end repeat"</formula>
    </cfRule>
    <cfRule type="expression" priority="16" dxfId="2" stopIfTrue="1">
      <formula>$A6="begin repeat"</formula>
    </cfRule>
    <cfRule type="expression" priority="17" dxfId="1" stopIfTrue="1">
      <formula>$A6="end group"</formula>
    </cfRule>
  </conditionalFormatting>
  <conditionalFormatting sqref="T6:AD6">
    <cfRule type="expression" priority="65" dxfId="1" stopIfTrue="1">
      <formula>$A6="begin group"</formula>
    </cfRule>
    <cfRule type="expression" priority="53" dxfId="12" stopIfTrue="1">
      <formula>$A6="note"</formula>
    </cfRule>
    <cfRule type="expression" priority="52" dxfId="11" stopIfTrue="1">
      <formula>OR($A6="calculate", $A6="calculate_here")</formula>
    </cfRule>
    <cfRule type="expression" priority="54" dxfId="10" stopIfTrue="1">
      <formula>$A6="barcode"</formula>
    </cfRule>
    <cfRule type="expression" priority="55" dxfId="9" stopIfTrue="1">
      <formula>$A6="geopoint"</formula>
    </cfRule>
    <cfRule type="expression" priority="56" dxfId="8" stopIfTrue="1">
      <formula>OR($A6="audio audit", $A6="text audit")</formula>
    </cfRule>
    <cfRule type="expression" priority="58" dxfId="7" stopIfTrue="1">
      <formula>OR(AND(LEFT($A6, 16)="select_multiple ", LEN($A6)&gt;16, NOT(ISNUMBER(SEARCH(" ", $A6, 17)))), AND(LEFT($A6, 11)="select_one ", LEN($A6)&gt;11, NOT(ISNUMBER(SEARCH(" ", $A6, 12)))))</formula>
    </cfRule>
    <cfRule type="expression" priority="59" dxfId="6" stopIfTrue="1">
      <formula>$A6="decimal"</formula>
    </cfRule>
    <cfRule type="expression" priority="60" dxfId="5" stopIfTrue="1">
      <formula>$A6="integer"</formula>
    </cfRule>
    <cfRule type="expression" priority="61" dxfId="4" stopIfTrue="1">
      <formula>$A6="text"</formula>
    </cfRule>
    <cfRule type="expression" priority="62" dxfId="2" stopIfTrue="1">
      <formula>$A6="end repeat"</formula>
    </cfRule>
    <cfRule type="expression" priority="63" dxfId="2" stopIfTrue="1">
      <formula>$A6="begin repeat"</formula>
    </cfRule>
    <cfRule type="expression" priority="64" dxfId="1" stopIfTrue="1">
      <formula>$A6="end group"</formula>
    </cfRule>
    <cfRule type="expression" priority="57" dxfId="0" stopIfTrue="1">
      <formula>OR($A6="phonenumber", $A6="start", $A6="end", $A6="deviceid", $A6="subscriberid", $A6="simserial")</formula>
    </cfRule>
  </conditionalFormatting>
  <hyperlinks>
    <hyperlink xmlns:r="http://schemas.openxmlformats.org/officeDocument/2006/relationships" ref="A4" display="Click here to learn more about form definitions and field types" r:id="rId1"/>
    <hyperlink xmlns:r="http://schemas.openxmlformats.org/officeDocument/2006/relationships" ref="D8" r:id="rId2"/>
    <hyperlink xmlns:r="http://schemas.openxmlformats.org/officeDocument/2006/relationships" ref="F8" r:id="rId3"/>
    <hyperlink xmlns:r="http://schemas.openxmlformats.org/officeDocument/2006/relationships" ref="G8" r:id="rId4"/>
    <hyperlink xmlns:r="http://schemas.openxmlformats.org/officeDocument/2006/relationships" ref="I8" r:id="rId5"/>
    <hyperlink xmlns:r="http://schemas.openxmlformats.org/officeDocument/2006/relationships" ref="J8" r:id="rId6"/>
    <hyperlink xmlns:r="http://schemas.openxmlformats.org/officeDocument/2006/relationships" ref="L8" r:id="rId7"/>
    <hyperlink xmlns:r="http://schemas.openxmlformats.org/officeDocument/2006/relationships" ref="M8" r:id="rId8"/>
    <hyperlink xmlns:r="http://schemas.openxmlformats.org/officeDocument/2006/relationships" ref="N8" r:id="rId9"/>
    <hyperlink xmlns:r="http://schemas.openxmlformats.org/officeDocument/2006/relationships" ref="O8" r:id="rId10"/>
    <hyperlink xmlns:r="http://schemas.openxmlformats.org/officeDocument/2006/relationships" ref="Q8" r:id="rId11"/>
    <hyperlink xmlns:r="http://schemas.openxmlformats.org/officeDocument/2006/relationships" ref="R8" r:id="rId12"/>
    <hyperlink xmlns:r="http://schemas.openxmlformats.org/officeDocument/2006/relationships" ref="S8" r:id="rId13"/>
    <hyperlink xmlns:r="http://schemas.openxmlformats.org/officeDocument/2006/relationships" ref="T8" r:id="rId14"/>
    <hyperlink xmlns:r="http://schemas.openxmlformats.org/officeDocument/2006/relationships" ref="U8" r:id="rId15"/>
    <hyperlink xmlns:r="http://schemas.openxmlformats.org/officeDocument/2006/relationships" ref="V8" r:id="rId16"/>
    <hyperlink xmlns:r="http://schemas.openxmlformats.org/officeDocument/2006/relationships" ref="W8" r:id="rId17"/>
    <hyperlink xmlns:r="http://schemas.openxmlformats.org/officeDocument/2006/relationships" ref="X8" r:id="rId18"/>
    <hyperlink xmlns:r="http://schemas.openxmlformats.org/officeDocument/2006/relationships" ref="Y8" r:id="rId19"/>
    <hyperlink xmlns:r="http://schemas.openxmlformats.org/officeDocument/2006/relationships" ref="Z8" r:id="rId20"/>
    <hyperlink xmlns:r="http://schemas.openxmlformats.org/officeDocument/2006/relationships" ref="AA8" r:id="rId21"/>
    <hyperlink xmlns:r="http://schemas.openxmlformats.org/officeDocument/2006/relationships" ref="AB8" r:id="rId22"/>
    <hyperlink xmlns:r="http://schemas.openxmlformats.org/officeDocument/2006/relationships" ref="AC8" r:id="rId23"/>
    <hyperlink xmlns:r="http://schemas.openxmlformats.org/officeDocument/2006/relationships" ref="AD8" r:id="rId24"/>
    <hyperlink xmlns:r="http://schemas.openxmlformats.org/officeDocument/2006/relationships" ref="A12" r:id="rId25"/>
    <hyperlink xmlns:r="http://schemas.openxmlformats.org/officeDocument/2006/relationships" ref="A13" r:id="rId26"/>
    <hyperlink xmlns:r="http://schemas.openxmlformats.org/officeDocument/2006/relationships" ref="A14" r:id="rId27"/>
    <hyperlink xmlns:r="http://schemas.openxmlformats.org/officeDocument/2006/relationships" ref="A15" r:id="rId28"/>
    <hyperlink xmlns:r="http://schemas.openxmlformats.org/officeDocument/2006/relationships" ref="A16" display="text" r:id="rId29"/>
    <hyperlink xmlns:r="http://schemas.openxmlformats.org/officeDocument/2006/relationships" ref="A17" display="text" r:id="rId30"/>
    <hyperlink xmlns:r="http://schemas.openxmlformats.org/officeDocument/2006/relationships" ref="A18" r:id="rId31"/>
    <hyperlink xmlns:r="http://schemas.openxmlformats.org/officeDocument/2006/relationships" ref="A19" r:id="rId32"/>
    <hyperlink xmlns:r="http://schemas.openxmlformats.org/officeDocument/2006/relationships" ref="A20" display="select_one listname" r:id="rId33"/>
    <hyperlink xmlns:r="http://schemas.openxmlformats.org/officeDocument/2006/relationships" ref="A21" display="select_one listname" r:id="rId34"/>
    <hyperlink xmlns:r="http://schemas.openxmlformats.org/officeDocument/2006/relationships" ref="A22" display="select_one listname" r:id="rId35"/>
    <hyperlink xmlns:r="http://schemas.openxmlformats.org/officeDocument/2006/relationships" ref="A23" display="select_one listname" r:id="rId36"/>
    <hyperlink xmlns:r="http://schemas.openxmlformats.org/officeDocument/2006/relationships" ref="A24" display="select_one listname" r:id="rId37"/>
    <hyperlink xmlns:r="http://schemas.openxmlformats.org/officeDocument/2006/relationships" ref="A25" display="select_one listname" r:id="rId38"/>
    <hyperlink xmlns:r="http://schemas.openxmlformats.org/officeDocument/2006/relationships" ref="A26" display="select_one listname" r:id="rId39"/>
    <hyperlink xmlns:r="http://schemas.openxmlformats.org/officeDocument/2006/relationships" ref="A27" display="select_one listname" r:id="rId40"/>
    <hyperlink xmlns:r="http://schemas.openxmlformats.org/officeDocument/2006/relationships" ref="A28" display="select_one listname" r:id="rId41"/>
    <hyperlink xmlns:r="http://schemas.openxmlformats.org/officeDocument/2006/relationships" ref="A29" display="select_one listname" r:id="rId42"/>
    <hyperlink xmlns:r="http://schemas.openxmlformats.org/officeDocument/2006/relationships" ref="A30" display="select_one listname" r:id="rId43"/>
    <hyperlink xmlns:r="http://schemas.openxmlformats.org/officeDocument/2006/relationships" ref="A31" display="select_one listname" r:id="rId44"/>
    <hyperlink xmlns:r="http://schemas.openxmlformats.org/officeDocument/2006/relationships" ref="A32" display="select_one listname" r:id="rId45"/>
    <hyperlink xmlns:r="http://schemas.openxmlformats.org/officeDocument/2006/relationships" ref="A33" display="select_one listname" r:id="rId46"/>
    <hyperlink xmlns:r="http://schemas.openxmlformats.org/officeDocument/2006/relationships" ref="A34" display="select_one listname" r:id="rId47"/>
    <hyperlink xmlns:r="http://schemas.openxmlformats.org/officeDocument/2006/relationships" ref="A35" display="select_multiple listname" r:id="rId48"/>
    <hyperlink xmlns:r="http://schemas.openxmlformats.org/officeDocument/2006/relationships" ref="A36" display="select_multiple listname" r:id="rId49"/>
    <hyperlink xmlns:r="http://schemas.openxmlformats.org/officeDocument/2006/relationships" ref="A37" display="select_multiple listname" r:id="rId50"/>
    <hyperlink xmlns:r="http://schemas.openxmlformats.org/officeDocument/2006/relationships" ref="A38" display="select_multiple listname" r:id="rId51"/>
    <hyperlink xmlns:r="http://schemas.openxmlformats.org/officeDocument/2006/relationships" ref="A39" display="select_multiple listname" r:id="rId52"/>
    <hyperlink xmlns:r="http://schemas.openxmlformats.org/officeDocument/2006/relationships" ref="A40" display="select_multiple listname" r:id="rId53"/>
    <hyperlink xmlns:r="http://schemas.openxmlformats.org/officeDocument/2006/relationships" ref="A41" display="select_multiple listname" r:id="rId54"/>
    <hyperlink xmlns:r="http://schemas.openxmlformats.org/officeDocument/2006/relationships" ref="A42" display="select_multiple listname" r:id="rId55"/>
    <hyperlink xmlns:r="http://schemas.openxmlformats.org/officeDocument/2006/relationships" ref="A43" display="select_multiple listname" r:id="rId56"/>
    <hyperlink xmlns:r="http://schemas.openxmlformats.org/officeDocument/2006/relationships" ref="A44" r:id="rId57"/>
    <hyperlink xmlns:r="http://schemas.openxmlformats.org/officeDocument/2006/relationships" ref="A45" r:id="rId58"/>
    <hyperlink xmlns:r="http://schemas.openxmlformats.org/officeDocument/2006/relationships" ref="A46" r:id="rId59"/>
    <hyperlink xmlns:r="http://schemas.openxmlformats.org/officeDocument/2006/relationships" ref="A47" r:id="rId60"/>
    <hyperlink xmlns:r="http://schemas.openxmlformats.org/officeDocument/2006/relationships" ref="A48" display="date" r:id="rId61"/>
    <hyperlink xmlns:r="http://schemas.openxmlformats.org/officeDocument/2006/relationships" ref="A49" display="date" r:id="rId62"/>
    <hyperlink xmlns:r="http://schemas.openxmlformats.org/officeDocument/2006/relationships" ref="A50" display="date" r:id="rId63"/>
    <hyperlink xmlns:r="http://schemas.openxmlformats.org/officeDocument/2006/relationships" ref="A51" display="date" r:id="rId64"/>
    <hyperlink xmlns:r="http://schemas.openxmlformats.org/officeDocument/2006/relationships" ref="A52" display="date" r:id="rId65"/>
    <hyperlink xmlns:r="http://schemas.openxmlformats.org/officeDocument/2006/relationships" ref="A53" display="image" r:id="rId66"/>
    <hyperlink xmlns:r="http://schemas.openxmlformats.org/officeDocument/2006/relationships" ref="A54" display="image" r:id="rId67"/>
    <hyperlink xmlns:r="http://schemas.openxmlformats.org/officeDocument/2006/relationships" ref="A55" display="image" r:id="rId68"/>
    <hyperlink xmlns:r="http://schemas.openxmlformats.org/officeDocument/2006/relationships" ref="A56" display="image" r:id="rId69"/>
    <hyperlink xmlns:r="http://schemas.openxmlformats.org/officeDocument/2006/relationships" ref="A57" r:id="rId70"/>
    <hyperlink xmlns:r="http://schemas.openxmlformats.org/officeDocument/2006/relationships" ref="A58" r:id="rId71"/>
    <hyperlink xmlns:r="http://schemas.openxmlformats.org/officeDocument/2006/relationships" ref="A59" r:id="rId72"/>
    <hyperlink xmlns:r="http://schemas.openxmlformats.org/officeDocument/2006/relationships" ref="A60" r:id="rId73"/>
    <hyperlink xmlns:r="http://schemas.openxmlformats.org/officeDocument/2006/relationships" ref="A61" r:id="rId74"/>
    <hyperlink xmlns:r="http://schemas.openxmlformats.org/officeDocument/2006/relationships" ref="A62" r:id="rId75"/>
    <hyperlink xmlns:r="http://schemas.openxmlformats.org/officeDocument/2006/relationships" ref="A63" r:id="rId76"/>
    <hyperlink xmlns:r="http://schemas.openxmlformats.org/officeDocument/2006/relationships" ref="A64" r:id="rId77"/>
    <hyperlink xmlns:r="http://schemas.openxmlformats.org/officeDocument/2006/relationships" ref="A65" r:id="rId78"/>
    <hyperlink xmlns:r="http://schemas.openxmlformats.org/officeDocument/2006/relationships" ref="A66" r:id="rId79"/>
    <hyperlink xmlns:r="http://schemas.openxmlformats.org/officeDocument/2006/relationships" ref="A67" r:id="rId80"/>
    <hyperlink xmlns:r="http://schemas.openxmlformats.org/officeDocument/2006/relationships" ref="A68" r:id="rId81"/>
    <hyperlink xmlns:r="http://schemas.openxmlformats.org/officeDocument/2006/relationships" ref="A69" display="calculate" r:id="rId82"/>
    <hyperlink xmlns:r="http://schemas.openxmlformats.org/officeDocument/2006/relationships" ref="A70" display="calculate" r:id="rId83"/>
    <hyperlink xmlns:r="http://schemas.openxmlformats.org/officeDocument/2006/relationships" ref="A71" r:id="rId84"/>
    <hyperlink xmlns:r="http://schemas.openxmlformats.org/officeDocument/2006/relationships" ref="A73" display="audio audit" r:id="rId85"/>
    <hyperlink xmlns:r="http://schemas.openxmlformats.org/officeDocument/2006/relationships" ref="A74" display="audio audit" r:id="rId86"/>
    <hyperlink xmlns:r="http://schemas.openxmlformats.org/officeDocument/2006/relationships" ref="A75" display="audio audit" r:id="rId87"/>
    <hyperlink xmlns:r="http://schemas.openxmlformats.org/officeDocument/2006/relationships" ref="A76" r:id="rId88"/>
    <hyperlink xmlns:r="http://schemas.openxmlformats.org/officeDocument/2006/relationships" ref="A79" r:id="rId89"/>
    <hyperlink xmlns:r="http://schemas.openxmlformats.org/officeDocument/2006/relationships" ref="A82" r:id="rId90"/>
    <hyperlink xmlns:r="http://schemas.openxmlformats.org/officeDocument/2006/relationships" ref="A85" display="speed violations count" r:id="rId91"/>
    <hyperlink xmlns:r="http://schemas.openxmlformats.org/officeDocument/2006/relationships" ref="A86" display="speed violations count" r:id="rId92"/>
    <hyperlink xmlns:r="http://schemas.openxmlformats.org/officeDocument/2006/relationships" ref="A87" display="speed violations count" r:id="rId93"/>
    <hyperlink xmlns:r="http://schemas.openxmlformats.org/officeDocument/2006/relationships" ref="A88" r:id="rId94"/>
    <hyperlink xmlns:r="http://schemas.openxmlformats.org/officeDocument/2006/relationships" ref="A89" r:id="rId95"/>
    <hyperlink xmlns:r="http://schemas.openxmlformats.org/officeDocument/2006/relationships" ref="A92" display="Learn about available expressions in &quot;Using expressions in your forms: a reference for all operators and functions&quot;." r:id="rId96"/>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sheetPr>
    <outlinePr summaryBelow="1" summaryRight="1"/>
    <pageSetUpPr/>
  </sheetPr>
  <dimension ref="A1:H10"/>
  <sheetViews>
    <sheetView workbookViewId="0">
      <selection activeCell="A1" sqref="A1:B1"/>
    </sheetView>
  </sheetViews>
  <sheetFormatPr baseColWidth="10" defaultColWidth="11.1640625" defaultRowHeight="16"/>
  <cols>
    <col width="36" customWidth="1" min="1" max="7"/>
  </cols>
  <sheetData>
    <row r="1" ht="16" customHeight="1">
      <c r="A1" s="154" t="inlineStr">
        <is>
          <t>The choices worksheet</t>
        </is>
      </c>
      <c r="B1" s="155" t="n"/>
    </row>
    <row r="2" ht="18" customHeight="1">
      <c r="A2" s="37" t="n"/>
      <c r="B2" s="38" t="n"/>
    </row>
    <row r="3" ht="36" customHeight="1">
      <c r="A3" s="158" t="inlineStr">
        <is>
          <t>This worksheet is for the configuration of multiple-choice response options. These are stored in choice lists which are used with select_one and select_multiple type fields.</t>
        </is>
      </c>
      <c r="B3" s="157" t="n"/>
    </row>
    <row r="4" ht="19" customHeight="1">
      <c r="A4" s="165" t="inlineStr">
        <is>
          <t>Read about the select_one field type for more information</t>
        </is>
      </c>
      <c r="B4" s="157" t="n"/>
    </row>
    <row r="5" ht="19" customHeight="1">
      <c r="A5" s="165" t="inlineStr">
        <is>
          <t>Read about the select_multiple field type for more information</t>
        </is>
      </c>
      <c r="B5" s="157" t="n"/>
    </row>
    <row r="6" ht="20" customHeight="1">
      <c r="A6" s="159" t="inlineStr">
        <is>
          <t>Read about dynamically loading choice lists from external pre-loaded data</t>
        </is>
      </c>
      <c r="B6" s="160" t="n"/>
    </row>
    <row r="8" ht="18" customFormat="1" customHeight="1" s="3">
      <c r="A8" s="5" t="inlineStr">
        <is>
          <t>list_name</t>
        </is>
      </c>
      <c r="B8" s="5" t="inlineStr">
        <is>
          <t>value</t>
        </is>
      </c>
      <c r="C8" s="28" t="inlineStr">
        <is>
          <t>label</t>
        </is>
      </c>
      <c r="D8" s="28" t="inlineStr">
        <is>
          <t>label:languagename</t>
        </is>
      </c>
      <c r="E8" s="5" t="inlineStr">
        <is>
          <t>image</t>
        </is>
      </c>
      <c r="F8" s="5" t="inlineStr">
        <is>
          <t>image:languagename</t>
        </is>
      </c>
      <c r="G8" s="5" t="inlineStr">
        <is>
          <t>filter</t>
        </is>
      </c>
    </row>
    <row r="9" ht="272" customFormat="1" customHeight="1" s="54">
      <c r="A9" s="53" t="inlineStr">
        <is>
          <t>This column specifies the name of a multiple-choice question type (without any spaces or punctuation). A given list of options will involve multiple rows, each with the same list_name. Example: yesno</t>
        </is>
      </c>
      <c r="B9" s="53" t="inlineStr">
        <is>
          <t>This column specifies the internal value stored for a given choice. (It should really be called "value" rather than "name".) Example: 1
If dynamically loading from a pre-loaded .csv file, this should instead be the .csv column name from which to load option values.</t>
        </is>
      </c>
      <c r="C9" s="53" t="inlineStr">
        <is>
          <t>This column specifies the label to use for a given choice, in the form's default language. Example: Yes
If dynamically loading from a pre-loaded .csv file, this should instead be the .csv column name -- or comma-separated list of column names -- from which to load option labels for the default language.</t>
        </is>
      </c>
      <c r="D9" s="53" t="inlineStr">
        <is>
          <t>Any label:languagename column (e.g., label:tamil) may be added in order to provide labels in an alternative language.
View the help topic below for more details.</t>
        </is>
      </c>
      <c r="E9" s="53" t="inlineStr">
        <is>
          <t>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paddy.png
If dynamically loading from a pre-loaded .csv file, this should instead be the .csv column name from which to load image filenames.
View the help topic below for more details.</t>
        </is>
      </c>
      <c r="F9" s="53" t="inlineStr">
        <is>
          <t>Any label:languagename column (e.g., label:tamil) may be added in order to provide images in an alternative language.</t>
        </is>
      </c>
      <c r="G9" s="53" t="inlineStr">
        <is>
          <t>To filter the list of options displayed, a filter value can be specified here, along with a filter expression in the choice_filter column of the survey worksheet. For example, you might have filter values like LAC and a choice_filter like filter=${survey_region}. For more details, see the following help topic: How can I filter the list of multiple-choice options presented to users?</t>
        </is>
      </c>
      <c r="H9" s="53" t="n"/>
    </row>
    <row r="10" ht="34" customFormat="1" customHeight="1" s="59">
      <c r="D10" s="60" t="inlineStr">
        <is>
          <t>Help topic: Form languages</t>
        </is>
      </c>
      <c r="E10" s="61" t="inlineStr">
        <is>
          <t>Help topic: Images: Adding pictures and other graphics</t>
        </is>
      </c>
      <c r="G10" s="61" t="inlineStr">
        <is>
          <t>Help topic: Dynamically filtering lists of multiple-choice options</t>
        </is>
      </c>
    </row>
  </sheetData>
  <mergeCells count="5">
    <mergeCell ref="A4:B4"/>
    <mergeCell ref="A5:B5"/>
    <mergeCell ref="A1:B1"/>
    <mergeCell ref="A3:B3"/>
    <mergeCell ref="A6:B6"/>
  </mergeCells>
  <hyperlinks>
    <hyperlink xmlns:r="http://schemas.openxmlformats.org/officeDocument/2006/relationships" ref="A4" display="Read about the select_one field type for more information." r:id="rId1"/>
    <hyperlink xmlns:r="http://schemas.openxmlformats.org/officeDocument/2006/relationships" ref="A5" display="Read about the select_multiple field type for more information." r:id="rId2"/>
    <hyperlink xmlns:r="http://schemas.openxmlformats.org/officeDocument/2006/relationships" ref="A6" display="Read about dynamically loading choice lists from external pre-loaded data." r:id="rId3"/>
    <hyperlink xmlns:r="http://schemas.openxmlformats.org/officeDocument/2006/relationships" ref="D10" r:id="rId4"/>
    <hyperlink xmlns:r="http://schemas.openxmlformats.org/officeDocument/2006/relationships" ref="E10" r:id="rId5"/>
    <hyperlink xmlns:r="http://schemas.openxmlformats.org/officeDocument/2006/relationships" ref="G10" r:id="rId6"/>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sheetPr>
    <outlinePr summaryBelow="1" summaryRight="1"/>
    <pageSetUpPr/>
  </sheetPr>
  <dimension ref="A1:H8"/>
  <sheetViews>
    <sheetView topLeftCell="A6" workbookViewId="0">
      <selection activeCell="A1" sqref="A1:B1"/>
    </sheetView>
  </sheetViews>
  <sheetFormatPr baseColWidth="10" defaultColWidth="11.1640625" defaultRowHeight="16"/>
  <cols>
    <col width="36" customWidth="1" min="1" max="6"/>
  </cols>
  <sheetData>
    <row r="1">
      <c r="A1" s="166" t="inlineStr">
        <is>
          <t>The settings worksheet</t>
        </is>
      </c>
      <c r="B1" s="167" t="n"/>
      <c r="C1" s="29" t="n"/>
      <c r="D1" s="29" t="n"/>
      <c r="E1" s="29" t="n"/>
      <c r="F1" s="29" t="n"/>
    </row>
    <row r="2">
      <c r="A2" s="168" t="n"/>
      <c r="B2" s="169" t="n"/>
      <c r="C2" s="29" t="n"/>
      <c r="D2" s="29" t="n"/>
      <c r="E2" s="29" t="n"/>
      <c r="F2" s="29" t="n"/>
    </row>
    <row r="3" ht="55" customHeight="1">
      <c r="A3" s="170" t="inlineStr">
        <is>
          <t>This worksheet contains overall settings for your form, all specified in the second row of the worksheet. When you download a form template from your SurveyCTO server, these settings will be pre-filled for you.</t>
        </is>
      </c>
      <c r="B3" s="171" t="n"/>
      <c r="C3" s="29" t="n"/>
      <c r="D3" s="29" t="n"/>
      <c r="E3" s="29" t="n"/>
      <c r="F3" s="29" t="n"/>
    </row>
    <row r="4">
      <c r="A4" s="29" t="n"/>
      <c r="B4" s="29" t="n"/>
      <c r="C4" s="29" t="n"/>
      <c r="D4" s="29" t="n"/>
      <c r="E4" s="29" t="n"/>
      <c r="F4" s="29" t="n"/>
    </row>
    <row r="5" ht="18" customFormat="1" customHeight="1" s="42">
      <c r="A5" s="40" t="inlineStr">
        <is>
          <t>form_title</t>
        </is>
      </c>
      <c r="B5" s="40" t="inlineStr">
        <is>
          <t>form_id</t>
        </is>
      </c>
      <c r="C5" s="40" t="inlineStr">
        <is>
          <t>version</t>
        </is>
      </c>
      <c r="D5" s="40" t="inlineStr">
        <is>
          <t>public_key</t>
        </is>
      </c>
      <c r="E5" s="40" t="inlineStr">
        <is>
          <t>submission_url</t>
        </is>
      </c>
      <c r="F5" s="41" t="inlineStr">
        <is>
          <t>default_language</t>
        </is>
      </c>
      <c r="H5" s="43" t="n"/>
    </row>
    <row r="6" ht="388" customFormat="1" customHeight="1" s="45">
      <c r="A6" s="44" t="inlineStr">
        <is>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is>
      </c>
      <c r="B6" s="44" t="inlineStr">
        <is>
          <t>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hhlisting_round1</t>
        </is>
      </c>
      <c r="C6" s="44" t="inlineStr">
        <is>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is>
      </c>
      <c r="D6" s="44" t="inlineStr">
        <is>
          <t>This is the public key with which to encrypt all form submissions.
View the help topic below for more details.</t>
        </is>
      </c>
      <c r="E6" s="44" t="inlineStr">
        <is>
          <t>This is the submission URL to use when submitting encrypted forms.
View the help topic below for more details.</t>
        </is>
      </c>
      <c r="F6" s="44" t="inlineStr">
        <is>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is>
      </c>
    </row>
    <row r="7" ht="34" customFormat="1" customHeight="1" s="45">
      <c r="A7" s="55" t="inlineStr">
        <is>
          <t>Help topic: Hiding forms during testing</t>
        </is>
      </c>
      <c r="B7" s="56" t="n"/>
      <c r="C7" s="55" t="inlineStr">
        <is>
          <t>Help topic: Updating an existing form</t>
        </is>
      </c>
      <c r="D7" s="55" t="inlineStr">
        <is>
          <t>Help topic: Encrypting form data (end-to-end encryption)</t>
        </is>
      </c>
      <c r="E7" s="55" t="inlineStr">
        <is>
          <t>Help topic: Encrypting form data (end-to-end encryption)</t>
        </is>
      </c>
      <c r="F7" s="55" t="inlineStr">
        <is>
          <t>Help topic: Form languages</t>
        </is>
      </c>
    </row>
    <row r="8">
      <c r="A8" s="12" t="n"/>
      <c r="B8" s="12" t="n"/>
      <c r="C8" s="12" t="n"/>
      <c r="D8" s="12" t="n"/>
      <c r="E8" s="12" t="n"/>
      <c r="F8" s="12" t="n"/>
    </row>
  </sheetData>
  <mergeCells count="3">
    <mergeCell ref="A3:B3"/>
    <mergeCell ref="A2:B2"/>
    <mergeCell ref="A1:B1"/>
  </mergeCells>
  <hyperlinks>
    <hyperlink xmlns:r="http://schemas.openxmlformats.org/officeDocument/2006/relationships" ref="A7" r:id="rId1"/>
    <hyperlink xmlns:r="http://schemas.openxmlformats.org/officeDocument/2006/relationships" ref="C7" r:id="rId2"/>
    <hyperlink xmlns:r="http://schemas.openxmlformats.org/officeDocument/2006/relationships" ref="D7" r:id="rId3"/>
    <hyperlink xmlns:r="http://schemas.openxmlformats.org/officeDocument/2006/relationships" ref="E7" r:id="rId4"/>
    <hyperlink xmlns:r="http://schemas.openxmlformats.org/officeDocument/2006/relationships" ref="F7" r:id="rId5"/>
  </hyperlink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Andrew Marder</dc:creator>
  <dcterms:created xmlns:dcterms="http://purl.org/dc/terms/" xmlns:xsi="http://www.w3.org/2001/XMLSchema-instance" xsi:type="dcterms:W3CDTF">2011-04-25T12:27:36Z</dcterms:created>
  <dcterms:modified xmlns:dcterms="http://purl.org/dc/terms/" xmlns:xsi="http://www.w3.org/2001/XMLSchema-instance" xsi:type="dcterms:W3CDTF">2026-09-07T10:08:01Z</dcterms:modified>
  <cp:lastModifiedBy>Sophie  Ochmann</cp:lastModifiedBy>
  <cp:revision>69</cp:revision>
  <cp:lastPrinted>1601-01-01T00:00:00Z</cp:lastPrinted>
</cp:coreProperties>
</file>