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740" tabRatio="534"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help-survey" sheetId="4" state="visible" r:id="rId4"/>
    <sheet xmlns:r="http://schemas.openxmlformats.org/officeDocument/2006/relationships" name="help-choices" sheetId="5" state="visible" r:id="rId5"/>
    <sheet xmlns:r="http://schemas.openxmlformats.org/officeDocument/2006/relationships" name="help-settings" sheetId="6" state="visible" r:id="rId6"/>
  </sheets>
  <definedNames/>
  <calcPr calcId="191029" fullCalcOnLoad="1"/>
</workbook>
</file>

<file path=xl/styles.xml><?xml version="1.0" encoding="utf-8"?>
<styleSheet xmlns="http://schemas.openxmlformats.org/spreadsheetml/2006/main">
  <numFmts count="0"/>
  <fonts count="22">
    <font>
      <name val="Calibri"/>
      <family val="2"/>
      <color indexed="8"/>
      <sz val="12"/>
    </font>
    <font>
      <name val="Verdana"/>
      <family val="2"/>
      <sz val="8"/>
    </font>
    <font>
      <name val="Calibri"/>
      <family val="2"/>
      <color indexed="12"/>
      <sz val="12"/>
      <u val="single"/>
    </font>
    <font>
      <name val="Calibri"/>
      <family val="2"/>
      <color indexed="8"/>
      <sz val="12"/>
    </font>
    <font>
      <name val="Calibri"/>
      <charset val="129"/>
      <family val="2"/>
      <color theme="1"/>
      <sz val="12"/>
      <scheme val="minor"/>
    </font>
    <font>
      <name val="Calibri"/>
      <family val="2"/>
      <color indexed="8"/>
      <sz val="12"/>
      <scheme val="minor"/>
    </font>
    <font>
      <name val="Calibri"/>
      <family val="2"/>
      <b val="1"/>
      <color indexed="8"/>
      <sz val="12"/>
      <scheme val="minor"/>
    </font>
    <font>
      <name val="Calibri"/>
      <family val="2"/>
      <b val="1"/>
      <sz val="12"/>
      <scheme val="minor"/>
    </font>
    <font>
      <name val="Calibri"/>
      <family val="2"/>
      <color theme="11"/>
      <sz val="12"/>
      <u val="single"/>
    </font>
    <font>
      <name val="Calibri"/>
      <family val="2"/>
      <b val="1"/>
      <color indexed="8"/>
      <sz val="12"/>
    </font>
    <font>
      <name val="Calibri"/>
      <family val="2"/>
      <b val="1"/>
      <color indexed="8"/>
      <sz val="12"/>
      <u val="single"/>
    </font>
    <font>
      <name val="Calibri"/>
      <family val="2"/>
      <i val="1"/>
      <color indexed="8"/>
      <sz val="12"/>
    </font>
    <font>
      <name val="Calibri"/>
      <family val="2"/>
      <b val="1"/>
      <color rgb="FF000000"/>
      <sz val="12"/>
      <u val="single"/>
    </font>
    <font>
      <name val="Calibri"/>
      <family val="2"/>
      <color indexed="8"/>
      <sz val="12"/>
      <u val="single"/>
    </font>
    <font>
      <name val="Calibri"/>
      <family val="2"/>
      <b val="1"/>
      <color rgb="FF333333"/>
      <sz val="12"/>
      <scheme val="minor"/>
    </font>
    <font>
      <name val="Calibri"/>
      <family val="2"/>
      <color rgb="FF333333"/>
      <sz val="12"/>
      <scheme val="minor"/>
    </font>
    <font>
      <name val="Calibri"/>
      <family val="2"/>
      <color rgb="FF000000"/>
      <sz val="12"/>
    </font>
    <font>
      <name val="Calibri"/>
      <family val="2"/>
      <i val="1"/>
      <color indexed="12"/>
      <sz val="12"/>
      <u val="single"/>
    </font>
    <font>
      <name val="Calibri"/>
      <family val="2"/>
      <i val="1"/>
      <color rgb="FF000000"/>
      <sz val="12"/>
    </font>
    <font>
      <name val="Calibri"/>
      <family val="2"/>
      <b val="1"/>
      <color rgb="FF000000"/>
      <sz val="12"/>
    </font>
    <font>
      <name val="Calibri"/>
      <b val="1"/>
      <color rgb="00FFFFFF"/>
      <sz val="11"/>
    </font>
    <font>
      <name val="Calibri"/>
      <sz val="11"/>
    </font>
  </fonts>
  <fills count="11">
    <fill>
      <patternFill/>
    </fill>
    <fill>
      <patternFill patternType="gray125"/>
    </fill>
    <fill>
      <patternFill patternType="solid">
        <fgColor theme="0" tint="-0.149998474074526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rgb="FFDAEEF3"/>
        <bgColor rgb="FF000000"/>
      </patternFill>
    </fill>
    <fill>
      <patternFill patternType="solid">
        <fgColor theme="9" tint="0.7999816888943144"/>
        <bgColor indexed="64"/>
      </patternFill>
    </fill>
    <fill>
      <patternFill patternType="solid">
        <fgColor rgb="FFFDE9D9"/>
        <bgColor rgb="FF000000"/>
      </patternFill>
    </fill>
    <fill>
      <patternFill patternType="solid">
        <fgColor rgb="FFE7D480"/>
        <bgColor rgb="FF000000"/>
      </patternFill>
    </fill>
    <fill>
      <patternFill patternType="solid">
        <fgColor rgb="FFFABF8F"/>
        <bgColor rgb="FF000000"/>
      </patternFill>
    </fill>
    <fill>
      <patternFill patternType="solid">
        <fgColor rgb="004472C4"/>
      </patternFill>
    </fill>
  </fills>
  <borders count="4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indexed="64"/>
      </bottom>
      <diagonal/>
    </border>
    <border>
      <left/>
      <right/>
      <top/>
      <bottom style="thin">
        <color indexed="64"/>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style="thin">
        <color theme="0" tint="-0.249977111117893"/>
      </top>
      <bottom style="thin">
        <color rgb="FF808080"/>
      </bottom>
      <diagonal/>
    </border>
    <border>
      <left/>
      <right/>
      <top/>
      <bottom style="thin">
        <color rgb="FF808080"/>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4">
    <xf numFmtId="0" fontId="3" fillId="0" borderId="0"/>
    <xf numFmtId="0" fontId="2" fillId="0" borderId="0" applyAlignment="1" applyProtection="1">
      <alignment vertical="top"/>
      <protection locked="0" hidden="0"/>
    </xf>
    <xf numFmtId="0" fontId="4" fillId="0" borderId="0"/>
    <xf numFmtId="0" fontId="8" fillId="0" borderId="0"/>
  </cellStyleXfs>
  <cellXfs count="164">
    <xf numFmtId="0" fontId="0" fillId="0" borderId="0" pivotButton="0" quotePrefix="0" xfId="0"/>
    <xf numFmtId="0" fontId="3" fillId="0" borderId="0" pivotButton="0" quotePrefix="0" xfId="0"/>
    <xf numFmtId="0" fontId="5" fillId="0" borderId="0" pivotButton="0" quotePrefix="0" xfId="0"/>
    <xf numFmtId="0" fontId="6" fillId="2" borderId="0" pivotButton="0" quotePrefix="0" xfId="0"/>
    <xf numFmtId="0" fontId="6" fillId="2" borderId="0" applyAlignment="1" pivotButton="0" quotePrefix="0" xfId="0">
      <alignment wrapText="1"/>
    </xf>
    <xf numFmtId="0" fontId="6" fillId="2" borderId="2" pivotButton="0" quotePrefix="0" xfId="0"/>
    <xf numFmtId="49" fontId="6" fillId="2" borderId="2" applyAlignment="1" pivotButton="0" quotePrefix="0" xfId="0">
      <alignment wrapText="1"/>
    </xf>
    <xf numFmtId="0" fontId="7" fillId="2" borderId="2" applyAlignment="1" pivotButton="0" quotePrefix="0" xfId="0">
      <alignment wrapText="1"/>
    </xf>
    <xf numFmtId="0" fontId="3" fillId="0" borderId="2" pivotButton="0" quotePrefix="0" xfId="0"/>
    <xf numFmtId="0" fontId="0" fillId="0" borderId="2" pivotButton="0" quotePrefix="0" xfId="0"/>
    <xf numFmtId="0" fontId="4" fillId="0" borderId="2" pivotButton="0" quotePrefix="0" xfId="2"/>
    <xf numFmtId="0" fontId="2" fillId="0" borderId="2" pivotButton="0" quotePrefix="0" xfId="1"/>
    <xf numFmtId="49" fontId="0" fillId="0" borderId="0" applyAlignment="1" pivotButton="0" quotePrefix="0" xfId="0">
      <alignment horizontal="left" vertical="center" wrapText="1"/>
    </xf>
    <xf numFmtId="0" fontId="0" fillId="0" borderId="0" applyAlignment="1" pivotButton="0" quotePrefix="0" xfId="0">
      <alignment wrapText="1"/>
    </xf>
    <xf numFmtId="0" fontId="14" fillId="3" borderId="1" applyAlignment="1" pivotButton="0" quotePrefix="0" xfId="0">
      <alignment horizontal="center"/>
    </xf>
    <xf numFmtId="0" fontId="15" fillId="3" borderId="1" applyAlignment="1" pivotButton="0" quotePrefix="0" xfId="0">
      <alignment horizontal="center"/>
    </xf>
    <xf numFmtId="16" fontId="15" fillId="3" borderId="1" applyAlignment="1" pivotButton="0" quotePrefix="0" xfId="0">
      <alignment horizontal="center"/>
    </xf>
    <xf numFmtId="0" fontId="0" fillId="3" borderId="1" pivotButton="0" quotePrefix="0" xfId="0"/>
    <xf numFmtId="0" fontId="0" fillId="3" borderId="1" applyAlignment="1" pivotButton="0" quotePrefix="0" xfId="0">
      <alignment wrapText="1"/>
    </xf>
    <xf numFmtId="0" fontId="15"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center" wrapText="1"/>
    </xf>
    <xf numFmtId="0" fontId="0" fillId="6" borderId="1" applyAlignment="1" pivotButton="0" quotePrefix="0" xfId="0">
      <alignment wrapText="1"/>
    </xf>
    <xf numFmtId="0" fontId="0" fillId="6" borderId="1" pivotButton="0" quotePrefix="0" xfId="0"/>
    <xf numFmtId="0" fontId="0" fillId="6" borderId="0" pivotButton="0" quotePrefix="0" xfId="0"/>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1" applyAlignment="1" pivotButton="0" quotePrefix="0" xfId="0">
      <alignment horizontal="center" vertical="top"/>
    </xf>
    <xf numFmtId="0" fontId="6" fillId="2" borderId="2" applyAlignment="1" pivotButton="0" quotePrefix="0" xfId="0">
      <alignment wrapText="1"/>
    </xf>
    <xf numFmtId="0" fontId="0" fillId="0" borderId="0" applyAlignment="1" pivotButton="0" quotePrefix="0" xfId="0">
      <alignment horizontal="left" vertical="center" wrapText="1"/>
    </xf>
    <xf numFmtId="0" fontId="16" fillId="7" borderId="9" applyAlignment="1" pivotButton="0" quotePrefix="0" xfId="0">
      <alignment horizontal="left" vertical="top" wrapText="1"/>
    </xf>
    <xf numFmtId="0" fontId="15" fillId="3" borderId="1" applyAlignment="1" pivotButton="0" quotePrefix="0" xfId="0">
      <alignment horizontal="center" wrapText="1"/>
    </xf>
    <xf numFmtId="0" fontId="0" fillId="0" borderId="0" applyAlignment="1" pivotButton="0" quotePrefix="0" xfId="0">
      <alignment horizontal="center" wrapText="1"/>
    </xf>
    <xf numFmtId="0" fontId="0" fillId="3" borderId="11" pivotButton="0" quotePrefix="0" xfId="0"/>
    <xf numFmtId="0" fontId="0" fillId="3" borderId="11" applyAlignment="1" pivotButton="0" quotePrefix="0" xfId="0">
      <alignment horizontal="center" wrapText="1"/>
    </xf>
    <xf numFmtId="0" fontId="0" fillId="3" borderId="12" applyAlignment="1" pivotButton="0" quotePrefix="0" xfId="0">
      <alignment wrapText="1"/>
    </xf>
    <xf numFmtId="0" fontId="0" fillId="3" borderId="12" pivotButton="0" quotePrefix="0" xfId="0"/>
    <xf numFmtId="0" fontId="12" fillId="5" borderId="15" applyAlignment="1" pivotButton="0" quotePrefix="0" xfId="0">
      <alignment horizontal="left" vertical="center" wrapText="1"/>
    </xf>
    <xf numFmtId="0" fontId="12" fillId="5" borderId="10" applyAlignment="1" pivotButton="0" quotePrefix="0" xfId="0">
      <alignment horizontal="left" vertical="center" wrapText="1"/>
    </xf>
    <xf numFmtId="0" fontId="0" fillId="4" borderId="0" applyAlignment="1" pivotButton="0" quotePrefix="0" xfId="0">
      <alignment horizontal="left" vertical="top" wrapText="1"/>
    </xf>
    <xf numFmtId="0" fontId="6" fillId="2" borderId="12" applyAlignment="1" pivotButton="0" quotePrefix="0" xfId="0">
      <alignment horizontal="left" vertical="center" wrapText="1"/>
    </xf>
    <xf numFmtId="0" fontId="7" fillId="2" borderId="12" applyAlignment="1" pivotButton="0" quotePrefix="0" xfId="0">
      <alignment horizontal="left" vertical="center" wrapText="1"/>
    </xf>
    <xf numFmtId="0" fontId="6" fillId="2" borderId="12" pivotButton="0" quotePrefix="0" xfId="0"/>
    <xf numFmtId="0" fontId="6" fillId="2" borderId="12" applyAlignment="1" pivotButton="0" quotePrefix="0" xfId="0">
      <alignment wrapText="1"/>
    </xf>
    <xf numFmtId="0" fontId="0" fillId="4" borderId="12" applyAlignment="1" pivotButton="0" quotePrefix="0" xfId="0">
      <alignment horizontal="left" vertical="top" wrapText="1"/>
    </xf>
    <xf numFmtId="0" fontId="0" fillId="4" borderId="12" applyAlignment="1" pivotButton="0" quotePrefix="0" xfId="0">
      <alignment vertical="top"/>
    </xf>
    <xf numFmtId="0" fontId="6" fillId="2" borderId="18" pivotButton="0" quotePrefix="0" xfId="0"/>
    <xf numFmtId="0" fontId="6" fillId="2" borderId="18" applyAlignment="1" pivotButton="0" quotePrefix="0" xfId="0">
      <alignment wrapText="1"/>
    </xf>
    <xf numFmtId="0" fontId="7" fillId="2" borderId="18" applyAlignment="1" pivotButton="0" quotePrefix="0" xfId="0">
      <alignment wrapText="1"/>
    </xf>
    <xf numFmtId="0" fontId="0" fillId="4" borderId="0" applyAlignment="1" pivotButton="0" quotePrefix="0" xfId="0">
      <alignment vertical="top" wrapText="1"/>
    </xf>
    <xf numFmtId="0" fontId="17" fillId="4" borderId="12" applyAlignment="1" pivotButton="0" quotePrefix="0" xfId="1">
      <alignment horizontal="left" vertical="top" wrapText="1"/>
    </xf>
    <xf numFmtId="0" fontId="2" fillId="6" borderId="1" applyAlignment="1" pivotButton="0" quotePrefix="0" xfId="1">
      <alignment horizontal="left" vertical="top"/>
    </xf>
    <xf numFmtId="0" fontId="2" fillId="6" borderId="0" pivotButton="0" quotePrefix="0" xfId="1"/>
    <xf numFmtId="0" fontId="0" fillId="4" borderId="18" applyAlignment="1" pivotButton="0" quotePrefix="0" xfId="0">
      <alignment horizontal="left" vertical="top" wrapText="1"/>
    </xf>
    <xf numFmtId="0" fontId="0" fillId="4" borderId="18" applyAlignment="1" pivotButton="0" quotePrefix="0" xfId="0">
      <alignment vertical="top"/>
    </xf>
    <xf numFmtId="49" fontId="17" fillId="4" borderId="12" applyAlignment="1" pivotButton="0" quotePrefix="0" xfId="1">
      <alignment vertical="top" wrapText="1"/>
    </xf>
    <xf numFmtId="49" fontId="0" fillId="4" borderId="12" applyAlignment="1" pivotButton="0" quotePrefix="0" xfId="0">
      <alignment vertical="top" wrapText="1"/>
    </xf>
    <xf numFmtId="0" fontId="17" fillId="4" borderId="12" applyAlignment="1" pivotButton="0" quotePrefix="0" xfId="1">
      <alignment vertical="top"/>
    </xf>
    <xf numFmtId="0" fontId="17" fillId="4" borderId="12" applyAlignment="1" pivotButton="0" quotePrefix="0" xfId="1">
      <alignment vertical="top" wrapText="1"/>
    </xf>
    <xf numFmtId="0" fontId="0" fillId="4" borderId="12" applyAlignment="1" pivotButton="0" quotePrefix="0" xfId="0">
      <alignment horizontal="left" vertical="top"/>
    </xf>
    <xf numFmtId="0" fontId="17" fillId="4" borderId="12" applyAlignment="1" pivotButton="0" quotePrefix="0" xfId="1">
      <alignment horizontal="left" vertical="top"/>
    </xf>
    <xf numFmtId="0" fontId="17" fillId="4" borderId="12" applyAlignment="1" pivotButton="0" quotePrefix="0" xfId="1">
      <alignment horizontal="left" vertical="top" wrapText="1"/>
    </xf>
    <xf numFmtId="0" fontId="0" fillId="4" borderId="12" applyAlignment="1" pivotButton="0" quotePrefix="0" xfId="0">
      <alignment vertical="top" wrapText="1"/>
    </xf>
    <xf numFmtId="0" fontId="17" fillId="4" borderId="12" applyAlignment="1" pivotButton="0" quotePrefix="0" xfId="1">
      <alignment vertical="top" wrapText="1"/>
    </xf>
    <xf numFmtId="49" fontId="5" fillId="0" borderId="0" applyAlignment="1" pivotButton="0" quotePrefix="0" xfId="0">
      <alignment wrapText="1"/>
    </xf>
    <xf numFmtId="0" fontId="3" fillId="0" borderId="24" pivotButton="0" quotePrefix="0" xfId="0"/>
    <xf numFmtId="0" fontId="3" fillId="0" borderId="20" pivotButton="0" quotePrefix="0" xfId="0"/>
    <xf numFmtId="0" fontId="3" fillId="0" borderId="33" pivotButton="0" quotePrefix="0" xfId="0"/>
    <xf numFmtId="0" fontId="6" fillId="2" borderId="34" pivotButton="0" quotePrefix="0" xfId="0"/>
    <xf numFmtId="49" fontId="6" fillId="2" borderId="34" applyAlignment="1" pivotButton="0" quotePrefix="0" xfId="0">
      <alignment wrapText="1"/>
    </xf>
    <xf numFmtId="0" fontId="6" fillId="2" borderId="34" applyAlignment="1" pivotButton="0" quotePrefix="0" xfId="0">
      <alignment wrapText="1"/>
    </xf>
    <xf numFmtId="0" fontId="7" fillId="2" borderId="34" applyAlignment="1" pivotButton="0" quotePrefix="0" xfId="0">
      <alignment wrapText="1"/>
    </xf>
    <xf numFmtId="0" fontId="5" fillId="0" borderId="34" pivotButton="0" quotePrefix="0" xfId="0"/>
    <xf numFmtId="49" fontId="5" fillId="0" borderId="34" applyAlignment="1" pivotButton="0" quotePrefix="0" xfId="0">
      <alignment wrapText="1"/>
    </xf>
    <xf numFmtId="0" fontId="5" fillId="0" borderId="34" applyAlignment="1" pivotButton="0" quotePrefix="0" xfId="0">
      <alignment wrapText="1"/>
    </xf>
    <xf numFmtId="49" fontId="16" fillId="0" borderId="34" applyAlignment="1" pivotButton="0" quotePrefix="0" xfId="0">
      <alignment wrapText="1"/>
    </xf>
    <xf numFmtId="49" fontId="16" fillId="8" borderId="34" applyAlignment="1" pivotButton="0" quotePrefix="0" xfId="0">
      <alignment wrapText="1"/>
    </xf>
    <xf numFmtId="0" fontId="16" fillId="0" borderId="34"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27" pivotButton="0" quotePrefix="0" xfId="0"/>
    <xf numFmtId="0" fontId="0" fillId="0" borderId="22" pivotButton="0" quotePrefix="0" xfId="0"/>
    <xf numFmtId="0" fontId="0" fillId="0" borderId="26" pivotButton="0" quotePrefix="0" xfId="0"/>
    <xf numFmtId="0" fontId="0" fillId="0" borderId="30" pivotButton="0" quotePrefix="0" xfId="0"/>
    <xf numFmtId="0" fontId="0" fillId="0" borderId="32" pivotButton="0" quotePrefix="0" xfId="0"/>
    <xf numFmtId="0" fontId="0" fillId="0" borderId="31" pivotButton="0" quotePrefix="0" xfId="0"/>
    <xf numFmtId="0" fontId="0" fillId="0" borderId="25" pivotButton="0" quotePrefix="0" xfId="0"/>
    <xf numFmtId="0" fontId="16" fillId="9" borderId="34" applyAlignment="1" pivotButton="0" quotePrefix="0" xfId="0">
      <alignment wrapText="1"/>
    </xf>
    <xf numFmtId="0" fontId="17" fillId="3" borderId="19" applyAlignment="1" pivotButton="0" quotePrefix="0" xfId="1">
      <alignment horizontal="left" vertical="top"/>
    </xf>
    <xf numFmtId="0" fontId="17" fillId="3" borderId="20" applyAlignment="1" pivotButton="0" quotePrefix="0" xfId="1">
      <alignment horizontal="left" vertical="top"/>
    </xf>
    <xf numFmtId="0" fontId="17" fillId="3" borderId="21" applyAlignment="1" pivotButton="0" quotePrefix="0" xfId="1">
      <alignment horizontal="left" vertical="top"/>
    </xf>
    <xf numFmtId="0" fontId="12" fillId="5" borderId="13" applyAlignment="1" pivotButton="0" quotePrefix="0" xfId="0">
      <alignment horizontal="left" vertical="center" wrapText="1"/>
    </xf>
    <xf numFmtId="0" fontId="12" fillId="5" borderId="14" applyAlignment="1" pivotButton="0" quotePrefix="0" xfId="0">
      <alignment horizontal="left" vertical="center" wrapText="1"/>
    </xf>
    <xf numFmtId="0" fontId="0" fillId="4" borderId="15"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15" applyAlignment="1" pivotButton="0" quotePrefix="0" xfId="0">
      <alignment horizontal="left" vertical="center" wrapText="1"/>
    </xf>
    <xf numFmtId="0" fontId="0" fillId="4" borderId="10" applyAlignment="1" pivotButton="0" quotePrefix="0" xfId="0">
      <alignment horizontal="left" vertical="center" wrapText="1"/>
    </xf>
    <xf numFmtId="0" fontId="13" fillId="6" borderId="1" applyAlignment="1" pivotButton="0" quotePrefix="0" xfId="0">
      <alignment horizontal="left"/>
    </xf>
    <xf numFmtId="0" fontId="13" fillId="3" borderId="12" applyAlignment="1" pivotButton="0" quotePrefix="0" xfId="0">
      <alignment horizontal="left"/>
    </xf>
    <xf numFmtId="0" fontId="17" fillId="4" borderId="16" applyAlignment="1" pivotButton="0" quotePrefix="0" xfId="1">
      <alignment horizontal="left" vertical="top" wrapText="1"/>
    </xf>
    <xf numFmtId="0" fontId="17" fillId="4" borderId="17" applyAlignment="1" pivotButton="0" quotePrefix="0" xfId="1">
      <alignment horizontal="left" vertical="top" wrapText="1"/>
    </xf>
    <xf numFmtId="0" fontId="17" fillId="4" borderId="15" applyAlignment="1" pivotButton="0" quotePrefix="0" xfId="1">
      <alignment horizontal="left" vertical="top" wrapText="1"/>
    </xf>
    <xf numFmtId="0" fontId="17" fillId="4" borderId="10" applyAlignment="1" pivotButton="0" quotePrefix="0" xfId="1">
      <alignment horizontal="left" vertical="top" wrapText="1"/>
    </xf>
    <xf numFmtId="0" fontId="0" fillId="4" borderId="7" applyAlignment="1" pivotButton="0" quotePrefix="0" xfId="0">
      <alignment horizontal="left" vertical="center" wrapText="1"/>
    </xf>
    <xf numFmtId="0" fontId="0" fillId="4" borderId="8" applyAlignment="1" pivotButton="0" quotePrefix="0" xfId="0">
      <alignment horizontal="left" vertical="center" wrapText="1"/>
    </xf>
    <xf numFmtId="0" fontId="10" fillId="4" borderId="3" applyAlignment="1" pivotButton="0" quotePrefix="0" xfId="0">
      <alignment horizontal="left" vertical="center" wrapText="1"/>
    </xf>
    <xf numFmtId="0" fontId="10" fillId="4" borderId="4" applyAlignment="1" pivotButton="0" quotePrefix="0" xfId="0">
      <alignment horizontal="left" vertical="center" wrapText="1"/>
    </xf>
    <xf numFmtId="0" fontId="0" fillId="4" borderId="5" applyAlignment="1" pivotButton="0" quotePrefix="0" xfId="0">
      <alignment horizontal="center" vertical="center" wrapText="1"/>
    </xf>
    <xf numFmtId="0" fontId="0" fillId="4" borderId="6" applyAlignment="1" pivotButton="0" quotePrefix="0" xfId="0">
      <alignment horizontal="center" vertical="center" wrapText="1"/>
    </xf>
    <xf numFmtId="0" fontId="0" fillId="0" borderId="2" applyAlignment="1" pivotButton="0" quotePrefix="0" xfId="0">
      <alignment wrapText="1"/>
    </xf>
    <xf numFmtId="0" fontId="20" fillId="10" borderId="34" applyAlignment="1" pivotButton="0" quotePrefix="0" xfId="0">
      <alignment horizontal="center" vertical="center" wrapText="1"/>
    </xf>
    <xf numFmtId="49" fontId="20" fillId="10" borderId="34" applyAlignment="1" pivotButton="0" quotePrefix="0" xfId="0">
      <alignment horizontal="center" vertical="center" wrapText="1"/>
    </xf>
    <xf numFmtId="0" fontId="21" fillId="0" borderId="34" applyAlignment="1" pivotButton="0" quotePrefix="0" xfId="0">
      <alignment vertical="top"/>
    </xf>
    <xf numFmtId="0" fontId="21" fillId="0" borderId="0" applyAlignment="1" pivotButton="0" quotePrefix="0" xfId="0">
      <alignment vertical="top" wrapText="1"/>
    </xf>
    <xf numFmtId="0" fontId="21" fillId="0" borderId="0" applyAlignment="1" pivotButton="0" quotePrefix="0" xfId="0">
      <alignment vertical="top"/>
    </xf>
    <xf numFmtId="0" fontId="21" fillId="0" borderId="34" applyAlignment="1" pivotButton="0" quotePrefix="0" xfId="0">
      <alignment vertical="top" wrapText="1"/>
    </xf>
    <xf numFmtId="49" fontId="21" fillId="0" borderId="34" applyAlignment="1" pivotButton="0" quotePrefix="0" xfId="0">
      <alignment vertical="top" wrapText="1"/>
    </xf>
    <xf numFmtId="49" fontId="21" fillId="8" borderId="34" applyAlignment="1" pivotButton="0" quotePrefix="0" xfId="0">
      <alignment vertical="top" wrapText="1"/>
    </xf>
    <xf numFmtId="0" fontId="21" fillId="9" borderId="34" applyAlignment="1" pivotButton="0" quotePrefix="0" xfId="0">
      <alignment vertical="top" wrapText="1"/>
    </xf>
    <xf numFmtId="0" fontId="20" fillId="10" borderId="2" applyAlignment="1" pivotButton="0" quotePrefix="0" xfId="0">
      <alignment horizontal="center" vertical="center" wrapText="1"/>
    </xf>
    <xf numFmtId="49" fontId="20" fillId="10" borderId="2" applyAlignment="1" pivotButton="0" quotePrefix="0" xfId="0">
      <alignment horizontal="center" vertical="center" wrapText="1"/>
    </xf>
    <xf numFmtId="0" fontId="20" fillId="10" borderId="0" applyAlignment="1" pivotButton="0" quotePrefix="0" xfId="0">
      <alignment horizontal="center" vertical="center" wrapText="1"/>
    </xf>
    <xf numFmtId="0" fontId="21" fillId="0" borderId="23" applyAlignment="1" pivotButton="0" quotePrefix="0" xfId="0">
      <alignment vertical="top"/>
    </xf>
    <xf numFmtId="0" fontId="21" fillId="0" borderId="23" applyAlignment="1" pivotButton="0" quotePrefix="0" xfId="0">
      <alignment vertical="top" wrapText="1"/>
    </xf>
    <xf numFmtId="0" fontId="21" fillId="0" borderId="24" applyAlignment="1" pivotButton="0" quotePrefix="0" xfId="0">
      <alignment vertical="top"/>
    </xf>
    <xf numFmtId="0" fontId="21" fillId="0" borderId="28" applyAlignment="1" pivotButton="0" quotePrefix="0" xfId="0">
      <alignment vertical="top"/>
    </xf>
    <xf numFmtId="0" fontId="21" fillId="0" borderId="29" applyAlignment="1" pivotButton="0" quotePrefix="0" xfId="0">
      <alignment vertical="top"/>
    </xf>
    <xf numFmtId="0" fontId="21" fillId="0" borderId="29" applyAlignment="1" pivotButton="0" quotePrefix="0" xfId="0">
      <alignment vertical="top" wrapText="1"/>
    </xf>
    <xf numFmtId="0" fontId="21" fillId="0" borderId="20" applyAlignment="1" pivotButton="0" quotePrefix="0" xfId="0">
      <alignment vertical="top"/>
    </xf>
    <xf numFmtId="0" fontId="21" fillId="0" borderId="27" applyAlignment="1" pivotButton="0" quotePrefix="0" xfId="0">
      <alignment vertical="top"/>
    </xf>
    <xf numFmtId="0" fontId="21" fillId="0" borderId="22" applyAlignment="1" pivotButton="0" quotePrefix="0" xfId="0">
      <alignment vertical="top"/>
    </xf>
    <xf numFmtId="0" fontId="21" fillId="0" borderId="22" applyAlignment="1" pivotButton="0" quotePrefix="0" xfId="0">
      <alignment vertical="top" wrapText="1"/>
    </xf>
    <xf numFmtId="0" fontId="21" fillId="0" borderId="2" applyAlignment="1" pivotButton="0" quotePrefix="0" xfId="0">
      <alignment vertical="top"/>
    </xf>
    <xf numFmtId="0" fontId="21" fillId="0" borderId="26" applyAlignment="1" pivotButton="0" quotePrefix="0" xfId="0">
      <alignment vertical="top"/>
    </xf>
    <xf numFmtId="0" fontId="21" fillId="0" borderId="30" applyAlignment="1" pivotButton="0" quotePrefix="0" xfId="0">
      <alignment vertical="top"/>
    </xf>
    <xf numFmtId="0" fontId="21" fillId="0" borderId="2" applyAlignment="1" pivotButton="0" quotePrefix="0" xfId="0">
      <alignment vertical="top" wrapText="1"/>
    </xf>
    <xf numFmtId="0" fontId="21" fillId="0" borderId="26" applyAlignment="1" pivotButton="0" quotePrefix="0" xfId="0">
      <alignment vertical="top" wrapText="1"/>
    </xf>
    <xf numFmtId="0" fontId="21" fillId="0" borderId="32" applyAlignment="1" pivotButton="0" quotePrefix="0" xfId="0">
      <alignment vertical="top"/>
    </xf>
    <xf numFmtId="0" fontId="21" fillId="0" borderId="32" applyAlignment="1" pivotButton="0" quotePrefix="0" xfId="0">
      <alignment vertical="top" wrapText="1"/>
    </xf>
    <xf numFmtId="0" fontId="21" fillId="0" borderId="33" applyAlignment="1" pivotButton="0" quotePrefix="0" xfId="0">
      <alignment vertical="top"/>
    </xf>
    <xf numFmtId="0" fontId="21" fillId="0" borderId="31" applyAlignment="1" pivotButton="0" quotePrefix="0" xfId="0">
      <alignment vertical="top"/>
    </xf>
    <xf numFmtId="49" fontId="21" fillId="0" borderId="0" applyAlignment="1" pivotButton="0" quotePrefix="0" xfId="0">
      <alignment vertical="top" wrapText="1"/>
    </xf>
    <xf numFmtId="0" fontId="21" fillId="0" borderId="25" applyAlignment="1" pivotButton="0" quotePrefix="0" xfId="0">
      <alignment vertical="top"/>
    </xf>
    <xf numFmtId="0" fontId="21" fillId="0" borderId="2" applyAlignment="1" pivotButton="0" quotePrefix="0" xfId="2">
      <alignment vertical="top"/>
    </xf>
    <xf numFmtId="0" fontId="21" fillId="0" borderId="2" applyAlignment="1" pivotButton="0" quotePrefix="0" xfId="1">
      <alignment vertical="top"/>
    </xf>
    <xf numFmtId="0" fontId="12" fillId="5" borderId="36" applyAlignment="1" pivotButton="0" quotePrefix="0" xfId="0">
      <alignment horizontal="left" vertical="center" wrapText="1"/>
    </xf>
    <xf numFmtId="0" fontId="0" fillId="0" borderId="14" pivotButton="0" quotePrefix="0" xfId="0"/>
    <xf numFmtId="0" fontId="0" fillId="4" borderId="37" applyAlignment="1" pivotButton="0" quotePrefix="0" xfId="0">
      <alignment horizontal="center" vertical="center" wrapText="1"/>
    </xf>
    <xf numFmtId="0" fontId="0" fillId="0" borderId="10" pivotButton="0" quotePrefix="0" xfId="0"/>
    <xf numFmtId="0" fontId="0" fillId="4" borderId="37" applyAlignment="1" pivotButton="0" quotePrefix="0" xfId="0">
      <alignment horizontal="left" vertical="center" wrapText="1"/>
    </xf>
    <xf numFmtId="0" fontId="17" fillId="4" borderId="40" applyAlignment="1" pivotButton="0" quotePrefix="0" xfId="1">
      <alignment horizontal="left" vertical="top" wrapText="1"/>
    </xf>
    <xf numFmtId="0" fontId="0" fillId="0" borderId="17" pivotButton="0" quotePrefix="0" xfId="0"/>
    <xf numFmtId="0" fontId="0" fillId="0" borderId="39" pivotButton="0" quotePrefix="0" xfId="0"/>
    <xf numFmtId="0" fontId="0" fillId="0" borderId="21" pivotButton="0" quotePrefix="0" xfId="0"/>
    <xf numFmtId="0" fontId="17" fillId="3" borderId="12" applyAlignment="1" pivotButton="0" quotePrefix="0" xfId="1">
      <alignment horizontal="left" vertical="top"/>
    </xf>
    <xf numFmtId="0" fontId="0" fillId="0" borderId="20" pivotButton="0" quotePrefix="0" xfId="0"/>
    <xf numFmtId="0" fontId="17" fillId="4" borderId="37" applyAlignment="1" pivotButton="0" quotePrefix="0" xfId="1">
      <alignment horizontal="left" vertical="top" wrapText="1"/>
    </xf>
    <xf numFmtId="0" fontId="10" fillId="4" borderId="18" applyAlignment="1" pivotButton="0" quotePrefix="0" xfId="0">
      <alignment horizontal="left" vertical="center" wrapText="1"/>
    </xf>
    <xf numFmtId="0" fontId="0" fillId="0" borderId="4" pivotButton="0" quotePrefix="0" xfId="0"/>
    <xf numFmtId="0" fontId="0" fillId="4" borderId="42" applyAlignment="1" pivotButton="0" quotePrefix="0" xfId="0">
      <alignment horizontal="center" vertical="center" wrapText="1"/>
    </xf>
    <xf numFmtId="0" fontId="0" fillId="0" borderId="6" pivotButton="0" quotePrefix="0" xfId="0"/>
    <xf numFmtId="0" fontId="0" fillId="4" borderId="41" applyAlignment="1" pivotButton="0" quotePrefix="0" xfId="0">
      <alignment horizontal="left" vertical="center" wrapText="1"/>
    </xf>
    <xf numFmtId="0" fontId="0" fillId="0" borderId="8" pivotButton="0" quotePrefix="0" xfId="0"/>
  </cellXfs>
  <cellStyles count="4">
    <cellStyle name="Normal" xfId="0" builtinId="0"/>
    <cellStyle name="Hyperlink" xfId="1" builtinId="8"/>
    <cellStyle name="Normal 2" xfId="2"/>
    <cellStyle name="Followed Hyperlink" xfId="3" builtinId="9" hidden="1"/>
  </cellStyles>
  <dxfs count="976">
    <dxf>
      <font>
        <color auto="1"/>
      </font>
      <fill>
        <patternFill>
          <fgColor indexed="64"/>
          <bgColor auto="1"/>
        </patternFill>
      </fill>
      <border>
        <top style="thin">
          <color auto="1"/>
        </top>
      </border>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D44B"/>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
        </patternFill>
      </fill>
    </dxf>
    <dxf>
      <fill>
        <patternFill>
          <bgColor rgb="FFBBBB59"/>
        </patternFill>
      </fill>
    </dxf>
    <dxf>
      <fill>
        <patternFill>
          <bgColor rgb="FFEAEB74"/>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ill>
        <patternFill>
          <bgColor theme="9" tint="0.5999633777886288"/>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rgb="FFFFD44B"/>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ont>
        <color auto="1"/>
      </font>
      <fill>
        <patternFill patternType="solid">
          <fgColor indexed="64"/>
          <bgColor theme="0" tint="-0.149998474074526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FFBB57"/>
        </patternFill>
      </fill>
    </dxf>
    <dxf>
      <fill>
        <patternFill>
          <bgColor rgb="FFFFBB57"/>
        </patternFill>
      </fill>
    </dxf>
    <dxf>
      <fill>
        <patternFill patternType="solid">
          <fgColor indexed="64"/>
          <bgColor rgb="FFE4E300"/>
        </patternFill>
      </fill>
    </dxf>
    <dxf>
      <fill>
        <patternFill patternType="solid">
          <fgColor indexed="64"/>
          <bgColor rgb="FFFBFB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FBFB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4" tint="0.7999816888943144"/>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E4E300"/>
        </patternFill>
      </fill>
    </dxf>
    <dxf>
      <fill>
        <patternFill>
          <bgColor rgb="FFFFBB57"/>
        </patternFill>
      </fill>
    </dxf>
    <dxf>
      <fill>
        <patternFill patternType="solid">
          <fgColor indexed="64"/>
          <bgColor theme="4" tint="0.7999816888943144"/>
        </patternFill>
      </fill>
    </dxf>
    <dxf>
      <fill>
        <patternFill patternType="solid">
          <fgColor indexed="64"/>
          <bgColor theme="4" tint="0.7999816888943144"/>
        </patternFill>
      </fill>
    </dxf>
    <dxf>
      <fill>
        <patternFill>
          <bgColor rgb="FF99BCE7"/>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theme="9" tint="0.5999633777886288"/>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theme="9" tint="0.5999633777886288"/>
        </patternFill>
      </fill>
    </dxf>
    <dxf>
      <fill>
        <patternFill>
          <bgColor theme="9" tint="0.599963377788628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
        </patternFill>
      </fill>
    </dxf>
    <dxf>
      <fill>
        <patternFill>
          <bgColor rgb="FFBBBB59"/>
        </patternFill>
      </fill>
    </dxf>
    <dxf>
      <fill>
        <patternFill>
          <bgColor rgb="FFE3E0CF"/>
        </patternFill>
      </fill>
    </dxf>
    <dxf>
      <fill>
        <patternFill>
          <bgColor rgb="FFDDE8C6"/>
        </patternFill>
      </fill>
    </dxf>
    <dxf>
      <fill>
        <patternFill patternType="solid">
          <fgColor indexed="64"/>
          <bgColor rgb="FFE7D480"/>
        </patternFill>
      </fill>
    </dxf>
    <dxf>
      <fill>
        <patternFill>
          <bgColor theme="9" tint="0.5999633777886288"/>
        </patternFill>
      </fill>
    </dxf>
    <dxf>
      <fill>
        <patternFill>
          <bgColor theme="8"/>
        </patternFill>
      </fill>
    </dxf>
    <dxf>
      <fill>
        <patternFill>
          <bgColor rgb="FFFFBB57"/>
        </patternFill>
      </fill>
    </dxf>
    <dxf>
      <fill>
        <patternFill patternType="solid">
          <fgColor indexed="64"/>
          <bgColor theme="4" tint="0.7999816888943144"/>
        </patternFill>
      </fill>
    </dxf>
    <dxf>
      <fill>
        <patternFill>
          <bgColor rgb="FF99BCE7"/>
        </patternFill>
      </fill>
    </dxf>
    <dxf>
      <fill>
        <patternFill>
          <bgColor rgb="FFEAEB74"/>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D44B"/>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tint="0.3999450666829432"/>
        </patternFill>
      </fill>
    </dxf>
    <dxf>
      <fill>
        <patternFill>
          <bgColor rgb="FFBBBB59"/>
        </patternFill>
      </fill>
    </dxf>
    <dxf>
      <fill>
        <patternFill>
          <bgColor theme="8"/>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
        </patternFill>
      </fill>
    </dxf>
    <dxf>
      <fill>
        <patternFill>
          <bgColor rgb="FFBBBB59"/>
        </patternFill>
      </fill>
    </dxf>
    <dxf>
      <fill>
        <patternFill>
          <bgColor theme="8"/>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patternType="solid">
          <fgColor indexed="64"/>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EB74"/>
          <bgColor rgb="FFEAEB74"/>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92CDDC"/>
          <bgColor rgb="FF92CDDC"/>
        </patternFill>
      </fill>
    </dxf>
    <dxf>
      <fill>
        <patternFill patternType="solid">
          <fgColor rgb="FFFFBB57"/>
          <bgColor rgb="FFFFBB57"/>
        </patternFill>
      </fill>
    </dxf>
    <dxf>
      <fill>
        <patternFill patternType="solid">
          <fgColor rgb="FFFFD44B"/>
          <bgColor rgb="FFFFD44B"/>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bgColor theme="8" tint="0.3999450666829432"/>
        </patternFill>
      </fill>
    </dxf>
    <dxf>
      <fill>
        <patternFill>
          <bgColor theme="9" tint="0.5999633777886288"/>
        </patternFill>
      </fill>
    </dxf>
    <dxf>
      <fill>
        <patternFill>
          <bgColor theme="8" tint="0.3999450666829432"/>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theme="8" tint="0.3999450666829432"/>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bgColor theme="9" tint="0.5999633777886288"/>
        </patternFill>
      </fill>
    </dxf>
    <dxf>
      <fill>
        <patternFill>
          <bgColor theme="9" tint="0.5999633777886288"/>
        </patternFill>
      </fill>
    </dxf>
    <dxf>
      <fill>
        <patternFill>
          <bgColor theme="8" tint="0.3999450666829432"/>
        </patternFill>
      </fill>
    </dxf>
    <dxf>
      <fill>
        <patternFill patternType="solid">
          <fgColor indexed="64"/>
          <bgColor theme="4" tint="0.7999816888943144"/>
        </patternFill>
      </fill>
    </dxf>
    <dxf>
      <fill>
        <patternFill>
          <bgColor rgb="FF99BCE7"/>
        </patternFill>
      </fill>
    </dxf>
    <dxf>
      <fill>
        <patternFill>
          <bgColor theme="8" tint="0.3999450666829432"/>
        </patternFill>
      </fill>
    </dxf>
    <dxf>
      <fill>
        <patternFill>
          <bgColor theme="9" tint="0.5999633777886288"/>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bgColor rgb="FFFFBB57"/>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D44B"/>
        </patternFill>
      </fill>
    </dxf>
    <dxf>
      <fill>
        <patternFill>
          <bgColor theme="8" tint="0.3999450666829432"/>
        </patternFill>
      </fill>
    </dxf>
    <dxf>
      <fill>
        <patternFill patternType="solid">
          <fgColor indexed="64"/>
          <bgColor theme="4" tint="0.7999816888943144"/>
        </patternFill>
      </fill>
    </dxf>
    <dxf>
      <fill>
        <patternFill>
          <bgColor rgb="FF99BCE7"/>
        </patternFill>
      </fill>
    </dxf>
    <dxf>
      <fill>
        <patternFill>
          <bgColor theme="9" tint="0.5999633777886288"/>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
        </patternFill>
      </fill>
    </dxf>
    <dxf>
      <fill>
        <patternFill patternType="solid">
          <fgColor indexed="64"/>
          <bgColor theme="6" tint="0.7999816888943144"/>
        </patternFill>
      </fill>
    </dxf>
    <dxf>
      <fill>
        <patternFill>
          <bgColor rgb="FFF2DBDA"/>
        </patternFill>
      </fill>
    </dxf>
    <dxf>
      <fill>
        <patternFill>
          <bgColor rgb="FFE3E0CF"/>
        </patternFill>
      </fill>
    </dxf>
    <dxf>
      <fill>
        <patternFill>
          <bgColor rgb="FFDDE8C6"/>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AEB74"/>
        </patternFill>
      </fill>
    </dxf>
    <dxf>
      <fill>
        <patternFill>
          <bgColor rgb="FFFFD44B"/>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rgb="FFFFBB57"/>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rgb="FFEAEB74"/>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ont>
        <color auto="1"/>
      </font>
      <fill>
        <patternFill patternType="solid">
          <fgColor indexed="64"/>
          <bgColor theme="0" tint="-0.1499984740745262"/>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FFD44B"/>
        </patternFill>
      </fill>
    </dxf>
    <dxf>
      <fill>
        <patternFill patternType="solid">
          <fgColor indexed="64"/>
          <bgColor theme="6" tint="0.7999816888943144"/>
        </patternFill>
      </fill>
    </dxf>
    <dxf>
      <fill>
        <patternFill>
          <bgColor rgb="FFFF6969"/>
        </patternFill>
      </fill>
    </dxf>
    <dxf>
      <fill>
        <patternFill patternType="solid">
          <fgColor indexed="64"/>
          <bgColor rgb="FFFBFB00"/>
        </patternFill>
      </fill>
    </dxf>
    <dxf>
      <fill>
        <patternFill>
          <bgColor theme="7" tint="0.5999633777886288"/>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
        </patternFill>
      </fill>
    </dxf>
    <dxf>
      <font>
        <color auto="1"/>
      </font>
      <fill>
        <patternFill>
          <bgColor rgb="FFFFC7CE"/>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rgb="FFEAEB74"/>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FFD44B"/>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FFD44B"/>
        </patternFill>
      </fill>
    </dxf>
    <dxf>
      <fill>
        <patternFill patternType="solid">
          <fgColor rgb="FFFFC7CE"/>
          <bgColor rgb="FFFFC7CE"/>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theme="8"/>
          <bgColor theme="8"/>
        </patternFill>
      </fill>
    </dxf>
    <dxf>
      <fill>
        <patternFill patternType="solid">
          <fgColor rgb="FFBBBB59"/>
          <bgColor rgb="FFBBBB59"/>
        </patternFill>
      </fill>
    </dxf>
    <dxf>
      <fill>
        <patternFill patternType="solid">
          <fgColor rgb="FFBA005D"/>
          <bgColor rgb="FFBA005D"/>
        </patternFill>
      </fill>
    </dxf>
    <dxf>
      <fill>
        <patternFill patternType="solid">
          <fgColor rgb="FFF2DBDA"/>
          <bgColor rgb="FFF2DBDA"/>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92CDDC"/>
          <bgColor rgb="FF92CDDC"/>
        </patternFill>
      </fill>
    </dxf>
    <dxf>
      <fill>
        <patternFill patternType="solid">
          <fgColor rgb="FFFFD44B"/>
          <bgColor rgb="FFFFD44B"/>
        </patternFill>
      </fill>
    </dxf>
    <dxf>
      <fill>
        <patternFill patternType="solid">
          <fgColor rgb="FFCCC0D9"/>
          <bgColor rgb="FFCCC0D9"/>
        </patternFill>
      </fill>
    </dxf>
    <dxf>
      <fill>
        <patternFill patternType="solid">
          <fgColor rgb="FFFBFB00"/>
          <bgColor rgb="FFFBFB00"/>
        </patternFill>
      </fill>
    </dxf>
    <dxf>
      <fill>
        <patternFill patternType="solid">
          <fgColor rgb="FFEAEB74"/>
          <bgColor rgb="FFEAEB74"/>
        </patternFill>
      </fill>
    </dxf>
    <dxf>
      <fill>
        <patternFill patternType="solid">
          <fgColor rgb="FFFF6969"/>
          <bgColor rgb="FFFF6969"/>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FFD44B"/>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FBFB00"/>
        </patternFill>
      </fill>
    </dxf>
    <dxf>
      <fill>
        <patternFill>
          <bgColor rgb="FFFFBB57"/>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FFD44B"/>
        </patternFill>
      </fill>
    </dxf>
    <dxf>
      <fill>
        <patternFill patternType="solid">
          <fgColor indexed="64"/>
          <bgColor rgb="FFBA005D"/>
        </patternFill>
      </fill>
    </dxf>
    <dxf>
      <font>
        <color auto="1"/>
      </font>
      <fill>
        <patternFill patternType="solid">
          <fgColor indexed="64"/>
          <bgColor theme="0" tint="-0.149998474074526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patternType="solid">
          <fgColor indexed="64"/>
          <bgColor theme="6" tint="0.7999816888943144"/>
        </patternFill>
      </fill>
    </dxf>
    <dxf>
      <fill>
        <patternFill>
          <bgColor rgb="FFFF6969"/>
        </patternFill>
      </fill>
    </dxf>
    <dxf>
      <fill>
        <patternFill>
          <bgColor theme="7" tint="0.5999633777886288"/>
        </patternFill>
      </fill>
    </dxf>
    <dxf>
      <fill>
        <patternFill>
          <bgColor rgb="FFF2DBDA"/>
        </patternFill>
      </fill>
    </dxf>
    <dxf>
      <font>
        <color auto="1"/>
      </font>
      <fill>
        <patternFill>
          <bgColor rgb="FFFFC7CE"/>
        </patternFill>
      </fill>
    </dxf>
    <dxf>
      <fill>
        <patternFill>
          <bgColor rgb="FFEAEB74"/>
        </patternFill>
      </fill>
    </dxf>
    <dxf>
      <fill>
        <patternFill>
          <bgColor rgb="FFFFBB57"/>
        </patternFill>
      </fill>
    </dxf>
    <dxf>
      <fill>
        <patternFill patternType="solid">
          <fgColor indexed="64"/>
          <bgColor rgb="FFBA005D"/>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E7D480"/>
        </patternFill>
      </fill>
    </dxf>
    <dxf>
      <fill>
        <patternFill>
          <bgColor rgb="FFFFD44B"/>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BB57"/>
        </patternFill>
      </fill>
    </dxf>
    <dxf>
      <fill>
        <patternFill>
          <bgColor rgb="FFFF6969"/>
        </patternFill>
      </fill>
    </dxf>
    <dxf>
      <font>
        <color auto="1"/>
      </font>
      <fill>
        <patternFill>
          <bgColor rgb="FFFFC7CE"/>
        </patternFill>
      </fill>
    </dxf>
    <dxf>
      <fill>
        <patternFill patternType="solid">
          <fgColor indexed="64"/>
          <bgColor theme="6" tint="0.7999816888943144"/>
        </patternFill>
      </fill>
    </dxf>
    <dxf>
      <fill>
        <patternFill>
          <bgColor theme="7" tint="0.5999633777886288"/>
        </patternFill>
      </fill>
    </dxf>
    <dxf>
      <fill>
        <patternFill>
          <bgColor rgb="FFF2DBDA"/>
        </patternFill>
      </fill>
    </dxf>
    <dxf>
      <fill>
        <patternFill>
          <bgColor rgb="FFFFD44B"/>
        </patternFill>
      </fill>
    </dxf>
    <dxf>
      <fill>
        <patternFill>
          <bgColor rgb="FFEAEB74"/>
        </patternFill>
      </fill>
    </dxf>
    <dxf>
      <fill>
        <patternFill>
          <bgColor rgb="FFFFBB57"/>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4" tint="0.7999816888943144"/>
        </patternFill>
      </fill>
    </dxf>
    <dxf>
      <fill>
        <patternFill>
          <bgColor rgb="FF99BCE7"/>
        </patternFill>
      </fill>
    </dxf>
    <dxf>
      <fill>
        <patternFill patternType="solid">
          <fgColor indexed="64"/>
          <bgColor rgb="FFE7D480"/>
        </patternFill>
      </fill>
    </dxf>
    <dxf>
      <fill>
        <patternFill>
          <bgColor rgb="FFE3E0CF"/>
        </patternFill>
      </fill>
    </dxf>
    <dxf>
      <fill>
        <patternFill>
          <bgColor rgb="FFDDE8C6"/>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FF0000"/>
        </patternFill>
      </fill>
    </dxf>
    <dxf>
      <fill>
        <patternFill patternType="solid">
          <fgColor indexed="64"/>
          <bgColor rgb="FFE4E300"/>
        </patternFill>
      </fill>
    </dxf>
    <dxf>
      <font>
        <color auto="1"/>
      </font>
      <fill>
        <patternFill>
          <bgColor rgb="FFFF6D9E"/>
        </patternFill>
      </fill>
    </dxf>
    <dxf>
      <fill>
        <patternFill>
          <bgColor theme="7" tint="0.3999450666829432"/>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theme="7" tint="0.3999450666829432"/>
        </patternFill>
      </fill>
    </dxf>
    <dxf>
      <fill>
        <patternFill>
          <bgColor rgb="FFE1AAA9"/>
        </patternFill>
      </fill>
    </dxf>
    <dxf>
      <fill>
        <patternFill>
          <bgColor rgb="FFBBBB59"/>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FF0000"/>
        </patternFill>
      </fill>
    </dxf>
    <dxf>
      <fill>
        <patternFill patternType="solid">
          <fgColor indexed="64"/>
          <bgColor rgb="FFE4E300"/>
        </patternFill>
      </fill>
    </dxf>
    <dxf>
      <font>
        <color auto="1"/>
      </font>
      <fill>
        <patternFill>
          <bgColor rgb="FFFF6D9E"/>
        </patternFill>
      </fill>
    </dxf>
    <dxf>
      <font>
        <color auto="1"/>
      </font>
      <fill>
        <patternFill>
          <bgColor rgb="FFFF6D9E"/>
        </patternFill>
      </fill>
    </dxf>
    <dxf>
      <fill>
        <patternFill>
          <bgColor rgb="FFFF0000"/>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E4E300"/>
        </patternFill>
      </fill>
    </dxf>
    <dxf>
      <fill>
        <patternFill>
          <bgColor rgb="FFE1AAA9"/>
        </patternFill>
      </fill>
    </dxf>
    <dxf>
      <fill>
        <patternFill>
          <bgColor rgb="FFFF0000"/>
        </patternFill>
      </fill>
    </dxf>
    <dxf>
      <font>
        <color auto="1"/>
      </font>
      <fill>
        <patternFill>
          <bgColor rgb="FFFF6D9E"/>
        </patternFill>
      </fill>
    </dxf>
    <dxf>
      <fill>
        <patternFill>
          <bgColor rgb="FFFF0000"/>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E4E300"/>
        </patternFill>
      </fill>
    </dxf>
    <dxf>
      <fill>
        <patternFill>
          <bgColor rgb="FFFF0000"/>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rgb="FFBBBB59"/>
        </patternFill>
      </fill>
    </dxf>
    <dxf>
      <font>
        <color auto="1"/>
      </font>
      <fill>
        <patternFill patternType="solid">
          <fgColor indexed="64"/>
          <bgColor theme="0" tint="-0.249977111117893"/>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rgb="FFBBBB59"/>
        </patternFill>
      </fill>
    </dxf>
    <dxf>
      <font>
        <color auto="1"/>
      </font>
      <fill>
        <patternFill patternType="solid">
          <fgColor indexed="64"/>
          <bgColor theme="0" tint="-0.249977111117893"/>
        </patternFill>
      </fill>
    </dxf>
    <dxf>
      <fill>
        <patternFill>
          <bgColor theme="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E4E300"/>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theme="9" tint="0.3999450666829432"/>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theme="0" tint="-0.0499893185216834"/>
        </patternFill>
      </fill>
    </dxf>
    <dxf>
      <fill>
        <patternFill>
          <bgColor rgb="FFFF0000"/>
        </patternFill>
      </fill>
    </dxf>
    <dxf>
      <font>
        <color auto="1"/>
      </font>
      <fill>
        <patternFill>
          <bgColor rgb="FFFF6D9E"/>
        </patternFill>
      </fill>
    </dxf>
    <dxf>
      <fill>
        <patternFill>
          <bgColor rgb="FFFF0000"/>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
        </patternFill>
      </fill>
    </dxf>
    <dxf>
      <fill>
        <patternFill>
          <bgColor rgb="FF4685D2"/>
        </patternFill>
      </fill>
    </dxf>
    <dxf>
      <fill>
        <patternFill>
          <bgColor theme="7" tint="0.3999450666829432"/>
        </patternFill>
      </fill>
    </dxf>
    <dxf>
      <fill>
        <patternFill>
          <bgColor rgb="FFE1AAA9"/>
        </patternFill>
      </fill>
    </dxf>
    <dxf>
      <fill>
        <patternFill patternType="solid">
          <fgColor indexed="64"/>
          <bgColor theme="6" tint="0.5999938962981048"/>
        </patternFill>
      </fill>
    </dxf>
    <dxf>
      <fill>
        <patternFill patternType="solid">
          <fgColor indexed="64"/>
          <bgColor rgb="FF9E004F"/>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bgColor rgb="FFFF6D9E"/>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bgColor theme="7" tint="0.399945066682943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BBBB59"/>
        </patternFill>
      </fill>
    </dxf>
    <dxf>
      <fill>
        <patternFill>
          <bgColor theme="8"/>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tc={0D8C0B2D-4BE7-4E4D-96F0-2AF320E7A92B}</author>
    <author>tc={A7721605-971E-4945-9D63-93330CB04AE8}</author>
    <author>tc={3ADEF18E-5F3C-024C-B43C-76509BD9EEE5}</author>
    <author>tc={7E6E649C-BEE1-9948-A51B-43B69E2ADAD9}</author>
    <author>tc={06F031A9-C0C0-3C4B-8480-8481C4C82577}</author>
    <author>tc={29D3AC89-D866-A94C-A94A-7E3AF0956C2B}</author>
    <author>tc={A98083C7-B262-E642-89A5-871069B1003B}</author>
    <author>tc={0FF1D855-EF27-8749-9D0F-D508BCB12A91}</author>
    <author>tc={1A04833C-C756-DB4B-82F2-A6B7E3167DC3}</author>
    <author>tc={7572C379-B843-3A47-8398-34D7F92C588A}</author>
    <author>tc={1B387929-0AEF-8649-A7DD-DFC1D6B7A444}</author>
    <author>tc={7E87D776-139E-694D-894D-2E086FE3466E}</author>
    <author>tc={9CA7929A-C984-8248-BE94-E313FB582BF2}</author>
    <author>tc={67B5B70A-ACAC-9D44-8BA0-8E63707CEDAD}</author>
    <author>tc={205B2ACF-1D75-4A45-AB6C-650916D4E6D1}</author>
    <author>tc={0E9FAE46-C3A5-3540-84B4-6D9ACB592AF9}</author>
    <author>tc={7F0F3E13-9195-ED46-942C-E3873D6A5D17}</author>
    <author>tc={7566A898-9969-134F-942C-632C82F7D618}</author>
    <author>tc={AD3927D5-15D3-3442-9972-7C3182019731}</author>
    <author>tc={8AE183AC-AE55-BA45-A87C-39F2A528010D}</author>
    <author>tc={20B329C0-CCEE-CD4F-AA91-57837BEAAD5C}</author>
    <author>tc={197538FD-0889-CC47-B37D-58832C6F9C75}</author>
    <author>tc={7BAC31CC-4EB6-E240-828E-B3FACB556461}</author>
    <author>tc={1B748D86-D09D-0840-9206-9F0502C5AFD9}</author>
    <author>tc={FF907B0E-AC77-7B40-99BB-05B3FCC1CED9}</author>
    <author>tc={C49C4557-EEB8-EC40-B982-5048C63F4FB4}</author>
    <author>tc={190D2649-1EBE-9F48-BD26-1D8FF05F46E0}</author>
    <author>tc={22463247-2F6E-F241-9A47-6D761ADFD1FC}</author>
    <author>tc={C7B5AD54-B9E1-5449-8DE8-98FE45F2049A}</author>
    <author>tc={E982ED10-71DA-0042-BF7A-948E63A8A870}</author>
    <author>tc={6D1801E4-AC4E-A74E-B9E5-9DFF2140651A}</author>
    <author>tc={A88BF907-358E-5C4B-BC14-13F366136BD6}</author>
    <author>tc={20E5E80F-1C11-CC43-8E06-A061F1C99B3B}</author>
    <author>tc={AE749A99-61AF-BC46-8EF4-F29891A47236}</author>
    <author>tc={AC527A86-A2C6-FC40-8846-0A089428935F}</author>
    <author>tc={E93C9B14-DD9A-664C-A9E3-EC9BEDADFC49}</author>
    <author>tc={FCCC2822-327B-294C-B1FA-11B50238A6FC}</author>
    <author>tc={4098A39F-2AC4-FF4F-A057-86B15877FABF}</author>
    <author>tc={B5B57B29-DBAE-4246-B02F-F07950277B89}</author>
    <author>tc={36835494-EE21-9C42-BF5D-838BC9182C2D}</author>
  </authors>
  <commentList>
    <comment ref="F13" authorId="0" shapeId="0">
      <text>
        <t>[Threaded comment]
Your version of Excel allows you to read this threaded comment; however, any edits to it will get removed if the file is opened in a newer version of Excel. Learn more: https://go.microsoft.com/fwlink/?linkid=870924
Comment:
    Update based on start and end question of interest.</t>
      </text>
    </comment>
    <comment ref="C16" authorId="1" shapeId="0">
      <text>
        <t>[Threaded comment]
Your version of Excel allows you to read this threaded comment; however, any edits to it will get removed if the file is opened in a newer version of Excel. Learn more: https://go.microsoft.com/fwlink/?linkid=870924
Comment:
    PHILIPPINES ONLY:
Change “ConnectEd” to “mEducation”</t>
      </text>
    </comment>
    <comment ref="D21" authorId="2" shapeId="0">
      <text>
        <t>[Threaded comment]
Your version of Excel allows you to read this threaded comment; however, any edits to it will get removed if the file is opened in a newer version of Excel. Learn more: https://go.microsoft.com/fwlink/?linkid=870924
Comment:
    Change to “facilitator” if direct delivery.</t>
      </text>
    </comment>
    <comment ref="F22" authorId="3"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F24" authorId="4" shapeId="0">
      <text>
        <t>[Threaded comment]
Your version of Excel allows you to read this threaded comment; however, any edits to it will get removed if the file is opened in a newer version of Excel. Learn more: https://go.microsoft.com/fwlink/?linkid=870924
Comment:
    Remove “enrolled_this_term” identifier if no. of students registered are the same as no. of students tutored.</t>
      </text>
    </comment>
    <comment ref="N30" authorId="5"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J31" authorId="6" shapeId="0">
      <text>
        <t>[Threaded comment]
Your version of Excel allows you to read this threaded comment; however, any edits to it will get removed if the file is opened in a newer version of Excel. Learn more: https://go.microsoft.com/fwlink/?linkid=870924
Comment:
    Input “yes” if there is NO national/employee ID to disable the calculation.</t>
      </text>
    </comment>
    <comment ref="N31" authorId="7" shapeId="0">
      <text>
        <t>[Threaded comment]
Your version of Excel allows you to read this threaded comment; however, any edits to it will get removed if the file is opened in a newer version of Excel. Learn more: https://go.microsoft.com/fwlink/?linkid=870924
Comment:
    Change to reflect the: 
1. Country-specific facilitator database
2. National/employee ID variable (for example: fac_EMIS for Philippines, fac_omang for Botswana)
*DISABLE* if there is no national/employee ID.</t>
      </text>
    </comment>
    <comment ref="N32" authorId="8"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N33" authorId="9" shapeId="0">
      <text>
        <t>[Threaded comment]
Your version of Excel allows you to read this threaded comment; however, any edits to it will get removed if the file is opened in a newer version of Excel. Learn more: https://go.microsoft.com/fwlink/?linkid=870924
Comment:
    Change to reflect the country-specific facilitator database.</t>
      </text>
    </comment>
    <comment ref="N37" authorId="10" shapeId="0">
      <text>
        <t>[Threaded comment]
Your version of Excel allows you to read this threaded comment; however, any edits to it will get removed if the file is opened in a newer version of Excel. Learn more: https://go.microsoft.com/fwlink/?linkid=870924
Comment:
    Starting from here until before the group “phonecall”:
Change to reflect the country-specific server/cases dataset</t>
      </text>
    </comment>
    <comment ref="J38" authorId="11" shapeId="0">
      <text>
        <t>[Threaded comment]
Your version of Excel allows you to read this threaded comment; however, any edits to it will get removed if the file is opened in a newer version of Excel. Learn more: https://go.microsoft.com/fwlink/?linkid=870924
Comment:
    Disable if there is NO government-issued student ID.</t>
      </text>
    </comment>
    <comment ref="C78" authorId="12" shapeId="0">
      <text>
        <t>[Threaded comment]
Your version of Excel allows you to read this threaded comment; however, any edits to it will get removed if the file is opened in a newer version of Excel. Learn more: https://go.microsoft.com/fwlink/?linkid=870924
Comment:
    Replace ID: ${hhid} if there is NO got-issued student ID.</t>
      </text>
    </comment>
    <comment ref="C86" authorId="13" shapeId="0">
      <text>
        <t>[Threaded comment]
Your version of Excel allows you to read this threaded comment; however, any edits to it will get removed if the file is opened in a newer version of Excel. Learn more: https://go.microsoft.com/fwlink/?linkid=870924
Comment:
    Replace ID: ${hhid} if there is NO got-issued student ID.</t>
      </text>
    </comment>
    <comment ref="C87" authorId="14" shapeId="0">
      <text>
        <t>[Threaded comment]
Your version of Excel allows you to read this threaded comment; however, any edits to it will get removed if the file is opened in a newer version of Excel. Learn more: https://go.microsoft.com/fwlink/?linkid=870924
Comment:
    In the script: replace “Youth Impact” with relevant organization.
For example, in the Philippines: it’s “DepEd.”</t>
      </text>
    </comment>
    <comment ref="J90" authorId="15" shapeId="0">
      <text>
        <t>[Threaded comment]
Your version of Excel allows you to read this threaded comment; however, any edits to it will get removed if the file is opened in a newer version of Excel. Learn more: https://go.microsoft.com/fwlink/?linkid=870924
Comment:
    Input “yes” if not interested in why call is not answered.
NOTE: Ethiopia asked this q in previous pilot due to widespread network issues (has implications on # of attempts and which areas to support).</t>
      </text>
    </comment>
    <comment ref="J91" authorId="16" shapeId="0">
      <text>
        <t>[Threaded comment]
Your version of Excel allows you to read this threaded comment; however, any edits to it will get removed if the file is opened in a newer version of Excel. Learn more: https://go.microsoft.com/fwlink/?linkid=870924
Comment:
    Input “yes” if “phone_call_notanswered” is disabled.</t>
      </text>
    </comment>
    <comment ref="C99" authorId="17"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 ref="C104" authorId="18" shapeId="0">
      <text>
        <t>[Threaded comment]
Your version of Excel allows you to read this threaded comment; however, any edits to it will get removed if the file is opened in a newer version of Excel. Learn more: https://go.microsoft.com/fwlink/?linkid=870924
Comment:
    Adjust no. of weeks of implementation if needed.</t>
      </text>
    </comment>
    <comment ref="C111" authorId="19" shapeId="0">
      <text>
        <t>[Threaded comment]
Your version of Excel allows you to read this threaded comment; however, any edits to it will get removed if the file is opened in a newer version of Excel. Learn more: https://go.microsoft.com/fwlink/?linkid=870924
Comment:
    Update w/ context-specific time frame.</t>
      </text>
    </comment>
    <comment ref="A112" authorId="20" shapeId="0">
      <text>
        <t>[Threaded comment]
Your version of Excel allows you to read this threaded comment; however, any edits to it will get removed if the file is opened in a newer version of Excel. Learn more: https://go.microsoft.com/fwlink/?linkid=870924
Comment:
    Update “call_count” in CHOICES tab to reflect context-specific # of weeks of delivery.</t>
      </text>
    </comment>
    <comment ref="C112" authorId="21" shapeId="0">
      <text>
        <t>[Threaded comment]
Your version of Excel allows you to read this threaded comment; however, any edits to it will get removed if the file is opened in a newer version of Excel. Learn more: https://go.microsoft.com/fwlink/?linkid=870924
Comment:
    Update w/ context-specific time frame.</t>
      </text>
    </comment>
    <comment ref="C113" authorId="22" shapeId="0">
      <text>
        <t>[Threaded comment]
Your version of Excel allows you to read this threaded comment; however, any edits to it will get removed if the file is opened in a newer version of Excel. Learn more: https://go.microsoft.com/fwlink/?linkid=870924
Comment:
    Update w/ context-specific time frame.</t>
      </text>
    </comment>
    <comment ref="J114" authorId="23" shapeId="0">
      <text>
        <t>[Threaded comment]
Your version of Excel allows you to read this threaded comment; however, any edits to it will get removed if the file is opened in a newer version of Excel. Learn more: https://go.microsoft.com/fwlink/?linkid=870924
Comment:
    Extra question — can be disabled if partner does not want to include.</t>
      </text>
    </comment>
    <comment ref="J115" authorId="24" shapeId="0">
      <text>
        <t>[Threaded comment]
Your version of Excel allows you to read this threaded comment; however, any edits to it will get removed if the file is opened in a newer version of Excel. Learn more: https://go.microsoft.com/fwlink/?linkid=870924
Comment:
    Extra question — DISABLE if partner does not want to include.</t>
      </text>
    </comment>
    <comment ref="J117" authorId="25" shapeId="0">
      <text>
        <t>[Threaded comment]
Your version of Excel allows you to read this threaded comment; however, any edits to it will get removed if the file is opened in a newer version of Excel. Learn more: https://go.microsoft.com/fwlink/?linkid=870924
Comment:
    Extra question — can be disabled if partner does not want to include.</t>
      </text>
    </comment>
    <comment ref="J118" authorId="26" shapeId="0">
      <text>
        <t>[Threaded comment]
Your version of Excel allows you to read this threaded comment; however, any edits to it will get removed if the file is opened in a newer version of Excel. Learn more: https://go.microsoft.com/fwlink/?linkid=870924
Comment:
    Extra question — can be disabled if partner does not want to include.</t>
      </text>
    </comment>
    <comment ref="J119" authorId="27" shapeId="0">
      <text>
        <t>[Threaded comment]
Your version of Excel allows you to read this threaded comment; however, any edits to it will get removed if the file is opened in a newer version of Excel. Learn more: https://go.microsoft.com/fwlink/?linkid=870924
Comment:
    Extra question — can be disabled if partner does not want to include.</t>
      </text>
    </comment>
    <comment ref="J120" authorId="28" shapeId="0">
      <text>
        <t>[Threaded comment]
Your version of Excel allows you to read this threaded comment; however, any edits to it will get removed if the file is opened in a newer version of Excel. Learn more: https://go.microsoft.com/fwlink/?linkid=870924
Comment:
    Extra question — can be disabled if partner does not want to include.</t>
      </text>
    </comment>
    <comment ref="N127" authorId="29" shapeId="0">
      <text>
        <t>[Threaded comment]
Your version of Excel allows you to read this threaded comment; however, any edits to it will get removed if the file is opened in a newer version of Excel. Learn more: https://go.microsoft.com/fwlink/?linkid=870924
Comment:
    Starting from here:
Update all the important vars we want carried over to the next call (because caregiver can be interviewed first, then student leveled at a later call).</t>
      </text>
    </comment>
    <comment ref="J132" authorId="30"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33" authorId="31"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34" authorId="32"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35" authorId="33"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36" authorId="34"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37" authorId="35"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J138" authorId="36" shapeId="0">
      <text>
        <t>[Threaded comment]
Your version of Excel allows you to read this threaded comment; however, any edits to it will get removed if the file is opened in a newer version of Excel. Learn more: https://go.microsoft.com/fwlink/?linkid=870924
Comment:
    Extra question, ENABLE if partner wants to include.</t>
      </text>
    </comment>
    <comment ref="C141" authorId="37"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 ref="C161" authorId="38" shapeId="0">
      <text>
        <t>[Threaded comment]
Your version of Excel allows you to read this threaded comment; however, any edits to it will get removed if the file is opened in a newer version of Excel. Learn more: https://go.microsoft.com/fwlink/?linkid=870924
Comment:
    Remove “Teacher” if direct delivery.</t>
      </text>
    </comment>
    <comment ref="C218" authorId="39" shapeId="0">
      <text>
        <t>[Threaded comment]
Your version of Excel allows you to read this threaded comment; however, any edits to it will get removed if the file is opened in a newer version of Excel. Learn more: https://go.microsoft.com/fwlink/?linkid=870924
Comment:
    FOR PHILIPPINES:
Change ConnectEd to mEducation</t>
      </text>
    </comment>
  </commentList>
</comments>
</file>

<file path=xl/comments/comment2.xml><?xml version="1.0" encoding="utf-8"?>
<comments xmlns="http://schemas.openxmlformats.org/spreadsheetml/2006/main">
  <authors>
    <author>tc={7F2B029E-BE98-F74C-9500-093CBAB36735}</author>
    <author>tc={1BF858E5-44BB-A24C-BCAC-602E9DD8F910}</author>
  </authors>
  <commentList>
    <comment ref="A2" authorId="0" shapeId="0">
      <text>
        <t>[Threaded comment]
Your version of Excel allows you to read this threaded comment; however, any edits to it will get removed if the file is opened in a newer version of Excel. Learn more: https://go.microsoft.com/fwlink/?linkid=870924
Comment:
    Specify 2-digit country code here.
For example:
*Endline: ConnectEd GOV, ET 2025*
***
PHILIPPINES ONLY:
Change program name to “mEduc”
For example:
*Endline: mEduc GOV, PH 2025*</t>
      </text>
    </comment>
    <comment ref="B2" authorId="1" shapeId="0">
      <text>
        <t>[Threaded comment]
Your version of Excel allows you to read this threaded comment; however, any edits to it will get removed if the file is opened in a newer version of Excel. Learn more: https://go.microsoft.com/fwlink/?linkid=870924
Comment:
    Edit:
- term and year (ttyyyy = t12025)
- country code (cc = ph)
***
PHILIPPINES ONLY:
Change program name to “mEduc”
For example:
*mEduc_endl_t12025_ph*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docs.surveycto.com/02-designing-forms/01-core-concepts/" TargetMode="External" Id="rId1"/><Relationship Type="http://schemas.openxmlformats.org/officeDocument/2006/relationships/hyperlink" Target="https://docs.surveycto.com/02-designing-forms/02-additional-topics/07.translating.html" TargetMode="External" Id="rId2"/><Relationship Type="http://schemas.openxmlformats.org/officeDocument/2006/relationships/hyperlink" Target="https://docs.surveycto.com/02-designing-forms/02-additional-topics/07.translating.html" TargetMode="External" Id="rId3"/><Relationship Type="http://schemas.openxmlformats.org/officeDocument/2006/relationships/hyperlink" Target="https://docs.surveycto.com/02-designing-forms/03-advanced-topics/03.preloading.html" TargetMode="External" Id="rId4"/><Relationship Type="http://schemas.openxmlformats.org/officeDocument/2006/relationships/hyperlink" Target="https://docs.surveycto.com/02-designing-forms/01-core-concepts/07.constraints.html" TargetMode="External" Id="rId5"/><Relationship Type="http://schemas.openxmlformats.org/officeDocument/2006/relationships/hyperlink" Target="https://docs.surveycto.com/02-designing-forms/01-core-concepts/07.constraints.html" TargetMode="External" Id="rId6"/><Relationship Type="http://schemas.openxmlformats.org/officeDocument/2006/relationships/hyperlink" Target="https://docs.surveycto.com/02-designing-forms/01-core-concepts/08.relevance.html" TargetMode="External" Id="rId7"/><Relationship Type="http://schemas.openxmlformats.org/officeDocument/2006/relationships/hyperlink" Target="https://docs.surveycto.com/02-designing-forms/01-core-concepts/05.other-columns.html" TargetMode="External" Id="rId8"/><Relationship Type="http://schemas.openxmlformats.org/officeDocument/2006/relationships/hyperlink" Target="https://docs.surveycto.com/02-designing-forms/01-core-concepts/05.other-columns.html" TargetMode="External" Id="rId9"/><Relationship Type="http://schemas.openxmlformats.org/officeDocument/2006/relationships/hyperlink" Target="https://docs.surveycto.com/02-designing-forms/01-core-concepts/05.other-columns.html" TargetMode="External" Id="rId10"/><Relationship Type="http://schemas.openxmlformats.org/officeDocument/2006/relationships/hyperlink" Target="https://docs.surveycto.com/02-designing-forms/01-core-concepts/05.other-columns.html" TargetMode="External" Id="rId11"/><Relationship Type="http://schemas.openxmlformats.org/officeDocument/2006/relationships/hyperlink" Target="https://docs.surveycto.com/02-designing-forms/01-core-concepts/03zb.field-types-calculate.html" TargetMode="External" Id="rId12"/><Relationship Type="http://schemas.openxmlformats.org/officeDocument/2006/relationships/hyperlink" Target="https://docs.surveycto.com/02-designing-forms/01-core-concepts/06.groups.html" TargetMode="External" Id="rId13"/><Relationship Type="http://schemas.openxmlformats.org/officeDocument/2006/relationships/hyperlink" Target="https://docs.surveycto.com/02-designing-forms/04-sample-forms/04.images.html" TargetMode="External" Id="rId14"/><Relationship Type="http://schemas.openxmlformats.org/officeDocument/2006/relationships/hyperlink" Target="https://docs.surveycto.com/02-designing-forms/01-core-concepts/05.other-columns.html" TargetMode="External" Id="rId15"/><Relationship Type="http://schemas.openxmlformats.org/officeDocument/2006/relationships/hyperlink" Target="https://docs.surveycto.com/02-designing-forms/01-core-concepts/05.other-columns.html" TargetMode="External" Id="rId16"/><Relationship Type="http://schemas.openxmlformats.org/officeDocument/2006/relationships/hyperlink" Target="https://docs.surveycto.com/02-designing-forms/02-additional-topics/07.translating.html" TargetMode="External" Id="rId17"/><Relationship Type="http://schemas.openxmlformats.org/officeDocument/2006/relationships/hyperlink" Target="https://docs.surveycto.com/02-designing-forms/02-additional-topics/07.translating.html" TargetMode="External" Id="rId18"/><Relationship Type="http://schemas.openxmlformats.org/officeDocument/2006/relationships/hyperlink" Target="https://docs.surveycto.com/02-designing-forms/02-additional-topics/07.translating.html" TargetMode="External" Id="rId19"/><Relationship Type="http://schemas.openxmlformats.org/officeDocument/2006/relationships/hyperlink" Target="https://docs.surveycto.com/02-designing-forms/03-advanced-topics/02.cascading-selects.html" TargetMode="External" Id="rId20"/><Relationship Type="http://schemas.openxmlformats.org/officeDocument/2006/relationships/hyperlink" Target="https://docs.surveycto.com/02-designing-forms/02-additional-topics/04.printable-copies.html" TargetMode="External" Id="rId21"/><Relationship Type="http://schemas.openxmlformats.org/officeDocument/2006/relationships/hyperlink" Target="https://docs.surveycto.com/02-designing-forms/02-additional-topics/04.printable-copies.html" TargetMode="External" Id="rId22"/><Relationship Type="http://schemas.openxmlformats.org/officeDocument/2006/relationships/hyperlink" Target="https://docs.surveycto.com/02-designing-forms/02-additional-topics/06.encrypting.html" TargetMode="External" Id="rId23"/><Relationship Type="http://schemas.openxmlformats.org/officeDocument/2006/relationships/hyperlink" Target="https://docs.surveycto.com/04-monitoring-and-management/02-managing-for-quality/01.collecting-high-quality-data.html" TargetMode="External" Id="rId24"/><Relationship Type="http://schemas.openxmlformats.org/officeDocument/2006/relationships/hyperlink" Target="https://docs.surveycto.com/02-designing-forms/01-core-concepts/03zh.field-types-enumerator.html" TargetMode="External" Id="rId25"/><Relationship Type="http://schemas.openxmlformats.org/officeDocument/2006/relationships/hyperlink" Target="https://docs.surveycto.com/02-designing-forms/01-core-concepts/03zh.field-types-enumerator.html" TargetMode="External" Id="rId26"/><Relationship Type="http://schemas.openxmlformats.org/officeDocument/2006/relationships/hyperlink" Target="https://docs.surveycto.com/02-designing-forms/01-core-concepts/03zh.field-types-enumerator.html" TargetMode="External" Id="rId27"/><Relationship Type="http://schemas.openxmlformats.org/officeDocument/2006/relationships/hyperlink" Target="https://docs.surveycto.com/02-designing-forms/01-core-concepts/03zh.field-types-enumerator.html" TargetMode="External" Id="rId28"/><Relationship Type="http://schemas.openxmlformats.org/officeDocument/2006/relationships/hyperlink" Target="https://docs.surveycto.com/02-designing-forms/01-core-concepts/03a.field-types-text.html" TargetMode="External" Id="rId29"/><Relationship Type="http://schemas.openxmlformats.org/officeDocument/2006/relationships/hyperlink" Target="https://docs.surveycto.com/02-designing-forms/01-core-concepts/03a.field-types-text.html" TargetMode="External" Id="rId30"/><Relationship Type="http://schemas.openxmlformats.org/officeDocument/2006/relationships/hyperlink" Target="https://docs.surveycto.com/02-designing-forms/01-core-concepts/03f.field-types-integer.html" TargetMode="External" Id="rId31"/><Relationship Type="http://schemas.openxmlformats.org/officeDocument/2006/relationships/hyperlink" Target="https://docs.surveycto.com/02-designing-forms/01-core-concepts/03g.field-types-decimal.html" TargetMode="External" Id="rId32"/><Relationship Type="http://schemas.openxmlformats.org/officeDocument/2006/relationships/hyperlink" Target="https://docs.surveycto.com/02-designing-forms/01-core-concepts/03h.field-types-select-one.html" TargetMode="External" Id="rId33"/><Relationship Type="http://schemas.openxmlformats.org/officeDocument/2006/relationships/hyperlink" Target="https://docs.surveycto.com/02-designing-forms/01-core-concepts/03h.field-types-select-one.html" TargetMode="External" Id="rId34"/><Relationship Type="http://schemas.openxmlformats.org/officeDocument/2006/relationships/hyperlink" Target="https://docs.surveycto.com/02-designing-forms/01-core-concepts/03h.field-types-select-one.html" TargetMode="External" Id="rId35"/><Relationship Type="http://schemas.openxmlformats.org/officeDocument/2006/relationships/hyperlink" Target="https://docs.surveycto.com/02-designing-forms/01-core-concepts/03h.field-types-select-one.html" TargetMode="External" Id="rId36"/><Relationship Type="http://schemas.openxmlformats.org/officeDocument/2006/relationships/hyperlink" Target="https://docs.surveycto.com/02-designing-forms/01-core-concepts/03h.field-types-select-one.html" TargetMode="External" Id="rId37"/><Relationship Type="http://schemas.openxmlformats.org/officeDocument/2006/relationships/hyperlink" Target="https://docs.surveycto.com/02-designing-forms/01-core-concepts/03h.field-types-select-one.html" TargetMode="External" Id="rId38"/><Relationship Type="http://schemas.openxmlformats.org/officeDocument/2006/relationships/hyperlink" Target="https://docs.surveycto.com/02-designing-forms/01-core-concepts/03h.field-types-select-one.html" TargetMode="External" Id="rId39"/><Relationship Type="http://schemas.openxmlformats.org/officeDocument/2006/relationships/hyperlink" Target="https://docs.surveycto.com/02-designing-forms/01-core-concepts/03h.field-types-select-one.html" TargetMode="External" Id="rId40"/><Relationship Type="http://schemas.openxmlformats.org/officeDocument/2006/relationships/hyperlink" Target="https://docs.surveycto.com/02-designing-forms/01-core-concepts/03h.field-types-select-one.html" TargetMode="External" Id="rId41"/><Relationship Type="http://schemas.openxmlformats.org/officeDocument/2006/relationships/hyperlink" Target="https://docs.surveycto.com/02-designing-forms/01-core-concepts/03h.field-types-select-one.html" TargetMode="External" Id="rId42"/><Relationship Type="http://schemas.openxmlformats.org/officeDocument/2006/relationships/hyperlink" Target="https://docs.surveycto.com/02-designing-forms/01-core-concepts/03h.field-types-select-one.html" TargetMode="External" Id="rId43"/><Relationship Type="http://schemas.openxmlformats.org/officeDocument/2006/relationships/hyperlink" Target="https://docs.surveycto.com/02-designing-forms/01-core-concepts/03h.field-types-select-one.html" TargetMode="External" Id="rId44"/><Relationship Type="http://schemas.openxmlformats.org/officeDocument/2006/relationships/hyperlink" Target="https://docs.surveycto.com/02-designing-forms/01-core-concepts/03h.field-types-select-one.html" TargetMode="External" Id="rId45"/><Relationship Type="http://schemas.openxmlformats.org/officeDocument/2006/relationships/hyperlink" Target="https://docs.surveycto.com/02-designing-forms/01-core-concepts/03h.field-types-select-one.html" TargetMode="External" Id="rId46"/><Relationship Type="http://schemas.openxmlformats.org/officeDocument/2006/relationships/hyperlink" Target="https://docs.surveycto.com/02-designing-forms/01-core-concepts/03h.field-types-select-one.html" TargetMode="External" Id="rId47"/><Relationship Type="http://schemas.openxmlformats.org/officeDocument/2006/relationships/hyperlink" Target="https://docs.surveycto.com/02-designing-forms/01-core-concepts/03i.field-types-select-multiple.html" TargetMode="External" Id="rId48"/><Relationship Type="http://schemas.openxmlformats.org/officeDocument/2006/relationships/hyperlink" Target="https://docs.surveycto.com/02-designing-forms/01-core-concepts/03i.field-types-select-multiple.html" TargetMode="External" Id="rId49"/><Relationship Type="http://schemas.openxmlformats.org/officeDocument/2006/relationships/hyperlink" Target="https://docs.surveycto.com/02-designing-forms/01-core-concepts/03i.field-types-select-multiple.html" TargetMode="External" Id="rId50"/><Relationship Type="http://schemas.openxmlformats.org/officeDocument/2006/relationships/hyperlink" Target="https://docs.surveycto.com/02-designing-forms/01-core-concepts/03i.field-types-select-multiple.html" TargetMode="External" Id="rId51"/><Relationship Type="http://schemas.openxmlformats.org/officeDocument/2006/relationships/hyperlink" Target="https://docs.surveycto.com/02-designing-forms/01-core-concepts/03i.field-types-select-multiple.html" TargetMode="External" Id="rId52"/><Relationship Type="http://schemas.openxmlformats.org/officeDocument/2006/relationships/hyperlink" Target="https://docs.surveycto.com/02-designing-forms/01-core-concepts/03i.field-types-select-multiple.html" TargetMode="External" Id="rId53"/><Relationship Type="http://schemas.openxmlformats.org/officeDocument/2006/relationships/hyperlink" Target="https://docs.surveycto.com/02-designing-forms/01-core-concepts/03i.field-types-select-multiple.html" TargetMode="External" Id="rId54"/><Relationship Type="http://schemas.openxmlformats.org/officeDocument/2006/relationships/hyperlink" Target="https://docs.surveycto.com/02-designing-forms/01-core-concepts/03i.field-types-select-multiple.html" TargetMode="External" Id="rId55"/><Relationship Type="http://schemas.openxmlformats.org/officeDocument/2006/relationships/hyperlink" Target="https://docs.surveycto.com/02-designing-forms/01-core-concepts/03i.field-types-select-multiple.html" TargetMode="External" Id="rId56"/><Relationship Type="http://schemas.openxmlformats.org/officeDocument/2006/relationships/hyperlink" Target="https://docs.surveycto.com/02-designing-forms/01-core-concepts/03j.field-types-geopoint.html" TargetMode="External" Id="rId57"/><Relationship Type="http://schemas.openxmlformats.org/officeDocument/2006/relationships/hyperlink" Target="https://docs.surveycto.com/02-designing-forms/01-core-concepts/03j2.field-types-geoshape.html" TargetMode="External" Id="rId58"/><Relationship Type="http://schemas.openxmlformats.org/officeDocument/2006/relationships/hyperlink" Target="https://docs.surveycto.com/02-designing-forms/01-core-concepts/03j3.field-types-geotrace.html" TargetMode="External" Id="rId59"/><Relationship Type="http://schemas.openxmlformats.org/officeDocument/2006/relationships/hyperlink" Target="https://docs.surveycto.com/02-designing-forms/01-core-concepts/03k.field-types-barcode.html" TargetMode="External" Id="rId60"/><Relationship Type="http://schemas.openxmlformats.org/officeDocument/2006/relationships/hyperlink" Target="https://docs.surveycto.com/02-designing-forms/01-core-concepts/03l.field-types-datetime.html" TargetMode="External" Id="rId61"/><Relationship Type="http://schemas.openxmlformats.org/officeDocument/2006/relationships/hyperlink" Target="https://docs.surveycto.com/02-designing-forms/01-core-concepts/03l.field-types-datetime.html" TargetMode="External" Id="rId62"/><Relationship Type="http://schemas.openxmlformats.org/officeDocument/2006/relationships/hyperlink" Target="https://docs.surveycto.com/02-designing-forms/01-core-concepts/03l.field-types-datetime.html" TargetMode="External" Id="rId63"/><Relationship Type="http://schemas.openxmlformats.org/officeDocument/2006/relationships/hyperlink" Target="https://docs.surveycto.com/02-designing-forms/01-core-concepts/03l.field-types-datetime.html" TargetMode="External" Id="rId64"/><Relationship Type="http://schemas.openxmlformats.org/officeDocument/2006/relationships/hyperlink" Target="https://docs.surveycto.com/02-designing-forms/01-core-concepts/03l.field-types-datetime.html" TargetMode="External" Id="rId65"/><Relationship Type="http://schemas.openxmlformats.org/officeDocument/2006/relationships/hyperlink" Target="https://docs.surveycto.com/02-designing-forms/01-core-concepts/03m.field-types-image.html" TargetMode="External" Id="rId66"/><Relationship Type="http://schemas.openxmlformats.org/officeDocument/2006/relationships/hyperlink" Target="https://docs.surveycto.com/02-designing-forms/01-core-concepts/03m.field-types-image.html" TargetMode="External" Id="rId67"/><Relationship Type="http://schemas.openxmlformats.org/officeDocument/2006/relationships/hyperlink" Target="https://docs.surveycto.com/02-designing-forms/01-core-concepts/03m.field-types-image.html" TargetMode="External" Id="rId68"/><Relationship Type="http://schemas.openxmlformats.org/officeDocument/2006/relationships/hyperlink" Target="https://docs.surveycto.com/02-designing-forms/01-core-concepts/03m.field-types-image.html" TargetMode="External" Id="rId69"/><Relationship Type="http://schemas.openxmlformats.org/officeDocument/2006/relationships/hyperlink" Target="https://docs.surveycto.com/02-designing-forms/01-core-concepts/03n.field-types-audio.html" TargetMode="External" Id="rId70"/><Relationship Type="http://schemas.openxmlformats.org/officeDocument/2006/relationships/hyperlink" Target="https://docs.surveycto.com/02-designing-forms/01-core-concepts/03o.field-types-video.html" TargetMode="External" Id="rId71"/><Relationship Type="http://schemas.openxmlformats.org/officeDocument/2006/relationships/hyperlink" Target="https://docs.surveycto.com/02-designing-forms/01-core-concepts/03o2.field-types-file.html" TargetMode="External" Id="rId72"/><Relationship Type="http://schemas.openxmlformats.org/officeDocument/2006/relationships/hyperlink" Target="https://docs.surveycto.com/02-designing-forms/01-core-concepts/03p.field-types-note.html" TargetMode="External" Id="rId73"/><Relationship Type="http://schemas.openxmlformats.org/officeDocument/2006/relationships/hyperlink" Target="https://docs.surveycto.com/02-designing-forms/01-core-concepts/03q.field-types-start.html" TargetMode="External" Id="rId74"/><Relationship Type="http://schemas.openxmlformats.org/officeDocument/2006/relationships/hyperlink" Target="https://docs.surveycto.com/02-designing-forms/01-core-concepts/03r.field-types-end.html" TargetMode="External" Id="rId75"/><Relationship Type="http://schemas.openxmlformats.org/officeDocument/2006/relationships/hyperlink" Target="https://docs.surveycto.com/02-designing-forms/01-core-concepts/03s.field-types-deviceid.html" TargetMode="External" Id="rId76"/><Relationship Type="http://schemas.openxmlformats.org/officeDocument/2006/relationships/hyperlink" Target="https://docs.surveycto.com/02-designing-forms/01-core-concepts/03u.field-types-subscriberid.html" TargetMode="External" Id="rId77"/><Relationship Type="http://schemas.openxmlformats.org/officeDocument/2006/relationships/hyperlink" Target="https://docs.surveycto.com/02-designing-forms/01-core-concepts/03v.field-types-simserial.html" TargetMode="External" Id="rId78"/><Relationship Type="http://schemas.openxmlformats.org/officeDocument/2006/relationships/hyperlink" Target="https://docs.surveycto.com/02-designing-forms/01-core-concepts/03y.field-types-caseid.html" TargetMode="External" Id="rId79"/><Relationship Type="http://schemas.openxmlformats.org/officeDocument/2006/relationships/hyperlink" Target="https://docs.surveycto.com/02-designing-forms/01-core-concepts/03w.field-types-phonenumber.html" TargetMode="External" Id="rId80"/><Relationship Type="http://schemas.openxmlformats.org/officeDocument/2006/relationships/hyperlink" Target="https://docs.surveycto.com/02-designing-forms/01-core-concepts/03za.field-types-comments.html" TargetMode="External" Id="rId81"/><Relationship Type="http://schemas.openxmlformats.org/officeDocument/2006/relationships/hyperlink" Target="https://docs.surveycto.com/02-designing-forms/01-core-concepts/03zb.field-types-calculate.html" TargetMode="External" Id="rId82"/><Relationship Type="http://schemas.openxmlformats.org/officeDocument/2006/relationships/hyperlink" Target="https://docs.surveycto.com/02-designing-forms/01-core-concepts/03zb.field-types-calculate.html" TargetMode="External" Id="rId83"/><Relationship Type="http://schemas.openxmlformats.org/officeDocument/2006/relationships/hyperlink" Target="https://docs.surveycto.com/02-designing-forms/01-core-concepts/03zd.field-types-text-audit.html" TargetMode="External" Id="rId84"/><Relationship Type="http://schemas.openxmlformats.org/officeDocument/2006/relationships/hyperlink" Target="https://docs.surveycto.com/02-designing-forms/01-core-concepts/03ze.field-types-audio-audit.html" TargetMode="External" Id="rId85"/><Relationship Type="http://schemas.openxmlformats.org/officeDocument/2006/relationships/hyperlink" Target="https://docs.surveycto.com/02-designing-forms/01-core-concepts/03ze.field-types-audio-audit.html" TargetMode="External" Id="rId86"/><Relationship Type="http://schemas.openxmlformats.org/officeDocument/2006/relationships/hyperlink" Target="https://docs.surveycto.com/02-designing-forms/01-core-concepts/03ze.field-types-audio-audit.html" TargetMode="External" Id="rId87"/><Relationship Type="http://schemas.openxmlformats.org/officeDocument/2006/relationships/hyperlink" Target="https://docs.surveycto.com/02-designing-forms/01-core-concepts/06.groups.html" TargetMode="External" Id="rId88"/><Relationship Type="http://schemas.openxmlformats.org/officeDocument/2006/relationships/hyperlink" Target="https://docs.surveycto.com/02-designing-forms/01-core-concepts/06.groups.html" TargetMode="External" Id="rId89"/><Relationship Type="http://schemas.openxmlformats.org/officeDocument/2006/relationships/hyperlink" Target="https://docs.surveycto.com/02-designing-forms/01-core-concepts/06.groups.html" TargetMode="External" Id="rId90"/><Relationship Type="http://schemas.openxmlformats.org/officeDocument/2006/relationships/hyperlink" Target="https://docs.surveycto.com/02-designing-forms/01-core-concepts/03zc.field-types-speed-violations.html" TargetMode="External" Id="rId91"/><Relationship Type="http://schemas.openxmlformats.org/officeDocument/2006/relationships/hyperlink" Target="https://docs.surveycto.com/02-designing-forms/01-core-concepts/03zc.field-types-speed-violations.html" TargetMode="External" Id="rId92"/><Relationship Type="http://schemas.openxmlformats.org/officeDocument/2006/relationships/hyperlink" Target="https://docs.surveycto.com/02-designing-forms/01-core-concepts/03zc.field-types-speed-violations.html" TargetMode="External" Id="rId93"/><Relationship Type="http://schemas.openxmlformats.org/officeDocument/2006/relationships/hyperlink" Target="https://docs.surveycto.com/02-designing-forms/01-core-concepts/03zg.field-types-sensor-stream.html" TargetMode="External" Id="rId94"/><Relationship Type="http://schemas.openxmlformats.org/officeDocument/2006/relationships/hyperlink" Target="https://docs.surveycto.com/02-designing-forms/01-core-concepts/03zf.field-types-sensor-statistic.html" TargetMode="External" Id="rId95"/><Relationship Type="http://schemas.openxmlformats.org/officeDocument/2006/relationships/hyperlink" Target="https://docs.surveycto.com/02-designing-forms/01-core-concepts/09.expressions.html" TargetMode="External" Id="rId96"/></Relationships>
</file>

<file path=xl/worksheets/_rels/sheet5.xml.rels><Relationships xmlns="http://schemas.openxmlformats.org/package/2006/relationships"><Relationship Type="http://schemas.openxmlformats.org/officeDocument/2006/relationships/hyperlink" Target="https://docs.surveycto.com/02-designing-forms/01-core-concepts/03h.field-types-select-one.html" TargetMode="External" Id="rId1"/><Relationship Type="http://schemas.openxmlformats.org/officeDocument/2006/relationships/hyperlink" Target="https://docs.surveycto.com/02-designing-forms/01-core-concepts/03i.field-types-select-multiple.html" TargetMode="External" Id="rId2"/><Relationship Type="http://schemas.openxmlformats.org/officeDocument/2006/relationships/hyperlink" Target="https://docs.surveycto.com/02-designing-forms/04-sample-forms/12.search-and-select.html" TargetMode="External" Id="rId3"/><Relationship Type="http://schemas.openxmlformats.org/officeDocument/2006/relationships/hyperlink" Target="https://docs.surveycto.com/02-designing-forms/02-additional-topics/07.translating.html" TargetMode="External" Id="rId4"/><Relationship Type="http://schemas.openxmlformats.org/officeDocument/2006/relationships/hyperlink" Target="https://docs.surveycto.com/02-designing-forms/04-sample-forms/04.images.html" TargetMode="External" Id="rId5"/><Relationship Type="http://schemas.openxmlformats.org/officeDocument/2006/relationships/hyperlink" Target="https://docs.surveycto.com/02-designing-forms/03-advanced-topics/02.cascading-selects.html" TargetMode="External" Id="rId6"/></Relationships>
</file>

<file path=xl/worksheets/_rels/sheet6.xml.rels><Relationships xmlns="http://schemas.openxmlformats.org/package/2006/relationships"><Relationship Type="http://schemas.openxmlformats.org/officeDocument/2006/relationships/hyperlink" Target="https://docs.surveycto.com/02-designing-forms/02-additional-topics/08.hiding-test-forms.html" TargetMode="External" Id="rId1"/><Relationship Type="http://schemas.openxmlformats.org/officeDocument/2006/relationships/hyperlink" Target="https://docs.surveycto.com/02-designing-forms/01-core-concepts/10.updating.html" TargetMode="External" Id="rId2"/><Relationship Type="http://schemas.openxmlformats.org/officeDocument/2006/relationships/hyperlink" Target="https://docs.surveycto.com/02-designing-forms/02-additional-topics/06.encrypting.html" TargetMode="External" Id="rId3"/><Relationship Type="http://schemas.openxmlformats.org/officeDocument/2006/relationships/hyperlink" Target="https://docs.surveycto.com/02-designing-forms/02-additional-topics/06.encrypting.html" TargetMode="External" Id="rId4"/><Relationship Type="http://schemas.openxmlformats.org/officeDocument/2006/relationships/hyperlink" Target="https://docs.surveycto.com/02-designing-forms/02-additional-topics/07.translating.html" TargetMode="External" Id="rId5"/></Relationships>
</file>

<file path=xl/worksheets/sheet1.xml><?xml version="1.0" encoding="utf-8"?>
<worksheet xmlns="http://schemas.openxmlformats.org/spreadsheetml/2006/main">
  <sheetPr>
    <outlinePr summaryBelow="1" summaryRight="1"/>
    <pageSetUpPr/>
  </sheetPr>
  <dimension ref="A1:X220"/>
  <sheetViews>
    <sheetView tabSelected="1" zoomScale="128" zoomScaleNormal="128" workbookViewId="0">
      <pane ySplit="1" topLeftCell="A2" activePane="bottomLeft" state="frozen"/>
      <selection pane="bottomLeft" activeCell="C1" sqref="C1"/>
      <selection pane="bottomLeft" activeCell="A2" sqref="A2"/>
      <selection pane="bottomRight" activeCell="I25" sqref="I25"/>
    </sheetView>
  </sheetViews>
  <sheetFormatPr baseColWidth="10" defaultColWidth="11" defaultRowHeight="16"/>
  <cols>
    <col width="16" customWidth="1" style="72" min="1" max="1"/>
    <col width="26" customWidth="1" style="72" min="2" max="2"/>
    <col width="42" bestFit="1" customWidth="1" style="73" min="3" max="3"/>
    <col width="42" bestFit="1" customWidth="1" style="74" min="4" max="4"/>
    <col width="12" bestFit="1" customWidth="1" style="72" min="5" max="5"/>
    <col width="18" bestFit="1" customWidth="1" style="74" min="6" max="6"/>
    <col width="42" bestFit="1" customWidth="1" style="74" min="7" max="7"/>
    <col width="42" customWidth="1" style="74" min="8" max="8"/>
    <col width="42" bestFit="1" customWidth="1" style="72" min="9" max="9"/>
    <col width="10" bestFit="1" customWidth="1" style="72" min="10" max="10"/>
    <col width="10" bestFit="1" customWidth="1" style="72" min="11" max="11"/>
    <col width="42" customWidth="1" style="72" min="12" max="12"/>
    <col width="10" bestFit="1" customWidth="1" style="72" min="13" max="13"/>
    <col width="42" customWidth="1" style="72" min="14" max="14"/>
    <col width="12" customWidth="1" style="72" min="15" max="15"/>
    <col width="14" bestFit="1" customWidth="1" style="72" min="16" max="16"/>
    <col width="14" bestFit="1" customWidth="1" style="72" min="17" max="17"/>
    <col width="14" bestFit="1" customWidth="1" style="72" min="18" max="18"/>
    <col width="42" customWidth="1" style="72" min="19" max="19"/>
    <col width="20" customWidth="1" style="72" min="20" max="20"/>
    <col width="42" customWidth="1" style="72" min="21" max="22"/>
    <col width="42" customWidth="1" min="22" max="22"/>
    <col width="12" bestFit="1" customWidth="1" style="72" min="23" max="23"/>
    <col width="14" bestFit="1" customWidth="1" style="72" min="24" max="24"/>
    <col width="11" customWidth="1" style="2" min="25" max="16384"/>
  </cols>
  <sheetData>
    <row r="1" ht="20" customFormat="1" customHeight="1" s="3">
      <c r="A1" s="111" t="inlineStr">
        <is>
          <t>type</t>
        </is>
      </c>
      <c r="B1" s="111" t="inlineStr">
        <is>
          <t>name</t>
        </is>
      </c>
      <c r="C1" s="112" t="inlineStr">
        <is>
          <t>label</t>
        </is>
      </c>
      <c r="D1" s="111" t="inlineStr">
        <is>
          <t>hint</t>
        </is>
      </c>
      <c r="E1" s="111" t="inlineStr">
        <is>
          <t>default</t>
        </is>
      </c>
      <c r="F1" s="111" t="inlineStr">
        <is>
          <t>appearance</t>
        </is>
      </c>
      <c r="G1" s="111" t="inlineStr">
        <is>
          <t>constraint</t>
        </is>
      </c>
      <c r="H1" s="111" t="inlineStr">
        <is>
          <t>constraint message</t>
        </is>
      </c>
      <c r="I1" s="111" t="inlineStr">
        <is>
          <t>relevance</t>
        </is>
      </c>
      <c r="J1" s="111" t="inlineStr">
        <is>
          <t>disabled</t>
        </is>
      </c>
      <c r="K1" s="111" t="inlineStr">
        <is>
          <t>required</t>
        </is>
      </c>
      <c r="L1" s="111" t="inlineStr">
        <is>
          <t>required message</t>
        </is>
      </c>
      <c r="M1" s="111" t="inlineStr">
        <is>
          <t>read only</t>
        </is>
      </c>
      <c r="N1" s="111" t="inlineStr">
        <is>
          <t>calculation</t>
        </is>
      </c>
      <c r="O1" s="111" t="inlineStr">
        <is>
          <t>repeat_count</t>
        </is>
      </c>
      <c r="P1" s="111" t="inlineStr">
        <is>
          <t>media:image</t>
        </is>
      </c>
      <c r="Q1" s="111" t="inlineStr">
        <is>
          <t>media:audio</t>
        </is>
      </c>
      <c r="R1" s="111" t="inlineStr">
        <is>
          <t>media:video</t>
        </is>
      </c>
      <c r="S1" s="111" t="inlineStr">
        <is>
          <t>label_stata</t>
        </is>
      </c>
      <c r="T1" s="111" t="inlineStr">
        <is>
          <t>choice_filter</t>
        </is>
      </c>
      <c r="U1" s="111" t="inlineStr">
        <is>
          <t>note</t>
        </is>
      </c>
      <c r="V1" s="111" t="inlineStr">
        <is>
          <t>response_note</t>
        </is>
      </c>
      <c r="W1" s="111" t="inlineStr">
        <is>
          <t>publishable</t>
        </is>
      </c>
      <c r="X1" s="111" t="inlineStr">
        <is>
          <t>minimum_seconds</t>
        </is>
      </c>
    </row>
    <row r="2">
      <c r="A2" s="113" t="inlineStr">
        <is>
          <t>start</t>
        </is>
      </c>
      <c r="B2" s="113" t="inlineStr">
        <is>
          <t>starttime</t>
        </is>
      </c>
      <c r="C2" s="114" t="n"/>
      <c r="D2" s="114" t="n"/>
      <c r="E2" s="115" t="n"/>
      <c r="F2" s="115" t="n"/>
      <c r="G2" s="114" t="n"/>
      <c r="H2" s="114" t="n"/>
      <c r="I2" s="116" t="n"/>
      <c r="J2" s="113" t="n"/>
      <c r="K2" s="115" t="n"/>
      <c r="L2" s="114" t="n"/>
      <c r="M2" s="115" t="n"/>
      <c r="N2" s="114" t="n"/>
      <c r="O2" s="115" t="n"/>
      <c r="P2" s="115" t="n"/>
      <c r="Q2" s="115" t="n"/>
      <c r="R2" s="115" t="n"/>
      <c r="S2" s="114" t="n"/>
      <c r="T2" s="115" t="n"/>
      <c r="U2" s="114" t="n"/>
      <c r="V2" s="114" t="n"/>
      <c r="W2" s="115" t="n"/>
      <c r="X2" s="115" t="n"/>
    </row>
    <row r="3" ht="16" customHeight="1">
      <c r="A3" s="113" t="inlineStr">
        <is>
          <t>end</t>
        </is>
      </c>
      <c r="B3" s="113" t="inlineStr">
        <is>
          <t>endtime</t>
        </is>
      </c>
      <c r="C3" s="114" t="n"/>
      <c r="D3" s="114" t="n"/>
      <c r="E3" s="115" t="n"/>
      <c r="F3" s="115" t="n"/>
      <c r="G3" s="114" t="n"/>
      <c r="H3" s="114" t="n"/>
      <c r="I3" s="114" t="n"/>
      <c r="J3" s="115" t="n"/>
      <c r="K3" s="115" t="n"/>
      <c r="L3" s="114" t="n"/>
      <c r="M3" s="115" t="n"/>
      <c r="N3" s="114" t="n"/>
      <c r="O3" s="115" t="n"/>
      <c r="P3" s="115" t="n"/>
      <c r="Q3" s="115" t="n"/>
      <c r="R3" s="115" t="n"/>
      <c r="S3" s="114" t="n"/>
      <c r="T3" s="115" t="n"/>
      <c r="U3" s="114" t="n"/>
      <c r="V3" s="114" t="n"/>
      <c r="W3" s="115" t="n"/>
      <c r="X3" s="115" t="n"/>
    </row>
    <row r="4">
      <c r="A4" s="113" t="inlineStr">
        <is>
          <t>deviceid</t>
        </is>
      </c>
      <c r="B4" s="113" t="inlineStr">
        <is>
          <t>deviceid</t>
        </is>
      </c>
      <c r="C4" s="114" t="n"/>
      <c r="D4" s="114" t="n"/>
      <c r="E4" s="115" t="n"/>
      <c r="F4" s="115" t="n"/>
      <c r="G4" s="114" t="n"/>
      <c r="H4" s="114" t="n"/>
      <c r="I4" s="116" t="n"/>
      <c r="J4" s="113" t="n"/>
      <c r="K4" s="115" t="n"/>
      <c r="L4" s="114" t="n"/>
      <c r="M4" s="115" t="n"/>
      <c r="N4" s="114" t="n"/>
      <c r="O4" s="115" t="n"/>
      <c r="P4" s="115" t="n"/>
      <c r="Q4" s="115" t="n"/>
      <c r="R4" s="115" t="n"/>
      <c r="S4" s="114" t="n"/>
      <c r="T4" s="115" t="n"/>
      <c r="U4" s="114" t="n"/>
      <c r="V4" s="114" t="n"/>
      <c r="W4" s="115" t="n"/>
      <c r="X4" s="115" t="n"/>
    </row>
    <row r="5">
      <c r="A5" s="113" t="inlineStr">
        <is>
          <t>phonenumber</t>
        </is>
      </c>
      <c r="B5" s="113" t="inlineStr">
        <is>
          <t>devicephonenum</t>
        </is>
      </c>
      <c r="C5" s="114" t="n"/>
      <c r="D5" s="114" t="n"/>
      <c r="E5" s="115" t="n"/>
      <c r="F5" s="115" t="n"/>
      <c r="G5" s="114" t="n"/>
      <c r="H5" s="114" t="n"/>
      <c r="I5" s="116" t="n"/>
      <c r="J5" s="113" t="n"/>
      <c r="K5" s="115" t="n"/>
      <c r="L5" s="114" t="n"/>
      <c r="M5" s="115" t="n"/>
      <c r="N5" s="114" t="n"/>
      <c r="O5" s="115" t="n"/>
      <c r="P5" s="115" t="n"/>
      <c r="Q5" s="115" t="n"/>
      <c r="R5" s="115" t="n"/>
      <c r="S5" s="114" t="n"/>
      <c r="T5" s="115" t="n"/>
      <c r="U5" s="114" t="n"/>
      <c r="V5" s="114" t="n"/>
      <c r="W5" s="115" t="n"/>
      <c r="X5" s="115" t="n"/>
    </row>
    <row r="6">
      <c r="A6" s="113" t="inlineStr">
        <is>
          <t>username</t>
        </is>
      </c>
      <c r="B6" s="113" t="inlineStr">
        <is>
          <t>username</t>
        </is>
      </c>
      <c r="C6" s="114" t="n"/>
      <c r="D6" s="114" t="n"/>
      <c r="E6" s="115" t="n"/>
      <c r="F6" s="115" t="n"/>
      <c r="G6" s="114" t="n"/>
      <c r="H6" s="114" t="n"/>
      <c r="I6" s="116" t="n"/>
      <c r="J6" s="113" t="n"/>
      <c r="K6" s="115" t="n"/>
      <c r="L6" s="114" t="n"/>
      <c r="M6" s="115" t="n"/>
      <c r="N6" s="114" t="n"/>
      <c r="O6" s="115" t="n"/>
      <c r="P6" s="115" t="n"/>
      <c r="Q6" s="115" t="n"/>
      <c r="R6" s="115" t="n"/>
      <c r="S6" s="114" t="n"/>
      <c r="T6" s="115" t="n"/>
      <c r="U6" s="114" t="n"/>
      <c r="V6" s="114" t="n"/>
      <c r="W6" s="115" t="n"/>
      <c r="X6" s="115" t="n"/>
    </row>
    <row r="7">
      <c r="A7" s="113" t="inlineStr">
        <is>
          <t>calculate</t>
        </is>
      </c>
      <c r="B7" s="113" t="inlineStr">
        <is>
          <t>device_info</t>
        </is>
      </c>
      <c r="C7" s="114" t="n"/>
      <c r="D7" s="114" t="n"/>
      <c r="E7" s="115" t="n"/>
      <c r="F7" s="115" t="n"/>
      <c r="G7" s="114" t="n"/>
      <c r="H7" s="114" t="n"/>
      <c r="I7" s="116" t="n"/>
      <c r="J7" s="113" t="n"/>
      <c r="K7" s="115" t="n"/>
      <c r="L7" s="114" t="n"/>
      <c r="M7" s="115" t="n"/>
      <c r="N7" s="116" t="inlineStr">
        <is>
          <t>device-info()</t>
        </is>
      </c>
      <c r="O7" s="115" t="n"/>
      <c r="P7" s="115" t="n"/>
      <c r="Q7" s="115" t="n"/>
      <c r="R7" s="115" t="n"/>
      <c r="S7" s="114" t="n"/>
      <c r="T7" s="115" t="n"/>
      <c r="U7" s="114" t="n"/>
      <c r="V7" s="114" t="n"/>
      <c r="W7" s="115" t="n"/>
      <c r="X7" s="115" t="n"/>
    </row>
    <row r="8" ht="17" customHeight="1">
      <c r="A8" s="113" t="inlineStr">
        <is>
          <t>calculate</t>
        </is>
      </c>
      <c r="B8" s="113" t="inlineStr">
        <is>
          <t>instance_time_e</t>
        </is>
      </c>
      <c r="C8" s="117" t="inlineStr">
        <is>
          <t>The time and date of the current call attempt for use as the instance_name.</t>
        </is>
      </c>
      <c r="D8" s="114" t="n"/>
      <c r="E8" s="115" t="n"/>
      <c r="F8" s="115" t="n"/>
      <c r="G8" s="114" t="n"/>
      <c r="H8" s="114" t="n"/>
      <c r="I8" s="116" t="n"/>
      <c r="J8" s="113" t="n"/>
      <c r="K8" s="115" t="n"/>
      <c r="L8" s="114" t="n"/>
      <c r="M8" s="115" t="n"/>
      <c r="N8" s="116" t="inlineStr">
        <is>
          <t xml:space="preserve">once(format-date-time(now(), '%Y-%m-%d %H:%M'))	 	 </t>
        </is>
      </c>
      <c r="O8" s="115" t="n"/>
      <c r="P8" s="115" t="n"/>
      <c r="Q8" s="115" t="n"/>
      <c r="R8" s="115" t="n"/>
      <c r="S8" s="114" t="n"/>
      <c r="T8" s="115" t="n"/>
      <c r="U8" s="114" t="n"/>
      <c r="V8" s="114" t="n"/>
      <c r="W8" s="115" t="n"/>
      <c r="X8" s="115" t="n"/>
    </row>
    <row r="9" ht="17" customHeight="1">
      <c r="A9" s="113" t="inlineStr">
        <is>
          <t>calculate</t>
        </is>
      </c>
      <c r="B9" s="113" t="inlineStr">
        <is>
          <t>duration_e</t>
        </is>
      </c>
      <c r="C9" s="117" t="inlineStr">
        <is>
          <t>Returns the total amount of time spent, in seconds, filling or editing the current form submission.</t>
        </is>
      </c>
      <c r="D9" s="114" t="n"/>
      <c r="E9" s="115" t="n"/>
      <c r="F9" s="115" t="n"/>
      <c r="G9" s="114" t="n"/>
      <c r="H9" s="114" t="n"/>
      <c r="I9" s="116" t="n"/>
      <c r="J9" s="113" t="n"/>
      <c r="K9" s="115" t="n"/>
      <c r="L9" s="114" t="n"/>
      <c r="M9" s="115" t="n"/>
      <c r="N9" s="116" t="inlineStr">
        <is>
          <t>duration()</t>
        </is>
      </c>
      <c r="O9" s="115" t="n"/>
      <c r="P9" s="115" t="n"/>
      <c r="Q9" s="115" t="n"/>
      <c r="R9" s="115" t="n"/>
      <c r="S9" s="114" t="n"/>
      <c r="T9" s="115" t="n"/>
      <c r="U9" s="114" t="n"/>
      <c r="V9" s="114" t="n"/>
      <c r="W9" s="115" t="n"/>
      <c r="X9" s="115" t="n"/>
    </row>
    <row r="10" ht="17" customHeight="1">
      <c r="A10" s="113" t="inlineStr">
        <is>
          <t>calculate</t>
        </is>
      </c>
      <c r="B10" s="113" t="inlineStr">
        <is>
          <t>duration_call_e</t>
        </is>
      </c>
      <c r="C10" s="117" t="inlineStr">
        <is>
          <t>Returns the total number of seconds spent on a phone call during the form.</t>
        </is>
      </c>
      <c r="D10" s="114" t="n"/>
      <c r="E10" s="115" t="n"/>
      <c r="F10" s="115" t="n"/>
      <c r="G10" s="114" t="n"/>
      <c r="H10" s="114" t="n"/>
      <c r="I10" s="116" t="n"/>
      <c r="J10" s="113" t="n"/>
      <c r="K10" s="115" t="n"/>
      <c r="L10" s="114" t="n"/>
      <c r="M10" s="115" t="n"/>
      <c r="N10" s="116" t="inlineStr">
        <is>
          <t>phone-call-duration()</t>
        </is>
      </c>
      <c r="O10" s="115" t="n"/>
      <c r="P10" s="115" t="n"/>
      <c r="Q10" s="115" t="n"/>
      <c r="R10" s="115" t="n"/>
      <c r="S10" s="114" t="n"/>
      <c r="T10" s="115" t="n"/>
      <c r="U10" s="114" t="n"/>
      <c r="V10" s="114" t="n"/>
      <c r="W10" s="115" t="n"/>
      <c r="X10" s="115" t="n"/>
    </row>
    <row r="11" ht="17" customHeight="1">
      <c r="A11" s="113" t="inlineStr">
        <is>
          <t>calculate</t>
        </is>
      </c>
      <c r="B11" s="113" t="inlineStr">
        <is>
          <t>duration_true_e</t>
        </is>
      </c>
      <c r="C11" s="117" t="inlineStr">
        <is>
          <t>Returns the total amount of time spent, in seconds, to complete the survey.</t>
        </is>
      </c>
      <c r="D11" s="114" t="n"/>
      <c r="E11" s="115" t="n"/>
      <c r="F11" s="115" t="n"/>
      <c r="G11" s="114" t="n"/>
      <c r="H11" s="114" t="n"/>
      <c r="I11" s="116" t="n"/>
      <c r="J11" s="113" t="n"/>
      <c r="K11" s="115" t="n"/>
      <c r="L11" s="114" t="n"/>
      <c r="M11" s="115" t="n"/>
      <c r="N11" s="116" t="inlineStr">
        <is>
          <t>${survey_end_ts} - ${survey_start_ts}</t>
        </is>
      </c>
      <c r="O11" s="115" t="n"/>
      <c r="P11" s="115" t="n"/>
      <c r="Q11" s="115" t="n"/>
      <c r="R11" s="115" t="n"/>
      <c r="S11" s="114" t="n"/>
      <c r="T11" s="115" t="n"/>
      <c r="U11" s="114" t="n"/>
      <c r="V11" s="114" t="n"/>
      <c r="W11" s="115" t="n"/>
      <c r="X11" s="115" t="n"/>
    </row>
    <row r="12">
      <c r="A12" s="115" t="n"/>
      <c r="B12" s="115" t="n"/>
      <c r="C12" s="114" t="n"/>
      <c r="D12" s="114" t="n"/>
      <c r="E12" s="115" t="n"/>
      <c r="F12" s="115" t="n"/>
      <c r="G12" s="114" t="n"/>
      <c r="H12" s="114" t="n"/>
      <c r="I12" s="116" t="n"/>
      <c r="J12" s="113" t="n"/>
      <c r="K12" s="115" t="n"/>
      <c r="L12" s="114" t="n"/>
      <c r="M12" s="115" t="n"/>
      <c r="N12" s="114" t="n"/>
      <c r="O12" s="115" t="n"/>
      <c r="P12" s="115" t="n"/>
      <c r="Q12" s="115" t="n"/>
      <c r="R12" s="115" t="n"/>
      <c r="S12" s="114" t="n"/>
      <c r="T12" s="115" t="n"/>
      <c r="U12" s="114" t="n"/>
      <c r="V12" s="114" t="n"/>
      <c r="W12" s="115" t="n"/>
      <c r="X12" s="115" t="n"/>
    </row>
    <row r="13">
      <c r="A13" s="113" t="inlineStr">
        <is>
          <t>audio audit</t>
        </is>
      </c>
      <c r="B13" s="113" t="inlineStr">
        <is>
          <t>audio_audit_e</t>
        </is>
      </c>
      <c r="C13" s="114" t="n"/>
      <c r="D13" s="114" t="n"/>
      <c r="E13" s="115" t="n"/>
      <c r="F13" s="113" t="inlineStr">
        <is>
          <t>p=100;s=phone_select;d=call_status_e</t>
        </is>
      </c>
      <c r="G13" s="114" t="n"/>
      <c r="H13" s="114" t="n"/>
      <c r="I13" s="116" t="n"/>
      <c r="J13" s="113" t="n"/>
      <c r="K13" s="115" t="n"/>
      <c r="L13" s="114" t="n"/>
      <c r="M13" s="115" t="n"/>
      <c r="N13" s="114" t="n"/>
      <c r="O13" s="115" t="n"/>
      <c r="P13" s="115" t="n"/>
      <c r="Q13" s="115" t="n"/>
      <c r="R13" s="115" t="n"/>
      <c r="S13" s="114" t="n"/>
      <c r="T13" s="115" t="n"/>
      <c r="U13" s="114" t="n"/>
      <c r="V13" s="114" t="n"/>
      <c r="W13" s="115" t="n"/>
      <c r="X13" s="115" t="n"/>
    </row>
    <row r="14">
      <c r="A14" s="113" t="inlineStr">
        <is>
          <t>text audit</t>
        </is>
      </c>
      <c r="B14" s="113" t="inlineStr">
        <is>
          <t>text_audit_e</t>
        </is>
      </c>
      <c r="C14" s="114" t="n"/>
      <c r="D14" s="114" t="n"/>
      <c r="E14" s="115" t="n"/>
      <c r="F14" s="113" t="inlineStr">
        <is>
          <t>p=100</t>
        </is>
      </c>
      <c r="G14" s="114" t="n"/>
      <c r="H14" s="114" t="n"/>
      <c r="I14" s="116" t="n"/>
      <c r="J14" s="113" t="n"/>
      <c r="K14" s="115" t="n"/>
      <c r="L14" s="114" t="n"/>
      <c r="M14" s="115" t="n"/>
      <c r="N14" s="114" t="n"/>
      <c r="O14" s="115" t="n"/>
      <c r="P14" s="115" t="n"/>
      <c r="Q14" s="115" t="n"/>
      <c r="R14" s="115" t="n"/>
      <c r="S14" s="114" t="n"/>
      <c r="T14" s="115" t="n"/>
      <c r="U14" s="114" t="n"/>
      <c r="V14" s="114" t="n"/>
      <c r="W14" s="115" t="n"/>
      <c r="X14" s="115" t="n"/>
    </row>
    <row r="15">
      <c r="A15" s="115" t="n"/>
      <c r="B15" s="115" t="n"/>
      <c r="C15" s="114" t="n"/>
      <c r="D15" s="114" t="n"/>
      <c r="E15" s="115" t="n"/>
      <c r="F15" s="115" t="n"/>
      <c r="G15" s="114" t="n"/>
      <c r="H15" s="114" t="n"/>
      <c r="I15" s="116" t="n"/>
      <c r="J15" s="113" t="n"/>
      <c r="K15" s="115" t="n"/>
      <c r="L15" s="114" t="n"/>
      <c r="M15" s="115" t="n"/>
      <c r="N15" s="114" t="n"/>
      <c r="O15" s="115" t="n"/>
      <c r="P15" s="115" t="n"/>
      <c r="Q15" s="115" t="n"/>
      <c r="R15" s="115" t="n"/>
      <c r="S15" s="114" t="n"/>
      <c r="T15" s="115" t="n"/>
      <c r="U15" s="114" t="n"/>
      <c r="V15" s="114" t="n"/>
      <c r="W15" s="115" t="n"/>
      <c r="X15" s="115" t="n"/>
    </row>
    <row r="16" ht="388" customHeight="1">
      <c r="A16" s="113" t="inlineStr">
        <is>
          <t>note</t>
        </is>
      </c>
      <c r="B16" s="113" t="inlineStr">
        <is>
          <t>note_intro</t>
        </is>
      </c>
      <c r="C16" s="117" t="inlineStr">
        <is>
          <t>&lt;p style="font-weight:bold;"&gt;Welcome to the mEducation Endline Form!&lt;/p&gt;
&lt;br&gt;
Before you begin your call, please read the following instructions carefully:
&lt;br&gt;&lt;br&gt;
&lt;ol&gt;
&lt;li&gt;Unless explicitly stated, read all the questions out loud.&lt;/li&gt;
&lt;li&gt;Unless explicitly stated, do &lt;b&gt;&lt;u&gt;not&lt;/u&gt;&lt;/b&gt; read choices/answer options out loud.&lt;/li&gt;
&lt;li&gt;Surveys are considered completed when one of the following happens:&lt;/li&gt;
&lt;ul&gt;
&lt;li&gt;You have successfully reached a household &lt;b&gt;&lt;u&gt;and&lt;/u&gt;&lt;/b&gt; assessed/levelled the enrolled child.&lt;/li&gt;
&lt;li&gt;The household withdraws consent to be surveyed.&lt;/li&gt;
&lt;li&gt;You have made &lt;font color="red"&gt;&lt;b&gt;&lt;u&gt;SEVEN (7) CALL ATTEMPTS&lt;/u&gt;&lt;/b&gt;&lt;/font&gt; over a few days and at different times per day.&lt;/li&gt;
&lt;/ul&gt;
&lt;/ol&gt;
&lt;br&gt;&lt;br&gt;
When you're ready, swipe left on the screen to move forward.</t>
        </is>
      </c>
      <c r="D16" s="114" t="n"/>
      <c r="E16" s="115" t="n"/>
      <c r="F16" s="113" t="inlineStr">
        <is>
          <t>intro</t>
        </is>
      </c>
      <c r="G16" s="114" t="n"/>
      <c r="H16" s="114" t="n"/>
      <c r="I16" s="116" t="n"/>
      <c r="J16" s="113" t="n"/>
      <c r="K16" s="115" t="n"/>
      <c r="L16" s="114" t="n"/>
      <c r="M16" s="115" t="n"/>
      <c r="N16" s="114" t="n"/>
      <c r="O16" s="115" t="n"/>
      <c r="P16" s="115" t="n"/>
      <c r="Q16" s="115" t="n"/>
      <c r="R16" s="115" t="n"/>
      <c r="S16" s="114" t="n"/>
      <c r="T16" s="115" t="n"/>
      <c r="U16" s="114" t="n"/>
      <c r="V16" s="114" t="n"/>
      <c r="W16" s="115" t="n"/>
      <c r="X16" s="115" t="n"/>
    </row>
    <row r="17" ht="34" customHeight="1">
      <c r="A17" s="113" t="inlineStr">
        <is>
          <t>note</t>
        </is>
      </c>
      <c r="B17" s="113" t="inlineStr">
        <is>
          <t>note_notready</t>
        </is>
      </c>
      <c r="C17" s="117" t="inlineStr">
        <is>
          <t>This survey has not been coded yet. Please check back later after you have sensitized and tutored students for &lt;b&gt;&lt;u&gt;Term 2&lt;/b&gt;&lt;/u&gt;.</t>
        </is>
      </c>
      <c r="D17" s="114" t="n"/>
      <c r="E17" s="115" t="n"/>
      <c r="F17" s="115" t="n"/>
      <c r="G17" s="114" t="n"/>
      <c r="H17" s="114" t="n"/>
      <c r="I17" s="116" t="n"/>
      <c r="J17" s="113" t="inlineStr">
        <is>
          <t>yes</t>
        </is>
      </c>
      <c r="K17" s="113" t="inlineStr">
        <is>
          <t>yes</t>
        </is>
      </c>
      <c r="L17" s="114" t="n"/>
      <c r="M17" s="115" t="n"/>
      <c r="N17" s="114" t="n"/>
      <c r="O17" s="115" t="n"/>
      <c r="P17" s="115" t="n"/>
      <c r="Q17" s="115" t="n"/>
      <c r="R17" s="115" t="n"/>
      <c r="S17" s="114" t="n"/>
      <c r="T17" s="115" t="n"/>
      <c r="U17" s="114" t="n"/>
      <c r="V17" s="114" t="n"/>
      <c r="W17" s="115" t="n"/>
      <c r="X17" s="115" t="n"/>
    </row>
    <row r="18" ht="187" customHeight="1">
      <c r="A18" s="113" t="inlineStr">
        <is>
          <t>note</t>
        </is>
      </c>
      <c r="B18" s="113" t="inlineStr">
        <is>
          <t>warning_notweb</t>
        </is>
      </c>
      <c r="C18" s="117" t="inlineStr">
        <is>
          <t>&lt;p&gt;&lt;span style="color: #ff0000;"&gt;&lt;strong&gt;WARNING!&lt;/strong&gt;&lt;/span&gt;&lt;br /&gt; &lt;br /&gt;&lt;span style="color: #ff0000;"&gt;&lt;/p&gt;
&lt;p&gt;&lt;span style="color: #ff0000;"&gt;Please use the SurveyCTO Collect app to submit data.&lt;/span&gt;&lt;br /&gt; &lt;br /&gt;&lt;span style="color: #ff0000;"&gt;&lt;/p&gt;
&lt;p&gt;&lt;span style="color: #ff0000;"&gt;If you do not have it yet, go to the Google Play Store (or Apple App Store) and search for the &lt;b&gt;Collect&lt;/b&gt; app.&lt;/span&gt;&lt;br /&gt; &lt;br /&gt;&lt;span style="color: #ff0000;"&gt;&lt;/p&gt;
&lt;p&gt;&lt;span style="color: #ff0000;"&gt;Only if you have a Huawei phone, please proceed with this web survey.&lt;/span&gt;&lt;br /&gt; &lt;br /&gt;&lt;span style="color: #ff0000;"&gt;&lt;/p&gt;</t>
        </is>
      </c>
      <c r="D18" s="114" t="n"/>
      <c r="E18" s="115" t="n"/>
      <c r="F18" s="113" t="n"/>
      <c r="G18" s="114" t="n"/>
      <c r="H18" s="114" t="n"/>
      <c r="I18" s="116" t="inlineStr">
        <is>
          <t>${deviceid} = '(web)'</t>
        </is>
      </c>
      <c r="J18" s="113" t="n"/>
      <c r="K18" s="115" t="n"/>
      <c r="L18" s="114" t="n"/>
      <c r="M18" s="115" t="n"/>
      <c r="N18" s="114" t="n"/>
      <c r="O18" s="115" t="n"/>
      <c r="P18" s="115" t="n"/>
      <c r="Q18" s="115" t="n"/>
      <c r="R18" s="115" t="n"/>
      <c r="S18" s="114" t="n"/>
      <c r="T18" s="115" t="n"/>
      <c r="U18" s="114" t="n"/>
      <c r="V18" s="114" t="n"/>
      <c r="W18" s="115" t="n"/>
      <c r="X18" s="115" t="n"/>
    </row>
    <row r="19">
      <c r="A19" s="115" t="n"/>
      <c r="B19" s="115" t="n"/>
      <c r="C19" s="114" t="n"/>
      <c r="D19" s="114" t="n"/>
      <c r="E19" s="115" t="n"/>
      <c r="F19" s="113" t="n"/>
      <c r="G19" s="114" t="n"/>
      <c r="H19" s="114" t="n"/>
      <c r="I19" s="116" t="n"/>
      <c r="J19" s="113" t="n"/>
      <c r="K19" s="115" t="n"/>
      <c r="L19" s="114" t="n"/>
      <c r="M19" s="115" t="n"/>
      <c r="N19" s="114" t="n"/>
      <c r="O19" s="115" t="n"/>
      <c r="P19" s="115" t="n"/>
      <c r="Q19" s="115" t="n"/>
      <c r="R19" s="115" t="n"/>
      <c r="S19" s="114" t="n"/>
      <c r="T19" s="115" t="n"/>
      <c r="U19" s="114" t="n"/>
      <c r="V19" s="114" t="n"/>
      <c r="W19" s="115" t="n"/>
      <c r="X19" s="115" t="n"/>
    </row>
    <row r="20" ht="17" customHeight="1">
      <c r="A20" s="113" t="inlineStr">
        <is>
          <t>begin group</t>
        </is>
      </c>
      <c r="B20" s="113" t="inlineStr">
        <is>
          <t>identification</t>
        </is>
      </c>
      <c r="C20" s="116" t="inlineStr">
        <is>
          <t>Identification</t>
        </is>
      </c>
      <c r="D20" s="114" t="n"/>
      <c r="E20" s="115" t="n"/>
      <c r="F20" s="115" t="n"/>
      <c r="G20" s="114" t="n"/>
      <c r="H20" s="114" t="n"/>
      <c r="I20" s="116" t="n"/>
      <c r="J20" s="113" t="n"/>
      <c r="K20" s="115" t="n"/>
      <c r="L20" s="114" t="n"/>
      <c r="M20" s="115" t="n"/>
      <c r="N20" s="114" t="n"/>
      <c r="O20" s="115" t="n"/>
      <c r="P20" s="115" t="n"/>
      <c r="Q20" s="115" t="n"/>
      <c r="R20" s="115" t="n"/>
      <c r="S20" s="114" t="n"/>
      <c r="T20" s="115" t="n"/>
      <c r="U20" s="114" t="n"/>
      <c r="V20" s="114" t="n"/>
      <c r="W20" s="115" t="n"/>
      <c r="X20" s="115" t="n"/>
    </row>
    <row r="21" ht="85" customHeight="1">
      <c r="A21" s="113" t="inlineStr">
        <is>
          <t>text</t>
        </is>
      </c>
      <c r="B21" s="113" t="inlineStr">
        <is>
          <t>temp_search_fac</t>
        </is>
      </c>
      <c r="C21" s="116" t="inlineStr">
        <is>
          <t>Please search for your name here:</t>
        </is>
      </c>
      <c r="D21" s="116" t="inlineStr">
        <is>
          <t>To see a list of ALL teacher names, leave the search bar blank and continue to the next screen.</t>
        </is>
      </c>
      <c r="E21" s="115" t="n"/>
      <c r="F21" s="115" t="n"/>
      <c r="G21" s="114" t="n"/>
      <c r="H21" s="114" t="n"/>
      <c r="I21" s="116" t="n"/>
      <c r="J21" s="113" t="n"/>
      <c r="K21" s="115" t="n"/>
      <c r="L21" s="114" t="n"/>
      <c r="M21" s="115" t="n"/>
      <c r="N21" s="114" t="n"/>
      <c r="O21" s="115" t="n"/>
      <c r="P21" s="115" t="n"/>
      <c r="Q21" s="115" t="n"/>
      <c r="R21" s="115" t="n"/>
      <c r="S21" s="114" t="n"/>
      <c r="T21" s="115" t="n"/>
      <c r="U21" s="114" t="n"/>
      <c r="V21" s="114" t="n"/>
      <c r="W21" s="115" t="n"/>
      <c r="X21" s="115" t="n"/>
    </row>
    <row r="22" ht="34" customHeight="1">
      <c r="A22" s="113" t="inlineStr">
        <is>
          <t>select_one facilitator</t>
        </is>
      </c>
      <c r="B22" s="113" t="inlineStr">
        <is>
          <t>facilitator_id_e</t>
        </is>
      </c>
      <c r="C22" s="116" t="inlineStr">
        <is>
          <t>Please select your name:</t>
        </is>
      </c>
      <c r="D22" s="114" t="n"/>
      <c r="E22" s="115" t="n"/>
      <c r="F22" s="113" t="inlineStr">
        <is>
          <t>search('cases_facilitator_database_ph', 'contains', 'label', ${temp_search_fac}, 'mEducation', '1')</t>
        </is>
      </c>
      <c r="G22" s="114" t="n"/>
      <c r="H22" s="114" t="n"/>
      <c r="I22" s="116" t="n"/>
      <c r="J22" s="113" t="n"/>
      <c r="K22" s="113" t="inlineStr">
        <is>
          <t>yes</t>
        </is>
      </c>
      <c r="L22" s="114" t="n"/>
      <c r="M22" s="115" t="n"/>
      <c r="N22" s="114" t="n"/>
      <c r="O22" s="115" t="n"/>
      <c r="P22" s="115" t="n"/>
      <c r="Q22" s="115" t="n"/>
      <c r="R22" s="115" t="n"/>
      <c r="S22" s="114" t="n"/>
      <c r="T22" s="115" t="n"/>
      <c r="U22" s="114" t="n"/>
      <c r="V22" s="114" t="n"/>
      <c r="W22" s="115" t="n"/>
      <c r="X22" s="115" t="n"/>
    </row>
    <row r="23" ht="34" customHeight="1">
      <c r="A23" s="113" t="inlineStr">
        <is>
          <t>note</t>
        </is>
      </c>
      <c r="B23" s="113" t="inlineStr">
        <is>
          <t>note_volunteer</t>
        </is>
      </c>
      <c r="C23" s="116" t="inlineStr">
        <is>
          <t xml:space="preserve">You are a volunteer. Please download the endline survey for volunteers ('Get Blank Form') in the subfolder 'Term 2 Volunteers'. </t>
        </is>
      </c>
      <c r="D23" s="114" t="n"/>
      <c r="E23" s="115" t="n"/>
      <c r="F23" s="115" t="n"/>
      <c r="G23" s="114" t="n"/>
      <c r="H23" s="114" t="n"/>
      <c r="I23" s="116" t="inlineStr">
        <is>
          <t>${fac_position_e} = 'Volunteer'</t>
        </is>
      </c>
      <c r="J23" s="113" t="n"/>
      <c r="K23" s="113" t="inlineStr">
        <is>
          <t>yes</t>
        </is>
      </c>
      <c r="L23" s="114" t="n"/>
      <c r="M23" s="115" t="n"/>
      <c r="N23" s="114" t="n"/>
      <c r="O23" s="115" t="n"/>
      <c r="P23" s="115" t="n"/>
      <c r="Q23" s="115" t="n"/>
      <c r="R23" s="115" t="n"/>
      <c r="S23" s="114" t="n"/>
      <c r="T23" s="115" t="n"/>
      <c r="U23" s="114" t="n"/>
      <c r="V23" s="114" t="n"/>
      <c r="W23" s="115" t="n"/>
      <c r="X23" s="115" t="n"/>
    </row>
    <row r="24" ht="34" customHeight="1">
      <c r="A24" s="113" t="inlineStr">
        <is>
          <t>select_one student</t>
        </is>
      </c>
      <c r="B24" s="113" t="inlineStr">
        <is>
          <t>hhid</t>
        </is>
      </c>
      <c r="C24" s="116" t="inlineStr">
        <is>
          <t>Please select the student you want to call:</t>
        </is>
      </c>
      <c r="D24" s="114" t="n"/>
      <c r="E24" s="115" t="n"/>
      <c r="F24" s="113" t="inlineStr">
        <is>
          <t>search('cases_connected_ph', 'contains','school_id_b', ${fac_school_id_e}, 'consent_b', '1')</t>
        </is>
      </c>
      <c r="G24" s="114" t="n"/>
      <c r="H24" s="114" t="n"/>
      <c r="I24" s="116" t="n"/>
      <c r="J24" s="113" t="n"/>
      <c r="K24" s="113" t="inlineStr">
        <is>
          <t>yes</t>
        </is>
      </c>
      <c r="L24" s="114" t="n"/>
      <c r="M24" s="115" t="n"/>
      <c r="N24" s="114" t="n"/>
      <c r="O24" s="115" t="n"/>
      <c r="P24" s="115" t="n"/>
      <c r="Q24" s="115" t="n"/>
      <c r="R24" s="115" t="n"/>
      <c r="S24" s="114" t="n"/>
      <c r="T24" s="115" t="n"/>
      <c r="U24" s="114" t="n"/>
      <c r="V24" s="114" t="n"/>
      <c r="W24" s="115" t="n"/>
      <c r="X24" s="115" t="n"/>
    </row>
    <row r="25" ht="85" customHeight="1">
      <c r="A25" s="113" t="inlineStr">
        <is>
          <t>note</t>
        </is>
      </c>
      <c r="B25" s="113" t="inlineStr">
        <is>
          <t>warning_assessed</t>
        </is>
      </c>
      <c r="C25" s="118" t="inlineStr">
        <is>
          <t>&lt;p&gt;&lt;span style="color: #ff0000;"&gt;&lt;strong&gt;WARNING!&lt;/strong&gt;&lt;/span&gt;&lt;br /&gt; &lt;br /&gt;&lt;span style="color: #ff0000;"&gt;&lt;/p&gt;
&lt;p&gt;&lt;span style="color: #ff0000;"&gt;The student you selected has already been levelled/assessed. Please choose a different student to call.&lt;/span&gt;&lt;br /&gt; &lt;br /&gt;&lt;span style="color: #ff0000;"&gt;&lt;/p&gt;</t>
        </is>
      </c>
      <c r="D25" s="114" t="n"/>
      <c r="E25" s="115" t="n"/>
      <c r="F25" s="115" t="n"/>
      <c r="G25" s="114" t="n"/>
      <c r="H25" s="114" t="n"/>
      <c r="I25" s="116" t="inlineStr">
        <is>
          <t>${levelled_prev} = 1</t>
        </is>
      </c>
      <c r="J25" s="113" t="n"/>
      <c r="K25" s="113" t="inlineStr">
        <is>
          <t>yes</t>
        </is>
      </c>
      <c r="L25" s="114" t="n"/>
      <c r="M25" s="115" t="n"/>
      <c r="N25" s="114" t="n"/>
      <c r="O25" s="115" t="n"/>
      <c r="P25" s="115" t="n"/>
      <c r="Q25" s="115" t="n"/>
      <c r="R25" s="115" t="n"/>
      <c r="S25" s="114" t="n"/>
      <c r="T25" s="115" t="n"/>
      <c r="U25" s="114" t="n"/>
      <c r="V25" s="114" t="n"/>
      <c r="W25" s="115" t="n"/>
      <c r="X25" s="115" t="n"/>
    </row>
    <row r="26" ht="85" customHeight="1">
      <c r="A26" s="113" t="inlineStr">
        <is>
          <t>note</t>
        </is>
      </c>
      <c r="B26" s="113" t="inlineStr">
        <is>
          <t>warning_nonconsent</t>
        </is>
      </c>
      <c r="C26" s="118" t="inlineStr">
        <is>
          <t>&lt;p&gt;&lt;span style="color: #ff0000;"&gt;&lt;strong&gt;WARNING!&lt;/strong&gt;&lt;/span&gt;&lt;br /&gt; &lt;br /&gt;&lt;span style="color: #ff0000;"&gt;&lt;/p&gt;
&lt;p&gt;&lt;span style="color: #ff0000;"&gt;The household did not consent to participate. Please select a different household to call.&lt;/span&gt;&lt;br /&gt; &lt;br /&gt;&lt;span style="color: #ff0000;"&gt;&lt;/p&gt;</t>
        </is>
      </c>
      <c r="D26" s="114" t="n"/>
      <c r="E26" s="115" t="n"/>
      <c r="F26" s="115" t="n"/>
      <c r="G26" s="114" t="n"/>
      <c r="H26" s="114" t="n"/>
      <c r="I26" s="116" t="inlineStr">
        <is>
          <t>${consented_prev} = 0</t>
        </is>
      </c>
      <c r="J26" s="113" t="n"/>
      <c r="K26" s="113" t="inlineStr">
        <is>
          <t>yes</t>
        </is>
      </c>
      <c r="L26" s="114" t="n"/>
      <c r="M26" s="115" t="n"/>
      <c r="N26" s="114" t="n"/>
      <c r="O26" s="115" t="n"/>
      <c r="P26" s="115" t="n"/>
      <c r="Q26" s="115" t="n"/>
      <c r="R26" s="115" t="n"/>
      <c r="S26" s="114" t="n"/>
      <c r="T26" s="115" t="n"/>
      <c r="U26" s="114" t="n"/>
      <c r="V26" s="114" t="n"/>
      <c r="W26" s="115" t="n"/>
      <c r="X26" s="115" t="n"/>
    </row>
    <row r="27" ht="102" customHeight="1">
      <c r="A27" s="113" t="inlineStr">
        <is>
          <t>note</t>
        </is>
      </c>
      <c r="B27" s="113" t="inlineStr">
        <is>
          <t>warning_wrongno</t>
        </is>
      </c>
      <c r="C27" s="118" t="inlineStr">
        <is>
          <t>&lt;p&gt;&lt;span style="color: #ff0000;"&gt;&lt;strong&gt;WARNING!&lt;/strong&gt;&lt;/span&gt;&lt;br /&gt; &lt;br /&gt;&lt;span style="color: #ff0000;"&gt;&lt;/p&gt;
&lt;p&gt;&lt;span style="color: #ff0000;"&gt;You reported that the only available phone number to contact the student is wrong. Please select a different household to call.&lt;/span&gt;&lt;br /&gt; &lt;br /&gt;&lt;span style="color: #ff0000;"&gt;&lt;/p&gt;</t>
        </is>
      </c>
      <c r="D27" s="114" t="n"/>
      <c r="E27" s="115" t="n"/>
      <c r="F27" s="115" t="n"/>
      <c r="G27" s="114" t="n"/>
      <c r="H27" s="114" t="n"/>
      <c r="I27" s="116" t="inlineStr">
        <is>
          <t>${wrong_no_prev} = 1</t>
        </is>
      </c>
      <c r="J27" s="113" t="n"/>
      <c r="K27" s="113" t="inlineStr">
        <is>
          <t>yes</t>
        </is>
      </c>
      <c r="L27" s="114" t="n"/>
      <c r="M27" s="115" t="n"/>
      <c r="N27" s="114" t="n"/>
      <c r="O27" s="115" t="n"/>
      <c r="P27" s="115" t="n"/>
      <c r="Q27" s="115" t="n"/>
      <c r="R27" s="115" t="n"/>
      <c r="S27" s="114" t="n"/>
      <c r="T27" s="115" t="n"/>
      <c r="U27" s="114" t="n"/>
      <c r="V27" s="114" t="n"/>
      <c r="W27" s="115" t="n"/>
      <c r="X27" s="115" t="n"/>
    </row>
    <row r="28">
      <c r="A28" s="113" t="inlineStr">
        <is>
          <t>end group</t>
        </is>
      </c>
      <c r="B28" s="113" t="inlineStr">
        <is>
          <t>identification</t>
        </is>
      </c>
      <c r="C28" s="116" t="n"/>
      <c r="D28" s="114" t="n"/>
      <c r="E28" s="115" t="n"/>
      <c r="F28" s="115" t="n"/>
      <c r="G28" s="114" t="n"/>
      <c r="H28" s="114" t="n"/>
      <c r="I28" s="116" t="n"/>
      <c r="J28" s="113" t="n"/>
      <c r="K28" s="115" t="n"/>
      <c r="L28" s="114" t="n"/>
      <c r="M28" s="115" t="n"/>
      <c r="N28" s="114" t="n"/>
      <c r="O28" s="115" t="n"/>
      <c r="P28" s="115" t="n"/>
      <c r="Q28" s="115" t="n"/>
      <c r="R28" s="115" t="n"/>
      <c r="S28" s="114" t="n"/>
      <c r="T28" s="115" t="n"/>
      <c r="U28" s="114" t="n"/>
      <c r="V28" s="114" t="n"/>
      <c r="W28" s="115" t="n"/>
      <c r="X28" s="115" t="n"/>
    </row>
    <row r="29">
      <c r="A29" s="115" t="n"/>
      <c r="B29" s="115" t="n"/>
      <c r="C29" s="114" t="n"/>
      <c r="D29" s="114" t="n"/>
      <c r="E29" s="115" t="n"/>
      <c r="F29" s="113" t="n"/>
      <c r="G29" s="114" t="n"/>
      <c r="H29" s="114" t="n"/>
      <c r="I29" s="116" t="n"/>
      <c r="J29" s="113" t="n"/>
      <c r="K29" s="115" t="n"/>
      <c r="L29" s="114" t="n"/>
      <c r="M29" s="115" t="n"/>
      <c r="N29" s="114" t="n"/>
      <c r="O29" s="115" t="n"/>
      <c r="P29" s="115" t="n"/>
      <c r="Q29" s="115" t="n"/>
      <c r="R29" s="115" t="n"/>
      <c r="S29" s="114" t="n"/>
      <c r="T29" s="115" t="n"/>
      <c r="U29" s="114" t="n"/>
      <c r="V29" s="114" t="n"/>
      <c r="W29" s="115" t="n"/>
      <c r="X29" s="115" t="n"/>
    </row>
    <row r="30" ht="17" customHeight="1">
      <c r="A30" s="113" t="inlineStr">
        <is>
          <t>calculate</t>
        </is>
      </c>
      <c r="B30" s="113" t="inlineStr">
        <is>
          <t>facilitator_e</t>
        </is>
      </c>
      <c r="C30" s="116" t="inlineStr">
        <is>
          <t>Pulls the name of the facilitator/teacher from the facilitator database</t>
        </is>
      </c>
      <c r="D30" s="114" t="n"/>
      <c r="E30" s="115" t="n"/>
      <c r="F30" s="115" t="n"/>
      <c r="G30" s="114" t="n"/>
      <c r="H30" s="114" t="n"/>
      <c r="I30" s="116" t="n"/>
      <c r="J30" s="113" t="n"/>
      <c r="K30" s="115" t="n"/>
      <c r="L30" s="114" t="n"/>
      <c r="M30" s="115" t="n"/>
      <c r="N30" s="116" t="inlineStr">
        <is>
          <t>pulldata('cases_facilitator_database_ph', 'label', 'id', ${facilitator_id_e})</t>
        </is>
      </c>
      <c r="O30" s="115" t="n"/>
      <c r="P30" s="115" t="n"/>
      <c r="Q30" s="115" t="n"/>
      <c r="R30" s="115" t="n"/>
      <c r="S30" s="114" t="n"/>
      <c r="T30" s="115" t="n"/>
      <c r="U30" s="114" t="n"/>
      <c r="V30" s="114" t="n"/>
      <c r="W30" s="115" t="n"/>
      <c r="X30" s="115" t="n"/>
    </row>
    <row r="31" ht="17" customHeight="1">
      <c r="A31" s="113" t="inlineStr">
        <is>
          <t>calculate</t>
        </is>
      </c>
      <c r="B31" s="113" t="inlineStr">
        <is>
          <t>fac_natl_id_e</t>
        </is>
      </c>
      <c r="C31" s="116" t="inlineStr">
        <is>
          <t>Pulls the national/employee ID of the facilitator/teacher from the facilitator database</t>
        </is>
      </c>
      <c r="D31" s="114" t="n"/>
      <c r="E31" s="115" t="n"/>
      <c r="F31" s="115" t="n"/>
      <c r="G31" s="114" t="n"/>
      <c r="H31" s="114" t="n"/>
      <c r="I31" s="116" t="n"/>
      <c r="J31" s="113" t="n"/>
      <c r="K31" s="115" t="n"/>
      <c r="L31" s="114" t="n"/>
      <c r="M31" s="115" t="n"/>
      <c r="N31" s="116" t="inlineStr">
        <is>
          <t>pulldata('cases_facilitator_database_ph', 'fac_EMIS', 'id', ${facilitator_id_e})</t>
        </is>
      </c>
      <c r="O31" s="115" t="n"/>
      <c r="P31" s="115" t="n"/>
      <c r="Q31" s="115" t="n"/>
      <c r="R31" s="115" t="n"/>
      <c r="S31" s="114" t="n"/>
      <c r="T31" s="115" t="n"/>
      <c r="U31" s="114" t="n"/>
      <c r="V31" s="114" t="n"/>
      <c r="W31" s="115" t="n"/>
      <c r="X31" s="115" t="n"/>
    </row>
    <row r="32" ht="17" customHeight="1">
      <c r="A32" s="113" t="inlineStr">
        <is>
          <t>calculate</t>
        </is>
      </c>
      <c r="B32" s="113" t="inlineStr">
        <is>
          <t>fac_school_e</t>
        </is>
      </c>
      <c r="C32" s="116" t="inlineStr">
        <is>
          <t>Pulls the name of the school from the facilitator database</t>
        </is>
      </c>
      <c r="D32" s="114" t="n"/>
      <c r="E32" s="115" t="n"/>
      <c r="F32" s="115" t="n"/>
      <c r="G32" s="114" t="n"/>
      <c r="H32" s="114" t="n"/>
      <c r="I32" s="116" t="n"/>
      <c r="J32" s="113" t="n"/>
      <c r="K32" s="115" t="n"/>
      <c r="L32" s="114" t="n"/>
      <c r="M32" s="115" t="n"/>
      <c r="N32" s="116" t="inlineStr">
        <is>
          <t>pulldata('cases_facilitator_database_ph', 'program_school_name', 'id', ${facilitator_id_e})</t>
        </is>
      </c>
      <c r="O32" s="115" t="n"/>
      <c r="P32" s="115" t="n"/>
      <c r="Q32" s="115" t="n"/>
      <c r="R32" s="115" t="n"/>
      <c r="S32" s="114" t="n"/>
      <c r="T32" s="115" t="n"/>
      <c r="U32" s="114" t="n"/>
      <c r="V32" s="114" t="n"/>
      <c r="W32" s="115" t="n"/>
      <c r="X32" s="115" t="n"/>
    </row>
    <row r="33" ht="17" customHeight="1">
      <c r="A33" s="113" t="inlineStr">
        <is>
          <t>calculate</t>
        </is>
      </c>
      <c r="B33" s="113" t="inlineStr">
        <is>
          <t>fac_school_id_e</t>
        </is>
      </c>
      <c r="C33" s="116" t="inlineStr">
        <is>
          <t>Pulls the school ID from the facilitator database</t>
        </is>
      </c>
      <c r="D33" s="114" t="n"/>
      <c r="E33" s="115" t="n"/>
      <c r="F33" s="115" t="n"/>
      <c r="G33" s="114" t="n"/>
      <c r="H33" s="114" t="n"/>
      <c r="I33" s="116" t="n"/>
      <c r="J33" s="113" t="n"/>
      <c r="K33" s="115" t="n"/>
      <c r="L33" s="114" t="n"/>
      <c r="M33" s="115" t="n"/>
      <c r="N33" s="116" t="inlineStr">
        <is>
          <t>pulldata('cases_facilitator_database_ph', 'program_school_id', 'id', ${facilitator_id_e})</t>
        </is>
      </c>
      <c r="O33" s="115" t="n"/>
      <c r="P33" s="115" t="n"/>
      <c r="Q33" s="115" t="n"/>
      <c r="R33" s="115" t="n"/>
      <c r="S33" s="114" t="n"/>
      <c r="T33" s="115" t="n"/>
      <c r="U33" s="114" t="n"/>
      <c r="V33" s="114" t="n"/>
      <c r="W33" s="115" t="n"/>
      <c r="X33" s="115" t="n"/>
    </row>
    <row r="34" ht="17" customHeight="1">
      <c r="A34" s="113" t="inlineStr">
        <is>
          <t>calculate</t>
        </is>
      </c>
      <c r="B34" s="113" t="inlineStr">
        <is>
          <t>fac_region_e</t>
        </is>
      </c>
      <c r="C34" s="116" t="inlineStr">
        <is>
          <t>Pulls the name of the region from the facilitator database</t>
        </is>
      </c>
      <c r="D34" s="114" t="n"/>
      <c r="E34" s="115" t="n"/>
      <c r="F34" s="115" t="n"/>
      <c r="G34" s="114" t="n"/>
      <c r="H34" s="114" t="n"/>
      <c r="I34" s="116" t="n"/>
      <c r="J34" s="113" t="n"/>
      <c r="K34" s="115" t="n"/>
      <c r="L34" s="114" t="n"/>
      <c r="M34" s="115" t="n"/>
      <c r="N34" s="116" t="inlineStr">
        <is>
          <t>pulldata('cases_facilitator_database_ph', 'program_region', 'id', ${facilitator_id_e})</t>
        </is>
      </c>
      <c r="O34" s="115" t="n"/>
      <c r="P34" s="115" t="n"/>
      <c r="Q34" s="115" t="n"/>
      <c r="R34" s="115" t="n"/>
      <c r="S34" s="114" t="n"/>
      <c r="T34" s="115" t="n"/>
      <c r="U34" s="114" t="n"/>
      <c r="V34" s="114" t="n"/>
      <c r="W34" s="115" t="n"/>
      <c r="X34" s="115" t="n"/>
    </row>
    <row r="35" ht="17" customHeight="1">
      <c r="A35" s="113" t="inlineStr">
        <is>
          <t>calculate</t>
        </is>
      </c>
      <c r="B35" s="113" t="inlineStr">
        <is>
          <t>fac_position_e</t>
        </is>
      </c>
      <c r="C35" s="116" t="inlineStr">
        <is>
          <t>Pulls the position of the facilitator from the facilitator database (teacher vs. volunteer)</t>
        </is>
      </c>
      <c r="D35" s="114" t="n"/>
      <c r="E35" s="115" t="n"/>
      <c r="F35" s="115" t="n"/>
      <c r="G35" s="114" t="n"/>
      <c r="H35" s="114" t="n"/>
      <c r="I35" s="116" t="n"/>
      <c r="J35" s="113" t="n"/>
      <c r="K35" s="115" t="n"/>
      <c r="L35" s="114" t="n"/>
      <c r="M35" s="115" t="n"/>
      <c r="N35" s="116" t="inlineStr">
        <is>
          <t>pulldata('cases_facilitator_database_ph', 'fac_position', 'id', ${facilitator_id_e})</t>
        </is>
      </c>
      <c r="O35" s="115" t="n"/>
      <c r="P35" s="115" t="n"/>
      <c r="Q35" s="115" t="n"/>
      <c r="R35" s="115" t="n"/>
      <c r="S35" s="114" t="n"/>
      <c r="T35" s="115" t="n"/>
      <c r="U35" s="114" t="n"/>
      <c r="V35" s="114" t="n"/>
      <c r="W35" s="115" t="n"/>
      <c r="X35" s="115" t="n"/>
    </row>
    <row r="36">
      <c r="A36" s="115" t="n"/>
      <c r="B36" s="115" t="n"/>
      <c r="C36" s="114" t="n"/>
      <c r="D36" s="114" t="n"/>
      <c r="E36" s="115" t="n"/>
      <c r="F36" s="115" t="n"/>
      <c r="G36" s="114" t="n"/>
      <c r="H36" s="114" t="n"/>
      <c r="I36" s="114" t="n"/>
      <c r="J36" s="115" t="n"/>
      <c r="K36" s="115" t="n"/>
      <c r="L36" s="114" t="n"/>
      <c r="M36" s="115" t="n"/>
      <c r="N36" s="114" t="n"/>
      <c r="O36" s="115" t="n"/>
      <c r="P36" s="115" t="n"/>
      <c r="Q36" s="115" t="n"/>
      <c r="R36" s="115" t="n"/>
      <c r="S36" s="114" t="n"/>
      <c r="T36" s="115" t="n"/>
      <c r="U36" s="114" t="n"/>
      <c r="V36" s="114" t="n"/>
      <c r="W36" s="115" t="n"/>
      <c r="X36" s="115" t="n"/>
    </row>
    <row r="37" ht="17" customHeight="1">
      <c r="A37" s="113" t="inlineStr">
        <is>
          <t>calculate</t>
        </is>
      </c>
      <c r="B37" s="113" t="inlineStr">
        <is>
          <t>stud_name</t>
        </is>
      </c>
      <c r="C37" s="116" t="inlineStr">
        <is>
          <t>Pulls student name from cases_students dataset</t>
        </is>
      </c>
      <c r="D37" s="114" t="n"/>
      <c r="E37" s="115" t="n"/>
      <c r="F37" s="115" t="n"/>
      <c r="G37" s="114" t="n"/>
      <c r="H37" s="114" t="n"/>
      <c r="I37" s="116" t="n"/>
      <c r="J37" s="113" t="n"/>
      <c r="K37" s="115" t="n"/>
      <c r="L37" s="114" t="n"/>
      <c r="M37" s="115" t="n"/>
      <c r="N37" s="116" t="inlineStr">
        <is>
          <t>pulldata('cases_connected_ph', 'stud_name_b', 'hhid', ${hhid})</t>
        </is>
      </c>
      <c r="O37" s="115" t="n"/>
      <c r="P37" s="115" t="n"/>
      <c r="Q37" s="115" t="n"/>
      <c r="R37" s="115" t="n"/>
      <c r="S37" s="114" t="n"/>
      <c r="T37" s="115" t="n"/>
      <c r="U37" s="114" t="n"/>
      <c r="V37" s="114" t="n"/>
      <c r="W37" s="115" t="n"/>
      <c r="X37" s="115" t="n"/>
    </row>
    <row r="38" ht="17" customHeight="1">
      <c r="A38" s="113" t="inlineStr">
        <is>
          <t>calculate</t>
        </is>
      </c>
      <c r="B38" s="113" t="inlineStr">
        <is>
          <t>learner_id</t>
        </is>
      </c>
      <c r="C38" s="116" t="inlineStr">
        <is>
          <t>Pulls govt-issued student ID from cases_students dataset</t>
        </is>
      </c>
      <c r="D38" s="114" t="n"/>
      <c r="E38" s="115" t="n"/>
      <c r="F38" s="115" t="n"/>
      <c r="G38" s="114" t="n"/>
      <c r="H38" s="114" t="n"/>
      <c r="I38" s="116" t="n"/>
      <c r="J38" s="113" t="n"/>
      <c r="K38" s="115" t="n"/>
      <c r="L38" s="114" t="n"/>
      <c r="M38" s="115" t="n"/>
      <c r="N38" s="116" t="inlineStr">
        <is>
          <t>pulldata('cases_connected_ph', 'learner_id', 'hhid', ${hhid})</t>
        </is>
      </c>
      <c r="O38" s="115" t="n"/>
      <c r="P38" s="115" t="n"/>
      <c r="Q38" s="115" t="n"/>
      <c r="R38" s="115" t="n"/>
      <c r="S38" s="114" t="n"/>
      <c r="T38" s="115" t="n"/>
      <c r="U38" s="114" t="n"/>
      <c r="V38" s="114" t="n"/>
      <c r="W38" s="115" t="n"/>
      <c r="X38" s="115" t="n"/>
    </row>
    <row r="39" ht="17" customHeight="1">
      <c r="A39" s="113" t="inlineStr">
        <is>
          <t>calculate</t>
        </is>
      </c>
      <c r="B39" s="113" t="inlineStr">
        <is>
          <t>school</t>
        </is>
      </c>
      <c r="C39" s="116" t="inlineStr">
        <is>
          <t>Pulls the name of the school from cases_students dataset</t>
        </is>
      </c>
      <c r="D39" s="114" t="n"/>
      <c r="E39" s="115" t="n"/>
      <c r="F39" s="115" t="n"/>
      <c r="G39" s="114" t="n"/>
      <c r="H39" s="114" t="n"/>
      <c r="I39" s="116" t="n"/>
      <c r="J39" s="113" t="n"/>
      <c r="K39" s="115" t="n"/>
      <c r="L39" s="114" t="n"/>
      <c r="M39" s="115" t="n"/>
      <c r="N39" s="116" t="inlineStr">
        <is>
          <t>pulldata('cases_connected_ph', 'school_b', 'hhid', ${hhid})</t>
        </is>
      </c>
      <c r="O39" s="115" t="n"/>
      <c r="P39" s="115" t="n"/>
      <c r="Q39" s="115" t="n"/>
      <c r="R39" s="115" t="n"/>
      <c r="S39" s="114" t="n"/>
      <c r="T39" s="115" t="n"/>
      <c r="U39" s="114" t="n"/>
      <c r="V39" s="114" t="n"/>
      <c r="W39" s="115" t="n"/>
      <c r="X39" s="115" t="n"/>
    </row>
    <row r="40" ht="17" customHeight="1">
      <c r="A40" s="113" t="inlineStr">
        <is>
          <t>calculate</t>
        </is>
      </c>
      <c r="B40" s="113" t="inlineStr">
        <is>
          <t>school_id</t>
        </is>
      </c>
      <c r="C40" s="116" t="inlineStr">
        <is>
          <t>Pulls school ID from cases_students dataset</t>
        </is>
      </c>
      <c r="D40" s="114" t="n"/>
      <c r="E40" s="115" t="n"/>
      <c r="F40" s="115" t="n"/>
      <c r="G40" s="114" t="n"/>
      <c r="H40" s="114" t="n"/>
      <c r="I40" s="116" t="n"/>
      <c r="J40" s="113" t="n"/>
      <c r="K40" s="115" t="n"/>
      <c r="L40" s="114" t="n"/>
      <c r="M40" s="115" t="n"/>
      <c r="N40" s="116" t="inlineStr">
        <is>
          <t>pulldata('cases_connected_ph', 'school_id_b', 'hhid', ${hhid})</t>
        </is>
      </c>
      <c r="O40" s="115" t="n"/>
      <c r="P40" s="115" t="n"/>
      <c r="Q40" s="115" t="n"/>
      <c r="R40" s="115" t="n"/>
      <c r="S40" s="114" t="n"/>
      <c r="T40" s="115" t="n"/>
      <c r="U40" s="114" t="n"/>
      <c r="V40" s="114" t="n"/>
      <c r="W40" s="115" t="n"/>
      <c r="X40" s="115" t="n"/>
    </row>
    <row r="41" ht="17" customHeight="1">
      <c r="A41" s="113" t="inlineStr">
        <is>
          <t>calculate</t>
        </is>
      </c>
      <c r="B41" s="113" t="inlineStr">
        <is>
          <t>region</t>
        </is>
      </c>
      <c r="C41" s="116" t="inlineStr">
        <is>
          <t>Pulls region from cases_students dataset</t>
        </is>
      </c>
      <c r="D41" s="114" t="n"/>
      <c r="E41" s="115" t="n"/>
      <c r="F41" s="115" t="n"/>
      <c r="G41" s="114" t="n"/>
      <c r="H41" s="114" t="n"/>
      <c r="I41" s="116" t="n"/>
      <c r="J41" s="113" t="n"/>
      <c r="K41" s="115" t="n"/>
      <c r="L41" s="114" t="n"/>
      <c r="M41" s="115" t="n"/>
      <c r="N41" s="116" t="inlineStr">
        <is>
          <t>pulldata('cases_connected_ph', 'region_b', 'hhid', ${hhid})</t>
        </is>
      </c>
      <c r="O41" s="115" t="n"/>
      <c r="P41" s="115" t="n"/>
      <c r="Q41" s="115" t="n"/>
      <c r="R41" s="115" t="n"/>
      <c r="S41" s="114" t="n"/>
      <c r="T41" s="115" t="n"/>
      <c r="U41" s="114" t="n"/>
      <c r="V41" s="114" t="n"/>
      <c r="W41" s="115" t="n"/>
      <c r="X41" s="115" t="n"/>
    </row>
    <row r="42" ht="17" customHeight="1">
      <c r="A42" s="113" t="inlineStr">
        <is>
          <t>calculate</t>
        </is>
      </c>
      <c r="B42" s="113" t="inlineStr">
        <is>
          <t>grade</t>
        </is>
      </c>
      <c r="C42" s="116" t="inlineStr">
        <is>
          <t>Pulls student grade from cases_students dataset</t>
        </is>
      </c>
      <c r="D42" s="114" t="n"/>
      <c r="E42" s="115" t="n"/>
      <c r="F42" s="115" t="n"/>
      <c r="G42" s="114" t="n"/>
      <c r="H42" s="114" t="n"/>
      <c r="I42" s="116" t="n"/>
      <c r="J42" s="113" t="n"/>
      <c r="K42" s="115" t="n"/>
      <c r="L42" s="114" t="n"/>
      <c r="M42" s="115" t="n"/>
      <c r="N42" s="116" t="inlineStr">
        <is>
          <t>pulldata('cases_connected_ph', 'stud_std_b', 'hhid', ${hhid})</t>
        </is>
      </c>
      <c r="O42" s="115" t="n"/>
      <c r="P42" s="115" t="n"/>
      <c r="Q42" s="115" t="n"/>
      <c r="R42" s="115" t="n"/>
      <c r="S42" s="114" t="n"/>
      <c r="T42" s="115" t="n"/>
      <c r="U42" s="114" t="n"/>
      <c r="V42" s="114" t="n"/>
      <c r="W42" s="115" t="n"/>
      <c r="X42" s="115" t="n"/>
    </row>
    <row r="43" ht="17" customHeight="1">
      <c r="A43" s="113" t="inlineStr">
        <is>
          <t>calculate</t>
        </is>
      </c>
      <c r="B43" s="113" t="inlineStr">
        <is>
          <t>age</t>
        </is>
      </c>
      <c r="C43" s="116" t="inlineStr">
        <is>
          <t>Pulls student age from cases_students dataset</t>
        </is>
      </c>
      <c r="D43" s="114" t="n"/>
      <c r="E43" s="115" t="n"/>
      <c r="F43" s="115" t="n"/>
      <c r="G43" s="114" t="n"/>
      <c r="H43" s="114" t="n"/>
      <c r="I43" s="116" t="n"/>
      <c r="J43" s="113" t="n"/>
      <c r="K43" s="115" t="n"/>
      <c r="L43" s="114" t="n"/>
      <c r="M43" s="115" t="n"/>
      <c r="N43" s="116" t="inlineStr">
        <is>
          <t>pulldata('cases_connected_ph', 'stud_age_b', 'hhid', ${hhid})</t>
        </is>
      </c>
      <c r="O43" s="115" t="n"/>
      <c r="P43" s="115" t="n"/>
      <c r="Q43" s="115" t="n"/>
      <c r="R43" s="115" t="n"/>
      <c r="S43" s="114" t="n"/>
      <c r="T43" s="115" t="n"/>
      <c r="U43" s="114" t="n"/>
      <c r="V43" s="114" t="n"/>
      <c r="W43" s="115" t="n"/>
      <c r="X43" s="115" t="n"/>
    </row>
    <row r="44" ht="17" customHeight="1">
      <c r="A44" s="113" t="inlineStr">
        <is>
          <t>calculate</t>
        </is>
      </c>
      <c r="B44" s="113" t="inlineStr">
        <is>
          <t>gender</t>
        </is>
      </c>
      <c r="C44" s="116" t="inlineStr">
        <is>
          <t>Pulls student gender from cases_students dataset</t>
        </is>
      </c>
      <c r="D44" s="114" t="n"/>
      <c r="E44" s="115" t="n"/>
      <c r="F44" s="115" t="n"/>
      <c r="G44" s="114" t="n"/>
      <c r="H44" s="114" t="n"/>
      <c r="I44" s="116" t="n"/>
      <c r="J44" s="113" t="n"/>
      <c r="K44" s="115" t="n"/>
      <c r="L44" s="114" t="n"/>
      <c r="M44" s="115" t="n"/>
      <c r="N44" s="116" t="inlineStr">
        <is>
          <t>pulldata('cases_connected_ph', 'stud_female_lab_b', 'hhid', ${hhid})</t>
        </is>
      </c>
      <c r="O44" s="115" t="n"/>
      <c r="P44" s="115" t="n"/>
      <c r="Q44" s="115" t="n"/>
      <c r="R44" s="115" t="n"/>
      <c r="S44" s="114" t="n"/>
      <c r="T44" s="115" t="n"/>
      <c r="U44" s="114" t="n"/>
      <c r="V44" s="114" t="n"/>
      <c r="W44" s="115" t="n"/>
      <c r="X44" s="115" t="n"/>
    </row>
    <row r="45" ht="17" customHeight="1">
      <c r="A45" s="113" t="inlineStr">
        <is>
          <t>calculate</t>
        </is>
      </c>
      <c r="B45" s="113" t="inlineStr">
        <is>
          <t>care_name</t>
        </is>
      </c>
      <c r="C45" s="116" t="inlineStr">
        <is>
          <t>Pulls caregiver name from cases_students dataset</t>
        </is>
      </c>
      <c r="D45" s="114" t="n"/>
      <c r="E45" s="115" t="n"/>
      <c r="F45" s="115" t="n"/>
      <c r="G45" s="114" t="n"/>
      <c r="H45" s="114" t="n"/>
      <c r="I45" s="116" t="n"/>
      <c r="J45" s="113" t="n"/>
      <c r="K45" s="115" t="n"/>
      <c r="L45" s="114" t="n"/>
      <c r="M45" s="115" t="n"/>
      <c r="N45" s="116" t="inlineStr">
        <is>
          <t>pulldata('cases_connected_ph', 'care_name_b', 'hhid', ${hhid})</t>
        </is>
      </c>
      <c r="O45" s="115" t="n"/>
      <c r="P45" s="115" t="n"/>
      <c r="Q45" s="115" t="n"/>
      <c r="R45" s="115" t="n"/>
      <c r="S45" s="114" t="n"/>
      <c r="T45" s="115" t="n"/>
      <c r="U45" s="114" t="n"/>
      <c r="V45" s="114" t="n"/>
      <c r="W45" s="115" t="n"/>
      <c r="X45" s="115" t="n"/>
    </row>
    <row r="46" ht="17" customHeight="1">
      <c r="A46" s="113" t="inlineStr">
        <is>
          <t>calculate</t>
        </is>
      </c>
      <c r="B46" s="113" t="inlineStr">
        <is>
          <t>care_rel</t>
        </is>
      </c>
      <c r="C46" s="116" t="inlineStr">
        <is>
          <t>Pulls caregiver relationship to student from cases_students dataset</t>
        </is>
      </c>
      <c r="D46" s="114" t="n"/>
      <c r="E46" s="115" t="n"/>
      <c r="F46" s="115" t="n"/>
      <c r="G46" s="114" t="n"/>
      <c r="H46" s="114" t="n"/>
      <c r="I46" s="116" t="n"/>
      <c r="J46" s="113" t="n"/>
      <c r="K46" s="115" t="n"/>
      <c r="L46" s="114" t="n"/>
      <c r="M46" s="115" t="n"/>
      <c r="N46" s="116" t="inlineStr">
        <is>
          <t>pulldata('cases_connected_ph', 'care_rel2_b', 'hhid', ${hhid})</t>
        </is>
      </c>
      <c r="O46" s="115" t="n"/>
      <c r="P46" s="115" t="n"/>
      <c r="Q46" s="115" t="n"/>
      <c r="R46" s="115" t="n"/>
      <c r="S46" s="114" t="n"/>
      <c r="T46" s="115" t="n"/>
      <c r="U46" s="114" t="n"/>
      <c r="V46" s="114" t="n"/>
      <c r="W46" s="115" t="n"/>
      <c r="X46" s="115" t="n"/>
    </row>
    <row r="47" ht="17" customHeight="1">
      <c r="A47" s="113" t="inlineStr">
        <is>
          <t>calculate</t>
        </is>
      </c>
      <c r="B47" s="113" t="inlineStr">
        <is>
          <t>care_rel_lab</t>
        </is>
      </c>
      <c r="C47" s="116" t="inlineStr">
        <is>
          <t>Pulls caregiver relationship to student from cases_students dataset</t>
        </is>
      </c>
      <c r="D47" s="114" t="n"/>
      <c r="E47" s="115" t="n"/>
      <c r="F47" s="115" t="n"/>
      <c r="G47" s="114" t="n"/>
      <c r="H47" s="114" t="n"/>
      <c r="I47" s="116" t="n"/>
      <c r="J47" s="113" t="n"/>
      <c r="K47" s="115" t="n"/>
      <c r="L47" s="114" t="n"/>
      <c r="M47" s="115" t="n"/>
      <c r="N47" s="116" t="inlineStr">
        <is>
          <t>pulldata('cases_connected_ph', 'care_rel2_lab_b', 'hhid', ${hhid})</t>
        </is>
      </c>
      <c r="O47" s="115" t="n"/>
      <c r="P47" s="115" t="n"/>
      <c r="Q47" s="115" t="n"/>
      <c r="R47" s="115" t="n"/>
      <c r="S47" s="114" t="n"/>
      <c r="T47" s="115" t="n"/>
      <c r="U47" s="114" t="n"/>
      <c r="V47" s="114" t="n"/>
      <c r="W47" s="115" t="n"/>
      <c r="X47" s="115" t="n"/>
    </row>
    <row r="48" ht="17" customHeight="1">
      <c r="A48" s="113" t="inlineStr">
        <is>
          <t>calculate</t>
        </is>
      </c>
      <c r="B48" s="113" t="inlineStr">
        <is>
          <t>contacts</t>
        </is>
      </c>
      <c r="C48" s="116" t="inlineStr">
        <is>
          <t>Pulls no. of available  from cases_students dataset</t>
        </is>
      </c>
      <c r="D48" s="114" t="n"/>
      <c r="E48" s="115" t="n"/>
      <c r="F48" s="115" t="n"/>
      <c r="G48" s="114" t="n"/>
      <c r="H48" s="114" t="n"/>
      <c r="I48" s="116" t="n"/>
      <c r="J48" s="113" t="n"/>
      <c r="K48" s="115" t="n"/>
      <c r="L48" s="114" t="n"/>
      <c r="M48" s="115" t="n"/>
      <c r="N48" s="116" t="inlineStr">
        <is>
          <t>pulldata('cases_connected_ph', 'contacts', 'hhid', ${hhid})</t>
        </is>
      </c>
      <c r="O48" s="115" t="n"/>
      <c r="P48" s="115" t="n"/>
      <c r="Q48" s="115" t="n"/>
      <c r="R48" s="115" t="n"/>
      <c r="S48" s="114" t="n"/>
      <c r="T48" s="115" t="n"/>
      <c r="U48" s="114" t="n"/>
      <c r="V48" s="114" t="n"/>
      <c r="W48" s="115" t="n"/>
      <c r="X48" s="115" t="n"/>
    </row>
    <row r="49" ht="17" customHeight="1">
      <c r="A49" s="113" t="inlineStr">
        <is>
          <t>calculate</t>
        </is>
      </c>
      <c r="B49" s="113" t="inlineStr">
        <is>
          <t>best_phone2</t>
        </is>
      </c>
      <c r="C49" s="116" t="inlineStr">
        <is>
          <t>Pulls new best phone number from cases_students dataset</t>
        </is>
      </c>
      <c r="D49" s="114" t="n"/>
      <c r="E49" s="115" t="n"/>
      <c r="F49" s="115" t="n"/>
      <c r="G49" s="114" t="n"/>
      <c r="H49" s="114" t="n"/>
      <c r="I49" s="116" t="n"/>
      <c r="J49" s="113" t="n"/>
      <c r="K49" s="115" t="n"/>
      <c r="L49" s="114" t="n"/>
      <c r="M49" s="115" t="n"/>
      <c r="N49" s="116" t="inlineStr">
        <is>
          <t>pulldata('cases_connected_ph', 'new_phone', 'hhid', ${hhid})</t>
        </is>
      </c>
      <c r="O49" s="115" t="n"/>
      <c r="P49" s="115" t="n"/>
      <c r="Q49" s="115" t="n"/>
      <c r="R49" s="115" t="n"/>
      <c r="S49" s="114" t="n"/>
      <c r="T49" s="115" t="n"/>
      <c r="U49" s="114" t="n"/>
      <c r="V49" s="114" t="n"/>
      <c r="W49" s="115" t="n"/>
      <c r="X49" s="115" t="n"/>
    </row>
    <row r="50" ht="17" customHeight="1">
      <c r="A50" s="113" t="inlineStr">
        <is>
          <t>calculate</t>
        </is>
      </c>
      <c r="B50" s="113" t="inlineStr">
        <is>
          <t>best_phone2_name</t>
        </is>
      </c>
      <c r="C50" s="116" t="inlineStr">
        <is>
          <t>Pulls name of new best phone owner from cases_students dataset</t>
        </is>
      </c>
      <c r="D50" s="114" t="n"/>
      <c r="E50" s="115" t="n"/>
      <c r="F50" s="115" t="n"/>
      <c r="G50" s="114" t="n"/>
      <c r="H50" s="114" t="n"/>
      <c r="I50" s="116" t="n"/>
      <c r="J50" s="113" t="n"/>
      <c r="K50" s="115" t="n"/>
      <c r="L50" s="114" t="n"/>
      <c r="M50" s="115" t="n"/>
      <c r="N50" s="116" t="inlineStr">
        <is>
          <t>pulldata('cases_connected_ph', 'new_phone_name', 'hhid', ${hhid})</t>
        </is>
      </c>
      <c r="O50" s="115" t="n"/>
      <c r="P50" s="115" t="n"/>
      <c r="Q50" s="115" t="n"/>
      <c r="R50" s="115" t="n"/>
      <c r="S50" s="114" t="n"/>
      <c r="T50" s="115" t="n"/>
      <c r="U50" s="114" t="n"/>
      <c r="V50" s="114" t="n"/>
      <c r="W50" s="115" t="n"/>
      <c r="X50" s="115" t="n"/>
    </row>
    <row r="51" ht="17" customHeight="1">
      <c r="A51" s="113" t="inlineStr">
        <is>
          <t>calculate</t>
        </is>
      </c>
      <c r="B51" s="113" t="inlineStr">
        <is>
          <t>best_phone2_rel</t>
        </is>
      </c>
      <c r="C51" s="116" t="inlineStr">
        <is>
          <t>Pulls new best phone owner's relationship to student from cases_students dataset</t>
        </is>
      </c>
      <c r="D51" s="114" t="n"/>
      <c r="E51" s="115" t="n"/>
      <c r="F51" s="115" t="n"/>
      <c r="G51" s="114" t="n"/>
      <c r="H51" s="114" t="n"/>
      <c r="I51" s="116" t="n"/>
      <c r="J51" s="113" t="n"/>
      <c r="K51" s="115" t="n"/>
      <c r="L51" s="114" t="n"/>
      <c r="M51" s="115" t="n"/>
      <c r="N51" s="116" t="inlineStr">
        <is>
          <t>pulldata('cases_connected_ph', 'new_phone_rel', 'hhid', ${hhid})</t>
        </is>
      </c>
      <c r="O51" s="115" t="n"/>
      <c r="P51" s="115" t="n"/>
      <c r="Q51" s="115" t="n"/>
      <c r="R51" s="115" t="n"/>
      <c r="S51" s="114" t="n"/>
      <c r="T51" s="115" t="n"/>
      <c r="U51" s="114" t="n"/>
      <c r="V51" s="114" t="n"/>
      <c r="W51" s="115" t="n"/>
      <c r="X51" s="115" t="n"/>
    </row>
    <row r="52" ht="17" customHeight="1">
      <c r="A52" s="113" t="inlineStr">
        <is>
          <t>calculate</t>
        </is>
      </c>
      <c r="B52" s="113" t="inlineStr">
        <is>
          <t>best_phone</t>
        </is>
      </c>
      <c r="C52" s="116" t="inlineStr">
        <is>
          <t>Pulls best phone number from cases_students dataset</t>
        </is>
      </c>
      <c r="D52" s="114" t="n"/>
      <c r="E52" s="115" t="n"/>
      <c r="F52" s="115" t="n"/>
      <c r="G52" s="114" t="n"/>
      <c r="H52" s="114" t="n"/>
      <c r="I52" s="116" t="n"/>
      <c r="J52" s="113" t="n"/>
      <c r="K52" s="115" t="n"/>
      <c r="L52" s="114" t="n"/>
      <c r="M52" s="115" t="n"/>
      <c r="N52" s="116" t="inlineStr">
        <is>
          <t>pulldata('cases_connected_ph', 'best_phone', 'hhid', ${hhid})</t>
        </is>
      </c>
      <c r="O52" s="115" t="n"/>
      <c r="P52" s="115" t="n"/>
      <c r="Q52" s="115" t="n"/>
      <c r="R52" s="115" t="n"/>
      <c r="S52" s="114" t="n"/>
      <c r="T52" s="115" t="n"/>
      <c r="U52" s="114" t="n"/>
      <c r="V52" s="114" t="n"/>
      <c r="W52" s="115" t="n"/>
      <c r="X52" s="115" t="n"/>
    </row>
    <row r="53" ht="17" customHeight="1">
      <c r="A53" s="113" t="inlineStr">
        <is>
          <t>calculate</t>
        </is>
      </c>
      <c r="B53" s="113" t="inlineStr">
        <is>
          <t>best_phone_name</t>
        </is>
      </c>
      <c r="C53" s="116" t="inlineStr">
        <is>
          <t>Pulls name of best phone owner from cases_students dataset</t>
        </is>
      </c>
      <c r="D53" s="114" t="n"/>
      <c r="E53" s="115" t="n"/>
      <c r="F53" s="115" t="n"/>
      <c r="G53" s="114" t="n"/>
      <c r="H53" s="114" t="n"/>
      <c r="I53" s="116" t="n"/>
      <c r="J53" s="113" t="n"/>
      <c r="K53" s="115" t="n"/>
      <c r="L53" s="114" t="n"/>
      <c r="M53" s="115" t="n"/>
      <c r="N53" s="116" t="inlineStr">
        <is>
          <t>pulldata('cases_connected_ph', 'best_phone_name', 'hhid', ${hhid})</t>
        </is>
      </c>
      <c r="O53" s="115" t="n"/>
      <c r="P53" s="115" t="n"/>
      <c r="Q53" s="115" t="n"/>
      <c r="R53" s="115" t="n"/>
      <c r="S53" s="114" t="n"/>
      <c r="T53" s="115" t="n"/>
      <c r="U53" s="114" t="n"/>
      <c r="V53" s="114" t="n"/>
      <c r="W53" s="115" t="n"/>
      <c r="X53" s="115" t="n"/>
    </row>
    <row r="54" ht="17" customHeight="1">
      <c r="A54" s="113" t="inlineStr">
        <is>
          <t>calculate</t>
        </is>
      </c>
      <c r="B54" s="113" t="inlineStr">
        <is>
          <t>best_phone_rel</t>
        </is>
      </c>
      <c r="C54" s="116" t="inlineStr">
        <is>
          <t>Pulls best phone owner's relationship to student from cases_students dataset</t>
        </is>
      </c>
      <c r="D54" s="114" t="n"/>
      <c r="E54" s="115" t="n"/>
      <c r="F54" s="115" t="n"/>
      <c r="G54" s="114" t="n"/>
      <c r="H54" s="114" t="n"/>
      <c r="I54" s="116" t="n"/>
      <c r="J54" s="113" t="n"/>
      <c r="K54" s="115" t="n"/>
      <c r="L54" s="114" t="n"/>
      <c r="M54" s="115" t="n"/>
      <c r="N54" s="116" t="inlineStr">
        <is>
          <t>pulldata('cases_connected_ph', 'best_phone_rel', 'hhid', ${hhid})</t>
        </is>
      </c>
      <c r="O54" s="115" t="n"/>
      <c r="P54" s="115" t="n"/>
      <c r="Q54" s="115" t="n"/>
      <c r="R54" s="115" t="n"/>
      <c r="S54" s="114" t="n"/>
      <c r="T54" s="115" t="n"/>
      <c r="U54" s="114" t="n"/>
      <c r="V54" s="114" t="n"/>
      <c r="W54" s="115" t="n"/>
      <c r="X54" s="115" t="n"/>
    </row>
    <row r="55" ht="17" customHeight="1">
      <c r="A55" s="113" t="inlineStr">
        <is>
          <t>calculate</t>
        </is>
      </c>
      <c r="B55" s="113" t="inlineStr">
        <is>
          <t>phone1</t>
        </is>
      </c>
      <c r="C55" s="116" t="inlineStr">
        <is>
          <t>Pulls phone number from cases_students dataset</t>
        </is>
      </c>
      <c r="D55" s="114" t="n"/>
      <c r="E55" s="115" t="n"/>
      <c r="F55" s="115" t="n"/>
      <c r="G55" s="114" t="n"/>
      <c r="H55" s="114" t="n"/>
      <c r="I55" s="116" t="n"/>
      <c r="J55" s="113" t="n"/>
      <c r="K55" s="115" t="n"/>
      <c r="L55" s="114" t="n"/>
      <c r="M55" s="115" t="n"/>
      <c r="N55" s="116" t="inlineStr">
        <is>
          <t>pulldata('cases_connected_ph', 'phone1', 'hhid', ${hhid})</t>
        </is>
      </c>
      <c r="O55" s="115" t="n"/>
      <c r="P55" s="115" t="n"/>
      <c r="Q55" s="115" t="n"/>
      <c r="R55" s="115" t="n"/>
      <c r="S55" s="114" t="n"/>
      <c r="T55" s="115" t="n"/>
      <c r="U55" s="114" t="n"/>
      <c r="V55" s="114" t="n"/>
      <c r="W55" s="115" t="n"/>
      <c r="X55" s="115" t="n"/>
    </row>
    <row r="56" ht="17" customHeight="1">
      <c r="A56" s="113" t="inlineStr">
        <is>
          <t>calculate</t>
        </is>
      </c>
      <c r="B56" s="113" t="inlineStr">
        <is>
          <t>phone1_name</t>
        </is>
      </c>
      <c r="C56" s="116" t="inlineStr">
        <is>
          <t>Pulls name of phone owner from cases_students dataset</t>
        </is>
      </c>
      <c r="D56" s="114" t="n"/>
      <c r="E56" s="115" t="n"/>
      <c r="F56" s="115" t="n"/>
      <c r="G56" s="114" t="n"/>
      <c r="H56" s="114" t="n"/>
      <c r="I56" s="116" t="n"/>
      <c r="J56" s="113" t="n"/>
      <c r="K56" s="115" t="n"/>
      <c r="L56" s="114" t="n"/>
      <c r="M56" s="115" t="n"/>
      <c r="N56" s="116" t="inlineStr">
        <is>
          <t>pulldata('cases_connected_ph', 'phone1_name', 'hhid', ${hhid})</t>
        </is>
      </c>
      <c r="O56" s="115" t="n"/>
      <c r="P56" s="115" t="n"/>
      <c r="Q56" s="115" t="n"/>
      <c r="R56" s="115" t="n"/>
      <c r="S56" s="114" t="n"/>
      <c r="T56" s="115" t="n"/>
      <c r="U56" s="114" t="n"/>
      <c r="V56" s="114" t="n"/>
      <c r="W56" s="115" t="n"/>
      <c r="X56" s="115" t="n"/>
    </row>
    <row r="57" ht="17" customHeight="1">
      <c r="A57" s="113" t="inlineStr">
        <is>
          <t>calculate</t>
        </is>
      </c>
      <c r="B57" s="113" t="inlineStr">
        <is>
          <t>phone1_rel</t>
        </is>
      </c>
      <c r="C57" s="116" t="inlineStr">
        <is>
          <t>Pulls phone owner's relationship to student from cases_students dataset</t>
        </is>
      </c>
      <c r="D57" s="114" t="n"/>
      <c r="E57" s="115" t="n"/>
      <c r="F57" s="115" t="n"/>
      <c r="G57" s="114" t="n"/>
      <c r="H57" s="114" t="n"/>
      <c r="I57" s="116" t="n"/>
      <c r="J57" s="113" t="n"/>
      <c r="K57" s="115" t="n"/>
      <c r="L57" s="114" t="n"/>
      <c r="M57" s="115" t="n"/>
      <c r="N57" s="116" t="inlineStr">
        <is>
          <t>pulldata('cases_connected_ph', 'phone1_rel', 'hhid', ${hhid})</t>
        </is>
      </c>
      <c r="O57" s="115" t="n"/>
      <c r="P57" s="115" t="n"/>
      <c r="Q57" s="115" t="n"/>
      <c r="R57" s="115" t="n"/>
      <c r="S57" s="114" t="n"/>
      <c r="T57" s="115" t="n"/>
      <c r="U57" s="114" t="n"/>
      <c r="V57" s="114" t="n"/>
      <c r="W57" s="115" t="n"/>
      <c r="X57" s="115" t="n"/>
    </row>
    <row r="58" ht="17" customHeight="1">
      <c r="A58" s="113" t="inlineStr">
        <is>
          <t>calculate</t>
        </is>
      </c>
      <c r="B58" s="113" t="inlineStr">
        <is>
          <t>phone2</t>
        </is>
      </c>
      <c r="C58" s="116" t="inlineStr">
        <is>
          <t>Pulls phone number from cases_students dataset</t>
        </is>
      </c>
      <c r="D58" s="114" t="n"/>
      <c r="E58" s="115" t="n"/>
      <c r="F58" s="115" t="n"/>
      <c r="G58" s="114" t="n"/>
      <c r="H58" s="114" t="n"/>
      <c r="I58" s="116" t="n"/>
      <c r="J58" s="113" t="n"/>
      <c r="K58" s="115" t="n"/>
      <c r="L58" s="114" t="n"/>
      <c r="M58" s="115" t="n"/>
      <c r="N58" s="116" t="inlineStr">
        <is>
          <t>pulldata('cases_connected_ph', 'phone2', 'hhid', ${hhid})</t>
        </is>
      </c>
      <c r="O58" s="115" t="n"/>
      <c r="P58" s="115" t="n"/>
      <c r="Q58" s="115" t="n"/>
      <c r="R58" s="115" t="n"/>
      <c r="S58" s="114" t="n"/>
      <c r="T58" s="115" t="n"/>
      <c r="U58" s="114" t="n"/>
      <c r="V58" s="114" t="n"/>
      <c r="W58" s="115" t="n"/>
      <c r="X58" s="115" t="n"/>
    </row>
    <row r="59" ht="17" customHeight="1">
      <c r="A59" s="113" t="inlineStr">
        <is>
          <t>calculate</t>
        </is>
      </c>
      <c r="B59" s="113" t="inlineStr">
        <is>
          <t>phone2_name</t>
        </is>
      </c>
      <c r="C59" s="116" t="inlineStr">
        <is>
          <t>Pulls name of phone owner from cases_students dataset</t>
        </is>
      </c>
      <c r="D59" s="114" t="n"/>
      <c r="E59" s="115" t="n"/>
      <c r="F59" s="115" t="n"/>
      <c r="G59" s="114" t="n"/>
      <c r="H59" s="114" t="n"/>
      <c r="I59" s="116" t="n"/>
      <c r="J59" s="113" t="n"/>
      <c r="K59" s="115" t="n"/>
      <c r="L59" s="114" t="n"/>
      <c r="M59" s="115" t="n"/>
      <c r="N59" s="116" t="inlineStr">
        <is>
          <t>pulldata('cases_connected_ph', 'phone2_name', 'hhid', ${hhid})</t>
        </is>
      </c>
      <c r="O59" s="115" t="n"/>
      <c r="P59" s="115" t="n"/>
      <c r="Q59" s="115" t="n"/>
      <c r="R59" s="115" t="n"/>
      <c r="S59" s="114" t="n"/>
      <c r="T59" s="115" t="n"/>
      <c r="U59" s="114" t="n"/>
      <c r="V59" s="114" t="n"/>
      <c r="W59" s="115" t="n"/>
      <c r="X59" s="115" t="n"/>
    </row>
    <row r="60" ht="17" customHeight="1">
      <c r="A60" s="113" t="inlineStr">
        <is>
          <t>calculate</t>
        </is>
      </c>
      <c r="B60" s="113" t="inlineStr">
        <is>
          <t>phone2_rel</t>
        </is>
      </c>
      <c r="C60" s="116" t="inlineStr">
        <is>
          <t>Pulls phone owner's relationship to student from cases_students dataset</t>
        </is>
      </c>
      <c r="D60" s="114" t="n"/>
      <c r="E60" s="115" t="n"/>
      <c r="F60" s="115" t="n"/>
      <c r="G60" s="114" t="n"/>
      <c r="H60" s="114" t="n"/>
      <c r="I60" s="116" t="n"/>
      <c r="J60" s="113" t="n"/>
      <c r="K60" s="115" t="n"/>
      <c r="L60" s="114" t="n"/>
      <c r="M60" s="115" t="n"/>
      <c r="N60" s="116" t="inlineStr">
        <is>
          <t>pulldata('cases_connected_ph', 'phone2_rel', 'hhid', ${hhid})</t>
        </is>
      </c>
      <c r="O60" s="115" t="n"/>
      <c r="P60" s="115" t="n"/>
      <c r="Q60" s="115" t="n"/>
      <c r="R60" s="115" t="n"/>
      <c r="S60" s="114" t="n"/>
      <c r="T60" s="115" t="n"/>
      <c r="U60" s="114" t="n"/>
      <c r="V60" s="114" t="n"/>
      <c r="W60" s="115" t="n"/>
      <c r="X60" s="115" t="n"/>
    </row>
    <row r="61" ht="17" customHeight="1">
      <c r="A61" s="113" t="inlineStr">
        <is>
          <t>calculate</t>
        </is>
      </c>
      <c r="B61" s="113" t="inlineStr">
        <is>
          <t>phone3</t>
        </is>
      </c>
      <c r="C61" s="116" t="inlineStr">
        <is>
          <t>Pulls phone number from cases_students dataset</t>
        </is>
      </c>
      <c r="D61" s="114" t="n"/>
      <c r="E61" s="115" t="n"/>
      <c r="F61" s="115" t="n"/>
      <c r="G61" s="114" t="n"/>
      <c r="H61" s="114" t="n"/>
      <c r="I61" s="116" t="n"/>
      <c r="J61" s="113" t="n"/>
      <c r="K61" s="115" t="n"/>
      <c r="L61" s="114" t="n"/>
      <c r="M61" s="115" t="n"/>
      <c r="N61" s="116" t="inlineStr">
        <is>
          <t>pulldata('cases_connected_ph', 'phone3', 'hhid', ${hhid})</t>
        </is>
      </c>
      <c r="O61" s="115" t="n"/>
      <c r="P61" s="115" t="n"/>
      <c r="Q61" s="115" t="n"/>
      <c r="R61" s="115" t="n"/>
      <c r="S61" s="114" t="n"/>
      <c r="T61" s="115" t="n"/>
      <c r="U61" s="114" t="n"/>
      <c r="V61" s="114" t="n"/>
      <c r="W61" s="115" t="n"/>
      <c r="X61" s="115" t="n"/>
    </row>
    <row r="62" ht="17" customHeight="1">
      <c r="A62" s="113" t="inlineStr">
        <is>
          <t>calculate</t>
        </is>
      </c>
      <c r="B62" s="113" t="inlineStr">
        <is>
          <t>phone3_name</t>
        </is>
      </c>
      <c r="C62" s="116" t="inlineStr">
        <is>
          <t>Pulls name of phone owner from cases_students dataset</t>
        </is>
      </c>
      <c r="D62" s="114" t="n"/>
      <c r="E62" s="115" t="n"/>
      <c r="F62" s="115" t="n"/>
      <c r="G62" s="114" t="n"/>
      <c r="H62" s="114" t="n"/>
      <c r="I62" s="116" t="n"/>
      <c r="J62" s="113" t="n"/>
      <c r="K62" s="115" t="n"/>
      <c r="L62" s="114" t="n"/>
      <c r="M62" s="115" t="n"/>
      <c r="N62" s="116" t="inlineStr">
        <is>
          <t>pulldata('cases_connected_ph', 'phone3_name', 'hhid', ${hhid})</t>
        </is>
      </c>
      <c r="O62" s="115" t="n"/>
      <c r="P62" s="115" t="n"/>
      <c r="Q62" s="115" t="n"/>
      <c r="R62" s="115" t="n"/>
      <c r="S62" s="114" t="n"/>
      <c r="T62" s="115" t="n"/>
      <c r="U62" s="114" t="n"/>
      <c r="V62" s="114" t="n"/>
      <c r="W62" s="115" t="n"/>
      <c r="X62" s="115" t="n"/>
    </row>
    <row r="63" ht="17" customHeight="1">
      <c r="A63" s="113" t="inlineStr">
        <is>
          <t>calculate</t>
        </is>
      </c>
      <c r="B63" s="113" t="inlineStr">
        <is>
          <t>phone3_rel</t>
        </is>
      </c>
      <c r="C63" s="116" t="inlineStr">
        <is>
          <t>Pulls phone owner's relationship to student from cases_students dataset</t>
        </is>
      </c>
      <c r="D63" s="114" t="n"/>
      <c r="E63" s="115" t="n"/>
      <c r="F63" s="115" t="n"/>
      <c r="G63" s="114" t="n"/>
      <c r="H63" s="114" t="n"/>
      <c r="I63" s="116" t="n"/>
      <c r="J63" s="113" t="n"/>
      <c r="K63" s="115" t="n"/>
      <c r="L63" s="114" t="n"/>
      <c r="M63" s="115" t="n"/>
      <c r="N63" s="116" t="inlineStr">
        <is>
          <t>pulldata('cases_connected_ph', 'phone3_rel', 'hhid', ${hhid})</t>
        </is>
      </c>
      <c r="O63" s="115" t="n"/>
      <c r="P63" s="115" t="n"/>
      <c r="Q63" s="115" t="n"/>
      <c r="R63" s="115" t="n"/>
      <c r="S63" s="114" t="n"/>
      <c r="T63" s="115" t="n"/>
      <c r="U63" s="114" t="n"/>
      <c r="V63" s="114" t="n"/>
      <c r="W63" s="115" t="n"/>
      <c r="X63" s="115" t="n"/>
    </row>
    <row r="64" ht="17" customHeight="1">
      <c r="A64" s="113" t="inlineStr">
        <is>
          <t>calculate</t>
        </is>
      </c>
      <c r="B64" s="113" t="inlineStr">
        <is>
          <t>wrong_no_prev</t>
        </is>
      </c>
      <c r="C64" s="116" t="inlineStr">
        <is>
          <t>Returns 1 if wrong number and no other phone number available</t>
        </is>
      </c>
      <c r="D64" s="114" t="n"/>
      <c r="E64" s="115" t="n"/>
      <c r="F64" s="115" t="n"/>
      <c r="G64" s="114" t="n"/>
      <c r="H64" s="114" t="n"/>
      <c r="I64" s="116" t="n"/>
      <c r="J64" s="113" t="n"/>
      <c r="K64" s="115" t="n"/>
      <c r="L64" s="114" t="n"/>
      <c r="M64" s="115" t="n"/>
      <c r="N64" s="116" t="inlineStr">
        <is>
          <t>pulldata('cases_connected_ph', 'wrong_no', 'hhid', ${hhid})</t>
        </is>
      </c>
      <c r="O64" s="115" t="n"/>
      <c r="P64" s="115" t="n"/>
      <c r="Q64" s="115" t="n"/>
      <c r="R64" s="115" t="n"/>
      <c r="S64" s="114" t="n"/>
      <c r="T64" s="115" t="n"/>
      <c r="U64" s="114" t="n"/>
      <c r="V64" s="114" t="n"/>
      <c r="W64" s="115" t="n"/>
      <c r="X64" s="115" t="n"/>
    </row>
    <row r="65" ht="17" customHeight="1">
      <c r="A65" s="113" t="inlineStr">
        <is>
          <t>calculate</t>
        </is>
      </c>
      <c r="B65" s="113" t="inlineStr">
        <is>
          <t>levelled_prev</t>
        </is>
      </c>
      <c r="C65" s="116" t="inlineStr">
        <is>
          <t>Returns 1 if student is levelled/assessed in a previous call; pulled from cases_students dataset</t>
        </is>
      </c>
      <c r="D65" s="114" t="n"/>
      <c r="E65" s="115" t="n"/>
      <c r="F65" s="115" t="n"/>
      <c r="G65" s="114" t="n"/>
      <c r="H65" s="114" t="n"/>
      <c r="I65" s="116" t="n"/>
      <c r="J65" s="113" t="n"/>
      <c r="K65" s="115" t="n"/>
      <c r="L65" s="114" t="n"/>
      <c r="M65" s="115" t="n"/>
      <c r="N65" s="116" t="inlineStr">
        <is>
          <t>pulldata('cases_connected_ph', 'stud_levelled_e', 'hhid', ${hhid})</t>
        </is>
      </c>
      <c r="O65" s="115" t="n"/>
      <c r="P65" s="115" t="n"/>
      <c r="Q65" s="115" t="n"/>
      <c r="R65" s="115" t="n"/>
      <c r="S65" s="114" t="n"/>
      <c r="T65" s="115" t="n"/>
      <c r="U65" s="114" t="n"/>
      <c r="V65" s="114" t="n"/>
      <c r="W65" s="115" t="n"/>
      <c r="X65" s="115" t="n"/>
    </row>
    <row r="66" ht="17" customHeight="1">
      <c r="A66" s="113" t="inlineStr">
        <is>
          <t>calculate</t>
        </is>
      </c>
      <c r="B66" s="113" t="inlineStr">
        <is>
          <t>consented_prev</t>
        </is>
      </c>
      <c r="C66" s="116" t="inlineStr">
        <is>
          <t>Pulls consent from cases_students dataset</t>
        </is>
      </c>
      <c r="D66" s="114" t="n"/>
      <c r="E66" s="115" t="n"/>
      <c r="F66" s="115" t="n"/>
      <c r="G66" s="114" t="n"/>
      <c r="H66" s="114" t="n"/>
      <c r="I66" s="116" t="n"/>
      <c r="J66" s="113" t="n"/>
      <c r="K66" s="115" t="n"/>
      <c r="L66" s="114" t="n"/>
      <c r="M66" s="115" t="n"/>
      <c r="N66" s="116" t="inlineStr">
        <is>
          <t>pulldata('cases_connected_ph', 'consent_e', 'hhid', ${hhid})</t>
        </is>
      </c>
      <c r="O66" s="115" t="n"/>
      <c r="P66" s="115" t="n"/>
      <c r="Q66" s="115" t="n"/>
      <c r="R66" s="115" t="n"/>
      <c r="S66" s="114" t="n"/>
      <c r="T66" s="115" t="n"/>
      <c r="U66" s="114" t="n"/>
      <c r="V66" s="114" t="n"/>
      <c r="W66" s="115" t="n"/>
      <c r="X66" s="115" t="n"/>
    </row>
    <row r="67" ht="17" customHeight="1">
      <c r="A67" s="113" t="inlineStr">
        <is>
          <t>calculate</t>
        </is>
      </c>
      <c r="B67" s="113" t="inlineStr">
        <is>
          <t>caregiver_interviewed_prev</t>
        </is>
      </c>
      <c r="C67" s="116" t="inlineStr">
        <is>
          <t>Returns 1 if caregiver is interviewed on a previous call</t>
        </is>
      </c>
      <c r="D67" s="114" t="n"/>
      <c r="E67" s="115" t="n"/>
      <c r="F67" s="115" t="n"/>
      <c r="G67" s="114" t="n"/>
      <c r="H67" s="114" t="n"/>
      <c r="I67" s="116" t="n"/>
      <c r="J67" s="113" t="n"/>
      <c r="K67" s="115" t="n"/>
      <c r="L67" s="114" t="n"/>
      <c r="M67" s="115" t="n"/>
      <c r="N67" s="116" t="inlineStr">
        <is>
          <t>pulldata('cases_connected_ph', 'caregiver_interviewed_e', 'hhid', ${hhid})</t>
        </is>
      </c>
      <c r="O67" s="115" t="n"/>
      <c r="P67" s="115" t="n"/>
      <c r="Q67" s="115" t="n"/>
      <c r="R67" s="115" t="n"/>
      <c r="S67" s="114" t="n"/>
      <c r="T67" s="115" t="n"/>
      <c r="U67" s="114" t="n"/>
      <c r="V67" s="114" t="n"/>
      <c r="W67" s="115" t="n"/>
      <c r="X67" s="115" t="n"/>
    </row>
    <row r="68" ht="17" customHeight="1">
      <c r="A68" s="113" t="inlineStr">
        <is>
          <t>calculate</t>
        </is>
      </c>
      <c r="B68" s="113" t="inlineStr">
        <is>
          <t>best_time_mon</t>
        </is>
      </c>
      <c r="C68" s="116" t="inlineStr">
        <is>
          <t>Pulls best time to call during the day from cases_students dataset</t>
        </is>
      </c>
      <c r="D68" s="114" t="n"/>
      <c r="E68" s="115" t="n"/>
      <c r="F68" s="115" t="n"/>
      <c r="G68" s="114" t="n"/>
      <c r="H68" s="114" t="n"/>
      <c r="I68" s="116" t="n"/>
      <c r="J68" s="113" t="n"/>
      <c r="K68" s="115" t="n"/>
      <c r="L68" s="114" t="n"/>
      <c r="M68" s="115" t="n"/>
      <c r="N68" s="116" t="inlineStr">
        <is>
          <t>pulldata('cases_connected_ph', 'best_time_mon', 'hhid', ${hhid})</t>
        </is>
      </c>
      <c r="O68" s="115" t="n"/>
      <c r="P68" s="115" t="n"/>
      <c r="Q68" s="115" t="n"/>
      <c r="R68" s="115" t="n"/>
      <c r="S68" s="114" t="n"/>
      <c r="T68" s="115" t="n"/>
      <c r="U68" s="114" t="n"/>
      <c r="V68" s="114" t="n"/>
      <c r="W68" s="115" t="n"/>
      <c r="X68" s="115" t="n"/>
    </row>
    <row r="69" ht="17" customHeight="1">
      <c r="A69" s="113" t="inlineStr">
        <is>
          <t>calculate</t>
        </is>
      </c>
      <c r="B69" s="113" t="inlineStr">
        <is>
          <t>best_time_tue</t>
        </is>
      </c>
      <c r="C69" s="116" t="inlineStr">
        <is>
          <t>Pulls best time to call during the day from cases_students dataset</t>
        </is>
      </c>
      <c r="D69" s="114" t="n"/>
      <c r="E69" s="115" t="n"/>
      <c r="F69" s="115" t="n"/>
      <c r="G69" s="114" t="n"/>
      <c r="H69" s="114" t="n"/>
      <c r="I69" s="116" t="n"/>
      <c r="J69" s="113" t="n"/>
      <c r="K69" s="115" t="n"/>
      <c r="L69" s="114" t="n"/>
      <c r="M69" s="115" t="n"/>
      <c r="N69" s="116" t="inlineStr">
        <is>
          <t>pulldata('cases_connected_ph', 'best_time_tue', 'hhid', ${hhid})</t>
        </is>
      </c>
      <c r="O69" s="115" t="n"/>
      <c r="P69" s="115" t="n"/>
      <c r="Q69" s="115" t="n"/>
      <c r="R69" s="115" t="n"/>
      <c r="S69" s="114" t="n"/>
      <c r="T69" s="115" t="n"/>
      <c r="U69" s="114" t="n"/>
      <c r="V69" s="114" t="n"/>
      <c r="W69" s="115" t="n"/>
      <c r="X69" s="115" t="n"/>
    </row>
    <row r="70" ht="17" customHeight="1">
      <c r="A70" s="113" t="inlineStr">
        <is>
          <t>calculate</t>
        </is>
      </c>
      <c r="B70" s="113" t="inlineStr">
        <is>
          <t>best_time_wed</t>
        </is>
      </c>
      <c r="C70" s="116" t="inlineStr">
        <is>
          <t>Pulls best time to call during the day from cases_students dataset</t>
        </is>
      </c>
      <c r="D70" s="114" t="n"/>
      <c r="E70" s="115" t="n"/>
      <c r="F70" s="115" t="n"/>
      <c r="G70" s="114" t="n"/>
      <c r="H70" s="114" t="n"/>
      <c r="I70" s="116" t="n"/>
      <c r="J70" s="113" t="n"/>
      <c r="K70" s="115" t="n"/>
      <c r="L70" s="114" t="n"/>
      <c r="M70" s="115" t="n"/>
      <c r="N70" s="116" t="inlineStr">
        <is>
          <t>pulldata('cases_connected_ph', 'best_time_wed', 'hhid', ${hhid})</t>
        </is>
      </c>
      <c r="O70" s="115" t="n"/>
      <c r="P70" s="115" t="n"/>
      <c r="Q70" s="115" t="n"/>
      <c r="R70" s="115" t="n"/>
      <c r="S70" s="114" t="n"/>
      <c r="T70" s="115" t="n"/>
      <c r="U70" s="114" t="n"/>
      <c r="V70" s="114" t="n"/>
      <c r="W70" s="115" t="n"/>
      <c r="X70" s="115" t="n"/>
    </row>
    <row r="71" ht="17" customHeight="1">
      <c r="A71" s="113" t="inlineStr">
        <is>
          <t>calculate</t>
        </is>
      </c>
      <c r="B71" s="113" t="inlineStr">
        <is>
          <t>best_time_thu</t>
        </is>
      </c>
      <c r="C71" s="116" t="inlineStr">
        <is>
          <t>Pulls best time to call during the day from cases_students dataset</t>
        </is>
      </c>
      <c r="D71" s="114" t="n"/>
      <c r="E71" s="115" t="n"/>
      <c r="F71" s="115" t="n"/>
      <c r="G71" s="114" t="n"/>
      <c r="H71" s="114" t="n"/>
      <c r="I71" s="116" t="n"/>
      <c r="J71" s="113" t="n"/>
      <c r="K71" s="115" t="n"/>
      <c r="L71" s="114" t="n"/>
      <c r="M71" s="115" t="n"/>
      <c r="N71" s="116" t="inlineStr">
        <is>
          <t>pulldata('cases_connected_ph', 'best_time_thu', 'hhid', ${hhid})</t>
        </is>
      </c>
      <c r="O71" s="115" t="n"/>
      <c r="P71" s="115" t="n"/>
      <c r="Q71" s="115" t="n"/>
      <c r="R71" s="115" t="n"/>
      <c r="S71" s="114" t="n"/>
      <c r="T71" s="115" t="n"/>
      <c r="U71" s="114" t="n"/>
      <c r="V71" s="114" t="n"/>
      <c r="W71" s="115" t="n"/>
      <c r="X71" s="115" t="n"/>
    </row>
    <row r="72" ht="17" customHeight="1">
      <c r="A72" s="113" t="inlineStr">
        <is>
          <t>calculate</t>
        </is>
      </c>
      <c r="B72" s="113" t="inlineStr">
        <is>
          <t>best_time_fri</t>
        </is>
      </c>
      <c r="C72" s="116" t="inlineStr">
        <is>
          <t>Pulls best time to call during the day from cases_students dataset</t>
        </is>
      </c>
      <c r="D72" s="114" t="n"/>
      <c r="E72" s="115" t="n"/>
      <c r="F72" s="115" t="n"/>
      <c r="G72" s="114" t="n"/>
      <c r="H72" s="114" t="n"/>
      <c r="I72" s="116" t="n"/>
      <c r="J72" s="113" t="n"/>
      <c r="K72" s="115" t="n"/>
      <c r="L72" s="114" t="n"/>
      <c r="M72" s="115" t="n"/>
      <c r="N72" s="116" t="inlineStr">
        <is>
          <t>pulldata('cases_connected_ph', 'best_time_fri', 'hhid', ${hhid})</t>
        </is>
      </c>
      <c r="O72" s="115" t="n"/>
      <c r="P72" s="115" t="n"/>
      <c r="Q72" s="115" t="n"/>
      <c r="R72" s="115" t="n"/>
      <c r="S72" s="114" t="n"/>
      <c r="T72" s="115" t="n"/>
      <c r="U72" s="114" t="n"/>
      <c r="V72" s="114" t="n"/>
      <c r="W72" s="115" t="n"/>
      <c r="X72" s="115" t="n"/>
    </row>
    <row r="73" ht="17" customHeight="1">
      <c r="A73" s="113" t="inlineStr">
        <is>
          <t>calculate</t>
        </is>
      </c>
      <c r="B73" s="113" t="inlineStr">
        <is>
          <t>best_time_sat</t>
        </is>
      </c>
      <c r="C73" s="116" t="inlineStr">
        <is>
          <t>Pulls best time to call during the day from cases_students dataset</t>
        </is>
      </c>
      <c r="D73" s="114" t="n"/>
      <c r="E73" s="115" t="n"/>
      <c r="F73" s="115" t="n"/>
      <c r="G73" s="114" t="n"/>
      <c r="H73" s="114" t="n"/>
      <c r="I73" s="116" t="n"/>
      <c r="J73" s="113" t="n"/>
      <c r="K73" s="115" t="n"/>
      <c r="L73" s="114" t="n"/>
      <c r="M73" s="115" t="n"/>
      <c r="N73" s="116" t="inlineStr">
        <is>
          <t>pulldata('cases_connected_ph', 'best_time_sat', 'hhid', ${hhid})</t>
        </is>
      </c>
      <c r="O73" s="115" t="n"/>
      <c r="P73" s="115" t="n"/>
      <c r="Q73" s="115" t="n"/>
      <c r="R73" s="115" t="n"/>
      <c r="S73" s="114" t="n"/>
      <c r="T73" s="115" t="n"/>
      <c r="U73" s="114" t="n"/>
      <c r="V73" s="114" t="n"/>
      <c r="W73" s="115" t="n"/>
      <c r="X73" s="115" t="n"/>
    </row>
    <row r="74" ht="17" customHeight="1">
      <c r="A74" s="113" t="inlineStr">
        <is>
          <t>calculate</t>
        </is>
      </c>
      <c r="B74" s="113" t="inlineStr">
        <is>
          <t>best_time_sun</t>
        </is>
      </c>
      <c r="C74" s="116" t="inlineStr">
        <is>
          <t>Pulls best time to call during the day from cases_students dataset</t>
        </is>
      </c>
      <c r="D74" s="114" t="n"/>
      <c r="E74" s="115" t="n"/>
      <c r="F74" s="115" t="n"/>
      <c r="G74" s="114" t="n"/>
      <c r="H74" s="114" t="n"/>
      <c r="I74" s="116" t="n"/>
      <c r="J74" s="113" t="n"/>
      <c r="K74" s="115" t="n"/>
      <c r="L74" s="114" t="n"/>
      <c r="M74" s="115" t="n"/>
      <c r="N74" s="116" t="inlineStr">
        <is>
          <t>pulldata('cases_connected_ph', 'best_time_sun', 'hhid', ${hhid})</t>
        </is>
      </c>
      <c r="O74" s="115" t="n"/>
      <c r="P74" s="115" t="n"/>
      <c r="Q74" s="115" t="n"/>
      <c r="R74" s="115" t="n"/>
      <c r="S74" s="114" t="n"/>
      <c r="T74" s="115" t="n"/>
      <c r="U74" s="114" t="n"/>
      <c r="V74" s="114" t="n"/>
      <c r="W74" s="115" t="n"/>
      <c r="X74" s="115" t="n"/>
    </row>
    <row r="75">
      <c r="A75" s="115" t="n"/>
      <c r="B75" s="115" t="n"/>
      <c r="C75" s="116" t="n"/>
      <c r="D75" s="114" t="n"/>
      <c r="E75" s="115" t="n"/>
      <c r="F75" s="115" t="n"/>
      <c r="G75" s="114" t="n"/>
      <c r="H75" s="114" t="n"/>
      <c r="I75" s="116" t="n"/>
      <c r="J75" s="113" t="n"/>
      <c r="K75" s="115" t="n"/>
      <c r="L75" s="114" t="n"/>
      <c r="M75" s="115" t="n"/>
      <c r="N75" s="114" t="n"/>
      <c r="O75" s="115" t="n"/>
      <c r="P75" s="115" t="n"/>
      <c r="Q75" s="115" t="n"/>
      <c r="R75" s="115" t="n"/>
      <c r="S75" s="114" t="n"/>
      <c r="T75" s="115" t="n"/>
      <c r="U75" s="114" t="n"/>
      <c r="V75" s="114" t="n"/>
      <c r="W75" s="115" t="n"/>
      <c r="X75" s="115" t="n"/>
    </row>
    <row r="76" ht="17" customHeight="1">
      <c r="A76" s="113" t="inlineStr">
        <is>
          <t>begin group</t>
        </is>
      </c>
      <c r="B76" s="113" t="inlineStr">
        <is>
          <t>phonecall</t>
        </is>
      </c>
      <c r="C76" s="116" t="inlineStr">
        <is>
          <t>Calling</t>
        </is>
      </c>
      <c r="D76" s="114" t="n"/>
      <c r="E76" s="115" t="n"/>
      <c r="F76" s="115" t="n"/>
      <c r="G76" s="114" t="n"/>
      <c r="H76" s="114" t="n"/>
      <c r="I76" s="116" t="n"/>
      <c r="J76" s="113" t="n"/>
      <c r="K76" s="115" t="n"/>
      <c r="L76" s="114" t="n"/>
      <c r="M76" s="115" t="n"/>
      <c r="N76" s="114" t="n"/>
      <c r="O76" s="115" t="n"/>
      <c r="P76" s="115" t="n"/>
      <c r="Q76" s="115" t="n"/>
      <c r="R76" s="115" t="n"/>
      <c r="S76" s="114" t="n"/>
      <c r="T76" s="115" t="n"/>
      <c r="U76" s="114" t="n"/>
      <c r="V76" s="114" t="n"/>
      <c r="W76" s="115" t="n"/>
      <c r="X76" s="115" t="n"/>
    </row>
    <row r="77" ht="17" customHeight="1">
      <c r="A77" s="113" t="inlineStr">
        <is>
          <t>begin group</t>
        </is>
      </c>
      <c r="B77" s="113" t="inlineStr">
        <is>
          <t>select_phone_no</t>
        </is>
      </c>
      <c r="C77" s="116" t="n"/>
      <c r="D77" s="114" t="n"/>
      <c r="E77" s="115" t="n"/>
      <c r="F77" s="113" t="inlineStr">
        <is>
          <t>field-list</t>
        </is>
      </c>
      <c r="G77" s="114" t="n"/>
      <c r="H77" s="114" t="n"/>
      <c r="I77" s="116" t="n"/>
      <c r="J77" s="113" t="n"/>
      <c r="K77" s="115" t="n"/>
      <c r="L77" s="114" t="n"/>
      <c r="M77" s="115" t="n"/>
      <c r="N77" s="114" t="n"/>
      <c r="O77" s="115" t="n"/>
      <c r="P77" s="115" t="n"/>
      <c r="Q77" s="115" t="n"/>
      <c r="R77" s="115" t="n"/>
      <c r="S77" s="114" t="n"/>
      <c r="T77" s="115" t="n"/>
      <c r="U77" s="114" t="n"/>
      <c r="V77" s="114" t="n"/>
      <c r="W77" s="115" t="n"/>
      <c r="X77" s="115" t="n"/>
    </row>
    <row r="78" ht="136" customHeight="1">
      <c r="A78" s="113" t="inlineStr">
        <is>
          <t>note</t>
        </is>
      </c>
      <c r="B78" s="113" t="inlineStr">
        <is>
          <t>note_hh_info1</t>
        </is>
      </c>
      <c r="C78" s="116" t="inlineStr">
        <is>
          <t xml:space="preserve">&lt;b&gt;HOUSEHOLD INFORMATION:&lt;/b&gt;
&lt;br&gt;&lt;br&gt;
ID: &lt;b&gt;${learner_id}&lt;/b&gt; &lt;br&gt;
Student's name: &lt;b&gt;${stud_name}&lt;/b&gt; &lt;br&gt;
Student's primary caregiver: &lt;b&gt;${care_name}&lt;/b&gt; &lt;br&gt;
Primary caregiver's relationship to child: &lt;b&gt;${care_rel_lab}&lt;/b&gt; </t>
        </is>
      </c>
      <c r="D78" s="114" t="n"/>
      <c r="E78" s="115" t="n"/>
      <c r="F78" s="115" t="n"/>
      <c r="G78" s="114" t="n"/>
      <c r="H78" s="114" t="n"/>
      <c r="I78" s="116" t="n"/>
      <c r="J78" s="113" t="n"/>
      <c r="K78" s="115" t="n"/>
      <c r="L78" s="114" t="n"/>
      <c r="M78" s="115" t="n"/>
      <c r="N78" s="114" t="n"/>
      <c r="O78" s="115" t="n"/>
      <c r="P78" s="115" t="n"/>
      <c r="Q78" s="115" t="n"/>
      <c r="R78" s="115" t="n"/>
      <c r="S78" s="114" t="n"/>
      <c r="T78" s="115" t="n"/>
      <c r="U78" s="114" t="n"/>
      <c r="V78" s="114" t="n"/>
      <c r="W78" s="115" t="n"/>
      <c r="X78" s="115" t="n"/>
    </row>
    <row r="79" ht="221" customHeight="1">
      <c r="A79" s="113" t="inlineStr">
        <is>
          <t>note</t>
        </is>
      </c>
      <c r="B79" s="113" t="inlineStr">
        <is>
          <t>note_best_time</t>
        </is>
      </c>
      <c r="C79" s="116" t="inlineStr">
        <is>
          <t>&lt;b&gt;BEST DAYS AND TIME TO CALL:&lt;/b&gt;
&lt;br&gt;&lt;br&gt;
&lt;ul&gt;
&lt;li&gt;Monday: ${best_time_mon}&lt;/li&gt;
&lt;li&gt;Tuesday: ${best_time_tue}&lt;/li&gt;
&lt;li&gt;Wednesday: ${best_time_wed}&lt;/li&gt;
&lt;li&gt;Thursday: ${best_time_thu}&lt;/li&gt;
&lt;li&gt;Friday: ${best_time_fri}&lt;/li&gt;
&lt;li&gt;Saturday: ${best_time_sat}&lt;/li&gt;
&lt;li&gt;Sunday: ${best_time_sun}&lt;/li&gt;
&lt;/ul&gt;</t>
        </is>
      </c>
      <c r="D79" s="114" t="n"/>
      <c r="E79" s="115" t="n"/>
      <c r="F79" s="115" t="n"/>
      <c r="G79" s="114" t="n"/>
      <c r="H79" s="114" t="n"/>
      <c r="I79" s="116" t="n"/>
      <c r="J79" s="113" t="n"/>
      <c r="K79" s="115" t="n"/>
      <c r="L79" s="114" t="n"/>
      <c r="M79" s="115" t="n"/>
      <c r="N79" s="114" t="n"/>
      <c r="O79" s="115" t="n"/>
      <c r="P79" s="115" t="n"/>
      <c r="Q79" s="115" t="n"/>
      <c r="R79" s="115" t="n"/>
      <c r="S79" s="114" t="n"/>
      <c r="T79" s="115" t="n"/>
      <c r="U79" s="114" t="n"/>
      <c r="V79" s="114" t="n"/>
      <c r="W79" s="115" t="n"/>
      <c r="X79" s="115" t="n"/>
    </row>
    <row r="80" ht="119" customHeight="1">
      <c r="A80" s="113" t="inlineStr">
        <is>
          <t>note</t>
        </is>
      </c>
      <c r="B80" s="113" t="inlineStr">
        <is>
          <t>note_best_phone1</t>
        </is>
      </c>
      <c r="C80" s="116" t="inlineStr">
        <is>
          <t>&lt;b&gt;BEST PHONE NUMBER:&lt;/b&gt;
&lt;br&gt;&lt;br&gt;
&lt;ul&gt;
&lt;li&gt;${best_phone_name} (${best_phone_rel}): &lt;b&gt;${best_phone}&lt;/b&gt;&lt;/li&gt;
&lt;/ul&gt;</t>
        </is>
      </c>
      <c r="D80" s="114" t="n"/>
      <c r="E80" s="115" t="n"/>
      <c r="F80" s="115" t="n"/>
      <c r="G80" s="114" t="n"/>
      <c r="H80" s="114" t="n"/>
      <c r="I80" s="116" t="inlineStr">
        <is>
          <t>${best_phone2} = null</t>
        </is>
      </c>
      <c r="J80" s="113" t="n"/>
      <c r="K80" s="115" t="n"/>
      <c r="L80" s="114" t="n"/>
      <c r="M80" s="115" t="n"/>
      <c r="N80" s="114" t="n"/>
      <c r="O80" s="115" t="n"/>
      <c r="P80" s="115" t="n"/>
      <c r="Q80" s="115" t="n"/>
      <c r="R80" s="115" t="n"/>
      <c r="S80" s="114" t="n"/>
      <c r="T80" s="115" t="n"/>
      <c r="U80" s="114" t="n"/>
      <c r="V80" s="114" t="n"/>
      <c r="W80" s="115" t="n"/>
      <c r="X80" s="115" t="n"/>
    </row>
    <row r="81" ht="119" customHeight="1">
      <c r="A81" s="113" t="inlineStr">
        <is>
          <t>note</t>
        </is>
      </c>
      <c r="B81" s="113" t="inlineStr">
        <is>
          <t>note_best_phone2</t>
        </is>
      </c>
      <c r="C81" s="116" t="inlineStr">
        <is>
          <t>&lt;b&gt;BEST PHONE NUMBER:&lt;/b&gt;
&lt;br&gt;&lt;br&gt;
&lt;ul&gt;
&lt;li&gt;${best_phone2_name} (${best_phone2_rel}): &lt;b&gt;${best_phone2}&lt;/b&gt;&lt;/li&gt;
&lt;/ul&gt;</t>
        </is>
      </c>
      <c r="D81" s="114" t="n"/>
      <c r="E81" s="115" t="n"/>
      <c r="F81" s="115" t="n"/>
      <c r="G81" s="114" t="n"/>
      <c r="H81" s="114" t="n"/>
      <c r="I81" s="116" t="inlineStr">
        <is>
          <t>${best_phone2} != null</t>
        </is>
      </c>
      <c r="J81" s="113" t="n"/>
      <c r="K81" s="115" t="n"/>
      <c r="L81" s="114" t="n"/>
      <c r="M81" s="115" t="n"/>
      <c r="N81" s="114" t="n"/>
      <c r="O81" s="115" t="n"/>
      <c r="P81" s="115" t="n"/>
      <c r="Q81" s="115" t="n"/>
      <c r="R81" s="115" t="n"/>
      <c r="S81" s="114" t="n"/>
      <c r="T81" s="115" t="n"/>
      <c r="U81" s="114" t="n"/>
      <c r="V81" s="114" t="n"/>
      <c r="W81" s="115" t="n"/>
      <c r="X81" s="115" t="n"/>
    </row>
    <row r="82" ht="17" customHeight="1">
      <c r="A82" s="113" t="inlineStr">
        <is>
          <t>select_one phones</t>
        </is>
      </c>
      <c r="B82" s="113" t="inlineStr">
        <is>
          <t>phone_select</t>
        </is>
      </c>
      <c r="C82" s="116" t="inlineStr">
        <is>
          <t>Please select the phone number you want to call:</t>
        </is>
      </c>
      <c r="D82" s="114" t="n"/>
      <c r="E82" s="115" t="n"/>
      <c r="F82" s="115" t="n"/>
      <c r="G82" s="114" t="n"/>
      <c r="H82" s="114" t="n"/>
      <c r="I82" s="116" t="n"/>
      <c r="J82" s="113" t="n"/>
      <c r="K82" s="113" t="inlineStr">
        <is>
          <t>yes</t>
        </is>
      </c>
      <c r="L82" s="114" t="n"/>
      <c r="M82" s="115" t="n"/>
      <c r="N82" s="114" t="n"/>
      <c r="O82" s="115" t="n"/>
      <c r="P82" s="115" t="n"/>
      <c r="Q82" s="115" t="n"/>
      <c r="R82" s="115" t="n"/>
      <c r="S82" s="114" t="n"/>
      <c r="T82" s="113" t="inlineStr">
        <is>
          <t>filter &lt;= ${contacts}</t>
        </is>
      </c>
      <c r="U82" s="114" t="n"/>
      <c r="V82" s="114" t="n"/>
      <c r="W82" s="115" t="n"/>
      <c r="X82" s="115" t="n"/>
    </row>
    <row r="83" ht="68" customHeight="1">
      <c r="A83" s="113" t="inlineStr">
        <is>
          <t>calculate</t>
        </is>
      </c>
      <c r="B83" s="113" t="inlineStr">
        <is>
          <t>selected_phone_no</t>
        </is>
      </c>
      <c r="C83" s="116" t="inlineStr">
        <is>
          <t>Calculates the phone number to be called</t>
        </is>
      </c>
      <c r="D83" s="114" t="n"/>
      <c r="E83" s="115" t="n"/>
      <c r="F83" s="115" t="n"/>
      <c r="G83" s="114" t="n"/>
      <c r="H83" s="114" t="n"/>
      <c r="I83" s="116" t="n"/>
      <c r="J83" s="113" t="n"/>
      <c r="K83" s="115" t="n"/>
      <c r="L83" s="114" t="n"/>
      <c r="M83" s="115" t="n"/>
      <c r="N83" s="116" t="inlineStr">
        <is>
          <t>if(selected(${phone_select}, '1'), ${phone1}, 
if(selected(${phone_select}, '2'), ${phone2}, 
if(selected(${phone_select}, '3'), ${phone3}, 
if(selected(${phone_select}, '4'), ${best_phone},${best_phone2}))))</t>
        </is>
      </c>
      <c r="O83" s="115" t="n"/>
      <c r="P83" s="115" t="n"/>
      <c r="Q83" s="115" t="n"/>
      <c r="R83" s="115" t="n"/>
      <c r="S83" s="114" t="n"/>
      <c r="T83" s="115" t="n"/>
      <c r="U83" s="114" t="n"/>
      <c r="V83" s="114" t="n"/>
      <c r="W83" s="115" t="n"/>
      <c r="X83" s="115" t="n"/>
    </row>
    <row r="84">
      <c r="A84" s="113" t="inlineStr">
        <is>
          <t>end group</t>
        </is>
      </c>
      <c r="B84" s="113" t="inlineStr">
        <is>
          <t>select_phone_no</t>
        </is>
      </c>
      <c r="C84" s="116" t="n"/>
      <c r="D84" s="114" t="n"/>
      <c r="E84" s="115" t="n"/>
      <c r="F84" s="115" t="n"/>
      <c r="G84" s="114" t="n"/>
      <c r="H84" s="114" t="n"/>
      <c r="I84" s="116" t="n"/>
      <c r="J84" s="113" t="n"/>
      <c r="K84" s="115" t="n"/>
      <c r="L84" s="114" t="n"/>
      <c r="M84" s="115" t="n"/>
      <c r="N84" s="116" t="n"/>
      <c r="O84" s="115" t="n"/>
      <c r="P84" s="115" t="n"/>
      <c r="Q84" s="115" t="n"/>
      <c r="R84" s="115" t="n"/>
      <c r="S84" s="114" t="n"/>
      <c r="T84" s="115" t="n"/>
      <c r="U84" s="114" t="n"/>
      <c r="V84" s="114" t="n"/>
      <c r="W84" s="115" t="n"/>
      <c r="X84" s="115" t="n"/>
    </row>
    <row r="85" ht="17" customHeight="1">
      <c r="A85" s="113" t="inlineStr">
        <is>
          <t>begin group</t>
        </is>
      </c>
      <c r="B85" s="113" t="inlineStr">
        <is>
          <t>calling</t>
        </is>
      </c>
      <c r="C85" s="116" t="n"/>
      <c r="D85" s="114" t="n"/>
      <c r="E85" s="115" t="n"/>
      <c r="F85" s="113" t="inlineStr">
        <is>
          <t>field-list</t>
        </is>
      </c>
      <c r="G85" s="114" t="n"/>
      <c r="H85" s="114" t="n"/>
      <c r="I85" s="116" t="n"/>
      <c r="J85" s="113" t="n"/>
      <c r="K85" s="115" t="n"/>
      <c r="L85" s="114" t="n"/>
      <c r="M85" s="115" t="n"/>
      <c r="N85" s="116" t="n"/>
      <c r="O85" s="115" t="n"/>
      <c r="P85" s="115" t="n"/>
      <c r="Q85" s="115" t="n"/>
      <c r="R85" s="115" t="n"/>
      <c r="S85" s="114" t="n"/>
      <c r="T85" s="115" t="n"/>
      <c r="U85" s="114" t="n"/>
      <c r="V85" s="114" t="n"/>
      <c r="W85" s="115" t="n"/>
      <c r="X85" s="115" t="n"/>
    </row>
    <row r="86" ht="255" customHeight="1">
      <c r="A86" s="113" t="inlineStr">
        <is>
          <t>note</t>
        </is>
      </c>
      <c r="B86" s="113" t="inlineStr">
        <is>
          <t>note_hh_info2</t>
        </is>
      </c>
      <c r="C86" s="116" t="inlineStr">
        <is>
          <t>&lt;b&gt;HOUSEHOLD INFORMATION:&lt;/b&gt;
&lt;br&gt;&lt;br&gt;
ID: &lt;b&gt;${learner_id}&lt;/b&gt; &lt;br&gt;
Student's name: &lt;b&gt;${stud_name}&lt;/b&gt; &lt;br&gt;
Student's primary caregiver: &lt;b&gt;${care_name}&lt;/b&gt; &lt;br&gt;
Primary caregiver's relationship to child: &lt;b&gt;${care_rel_lab}&lt;/b&gt; 
&lt;br&gt;&lt;br&gt;
Student's school name: &lt;b&gt;${school}&lt;/b&gt; &lt;br&gt;
Age: &lt;b&gt;${age}&lt;/b&gt; &lt;br&gt;
Grade: &lt;b&gt;${grade}&lt;/b&gt; &lt;br&gt;
Sex: &lt;b&gt;${gender}&lt;/b&gt;</t>
        </is>
      </c>
      <c r="D86" s="114" t="n"/>
      <c r="E86" s="115" t="n"/>
      <c r="F86" s="115" t="n"/>
      <c r="G86" s="114" t="n"/>
      <c r="H86" s="114" t="n"/>
      <c r="I86" s="116" t="n"/>
      <c r="J86" s="113" t="n"/>
      <c r="K86" s="115" t="n"/>
      <c r="L86" s="114" t="n"/>
      <c r="M86" s="115" t="n"/>
      <c r="N86" s="114" t="n"/>
      <c r="O86" s="115" t="n"/>
      <c r="P86" s="115" t="n"/>
      <c r="Q86" s="115" t="n"/>
      <c r="R86" s="115" t="n"/>
      <c r="S86" s="114" t="n"/>
      <c r="T86" s="115" t="n"/>
      <c r="U86" s="114" t="n"/>
      <c r="V86" s="114" t="n"/>
      <c r="W86" s="115" t="n"/>
      <c r="X86" s="115" t="n"/>
    </row>
    <row r="87" ht="221" customHeight="1">
      <c r="A87" s="113" t="inlineStr">
        <is>
          <t>text</t>
        </is>
      </c>
      <c r="B87" s="113" t="inlineStr">
        <is>
          <t>phone_call</t>
        </is>
      </c>
      <c r="C87" s="116" t="inlineStr">
        <is>
          <t>&lt;p&gt;&lt;span style="color: #3366ff;"&gt;&lt;b&gt;When you're ready, click the button below to make the phone call.&lt;/b&gt;&lt;/span&gt;&lt;/p&gt;
&lt;br&gt;&lt;br&gt;
&lt;p&gt;&lt;span style="color: #3366ff;"&gt;You are calling &lt;b&gt;&lt;u&gt;${care_name}&lt;/u&gt;&lt;/b&gt;, the primary caregiver of &lt;b&gt;&lt;u&gt;${stud_name}&lt;/u&gt;&lt;/b&gt;. If the call is answered, read the script below and record the status of the call.&lt;/span&gt;&lt;/p&gt;
&lt;br&gt;&lt;br&gt;
&lt;i&gt;Hello! Good morning / afternoon / evening! My name is &lt;b&gt;&lt;u&gt;${facilitator_e}&lt;/u&gt;&lt;/b&gt; from the Department of Education (DepEd). May I speak to &lt;b&gt;&lt;u&gt;${care_name}&lt;/u&gt;&lt;/b&gt;?&lt;/i&gt;</t>
        </is>
      </c>
      <c r="D87" s="114" t="n"/>
      <c r="E87" s="115" t="n"/>
      <c r="F87" s="113" t="inlineStr">
        <is>
          <t>custom-phone-call(phone_number=${selected_phone_no})</t>
        </is>
      </c>
      <c r="G87" s="114" t="n"/>
      <c r="H87" s="114" t="n"/>
      <c r="I87" s="116" t="n"/>
      <c r="J87" s="113" t="n"/>
      <c r="K87" s="115" t="n"/>
      <c r="L87" s="114" t="n"/>
      <c r="M87" s="115" t="n"/>
      <c r="N87" s="114" t="n"/>
      <c r="O87" s="115" t="n"/>
      <c r="P87" s="115" t="n"/>
      <c r="Q87" s="115" t="n"/>
      <c r="R87" s="115" t="n"/>
      <c r="S87" s="114" t="n"/>
      <c r="T87" s="115" t="n"/>
      <c r="U87" s="114" t="n"/>
      <c r="V87" s="114" t="n"/>
      <c r="W87" s="115" t="n"/>
      <c r="X87" s="115" t="n"/>
    </row>
    <row r="88" ht="17" customHeight="1">
      <c r="A88" s="113" t="inlineStr">
        <is>
          <t>select_one response</t>
        </is>
      </c>
      <c r="B88" s="113" t="inlineStr">
        <is>
          <t>phone_call_response</t>
        </is>
      </c>
      <c r="C88" s="116" t="inlineStr">
        <is>
          <t>What is the status of the call?</t>
        </is>
      </c>
      <c r="D88" s="114" t="n"/>
      <c r="E88" s="115" t="n"/>
      <c r="F88" s="115" t="n"/>
      <c r="G88" s="114" t="n"/>
      <c r="H88" s="114" t="n"/>
      <c r="I88" s="116" t="n"/>
      <c r="J88" s="113" t="n"/>
      <c r="K88" s="113" t="inlineStr">
        <is>
          <t>yes</t>
        </is>
      </c>
      <c r="L88" s="114" t="n"/>
      <c r="M88" s="115" t="n"/>
      <c r="N88" s="114" t="n"/>
      <c r="O88" s="115" t="n"/>
      <c r="P88" s="115" t="n"/>
      <c r="Q88" s="115" t="n"/>
      <c r="R88" s="115" t="n"/>
      <c r="S88" s="114" t="n"/>
      <c r="T88" s="115" t="n"/>
      <c r="U88" s="114" t="n"/>
      <c r="V88" s="114" t="n"/>
      <c r="W88" s="115" t="n"/>
      <c r="X88" s="115" t="n"/>
    </row>
    <row r="89">
      <c r="A89" s="113" t="inlineStr">
        <is>
          <t>end group</t>
        </is>
      </c>
      <c r="B89" s="113" t="inlineStr">
        <is>
          <t>calling</t>
        </is>
      </c>
      <c r="C89" s="116" t="n"/>
      <c r="D89" s="114" t="n"/>
      <c r="E89" s="115" t="n"/>
      <c r="F89" s="115" t="n"/>
      <c r="G89" s="114" t="n"/>
      <c r="H89" s="114" t="n"/>
      <c r="I89" s="116" t="n"/>
      <c r="J89" s="113" t="n"/>
      <c r="K89" s="115" t="n"/>
      <c r="L89" s="114" t="n"/>
      <c r="M89" s="115" t="n"/>
      <c r="N89" s="114" t="n"/>
      <c r="O89" s="115" t="n"/>
      <c r="P89" s="115" t="n"/>
      <c r="Q89" s="115" t="n"/>
      <c r="R89" s="115" t="n"/>
      <c r="S89" s="114" t="n"/>
      <c r="T89" s="115" t="n"/>
      <c r="U89" s="114" t="n"/>
      <c r="V89" s="114" t="n"/>
      <c r="W89" s="115" t="n"/>
      <c r="X89" s="115" t="n"/>
    </row>
    <row r="90" ht="17" customHeight="1">
      <c r="A90" s="113" t="inlineStr">
        <is>
          <t>select_one notanswered</t>
        </is>
      </c>
      <c r="B90" s="113" t="inlineStr">
        <is>
          <t>phone_call_notanswered</t>
        </is>
      </c>
      <c r="C90" s="116" t="inlineStr">
        <is>
          <t>Why were you not able to reach this household?</t>
        </is>
      </c>
      <c r="D90" s="114" t="n"/>
      <c r="E90" s="115" t="n"/>
      <c r="F90" s="115" t="n"/>
      <c r="G90" s="114" t="n"/>
      <c r="H90" s="114" t="n"/>
      <c r="I90" s="116" t="inlineStr">
        <is>
          <t>selected(${phone_call_response}, '3')</t>
        </is>
      </c>
      <c r="J90" s="113" t="n"/>
      <c r="K90" s="113" t="inlineStr">
        <is>
          <t>yes</t>
        </is>
      </c>
      <c r="L90" s="114" t="n"/>
      <c r="M90" s="115" t="n"/>
      <c r="N90" s="114" t="n"/>
      <c r="O90" s="115" t="n"/>
      <c r="P90" s="115" t="n"/>
      <c r="Q90" s="115" t="n"/>
      <c r="R90" s="115" t="n"/>
      <c r="S90" s="114" t="n"/>
      <c r="T90" s="115" t="n"/>
      <c r="U90" s="114" t="n"/>
      <c r="V90" s="114" t="n"/>
      <c r="W90" s="115" t="n"/>
      <c r="X90" s="115" t="n"/>
    </row>
    <row r="91" ht="34" customHeight="1">
      <c r="A91" s="113" t="inlineStr">
        <is>
          <t>text</t>
        </is>
      </c>
      <c r="B91" s="113" t="inlineStr">
        <is>
          <t>phone_call_notanswered_other</t>
        </is>
      </c>
      <c r="C91" s="116" t="inlineStr">
        <is>
          <t>What is the other reason for why you were not able to reach this household?</t>
        </is>
      </c>
      <c r="D91" s="114" t="n"/>
      <c r="E91" s="115" t="n"/>
      <c r="F91" s="115" t="n"/>
      <c r="G91" s="116" t="inlineStr">
        <is>
          <t>string-length(.) &gt; 2</t>
        </is>
      </c>
      <c r="H91" s="116" t="inlineStr">
        <is>
          <t>Your answer is too short.</t>
        </is>
      </c>
      <c r="I91" s="116" t="inlineStr">
        <is>
          <t>selected(${phone_call_notanswered}, '95')</t>
        </is>
      </c>
      <c r="J91" s="113" t="n"/>
      <c r="K91" s="113" t="inlineStr">
        <is>
          <t>yes</t>
        </is>
      </c>
      <c r="L91" s="114" t="n"/>
      <c r="M91" s="115" t="n"/>
      <c r="N91" s="114" t="n"/>
      <c r="O91" s="115" t="n"/>
      <c r="P91" s="115" t="n"/>
      <c r="Q91" s="115" t="n"/>
      <c r="R91" s="115" t="n"/>
      <c r="S91" s="114" t="n"/>
      <c r="T91" s="115" t="n"/>
      <c r="U91" s="114" t="n"/>
      <c r="V91" s="114" t="n"/>
      <c r="W91" s="115" t="n"/>
      <c r="X91" s="115" t="n"/>
    </row>
    <row r="92" ht="102" customHeight="1">
      <c r="A92" s="113" t="inlineStr">
        <is>
          <t>note</t>
        </is>
      </c>
      <c r="B92" s="113" t="inlineStr">
        <is>
          <t>note_wrong_no</t>
        </is>
      </c>
      <c r="C92" s="116" t="inlineStr">
        <is>
          <t xml:space="preserve">
&lt;p&gt;&lt;span style="color: #ff0000;"&gt;&lt;strong&gt;WARNING!&lt;/strong&gt;&lt;/span&gt;&lt;br /&gt; &lt;br /&gt;&lt;span style="color: #ff0000;"&gt;&lt;/p&gt;
&lt;p&gt;&lt;span style="color: #ff0000;"&gt;Please confirm before submitting as "Wrong number". This is the only available contact information for this household.&lt;/span&gt;&lt;br /&gt; &lt;br /&gt;&lt;span style="color: #ff0000;"&gt;&lt;/p&gt;</t>
        </is>
      </c>
      <c r="D92" s="114" t="n"/>
      <c r="E92" s="115" t="n"/>
      <c r="F92" s="115" t="n"/>
      <c r="G92" s="114" t="n"/>
      <c r="H92" s="114" t="n"/>
      <c r="I92" s="116" t="inlineStr">
        <is>
          <t>${phone_call_response} = 4 and ${contacts} = 1</t>
        </is>
      </c>
      <c r="J92" s="113" t="n"/>
      <c r="K92" s="115" t="n"/>
      <c r="L92" s="114" t="n"/>
      <c r="M92" s="115" t="n"/>
      <c r="N92" s="114" t="n"/>
      <c r="O92" s="115" t="n"/>
      <c r="P92" s="115" t="n"/>
      <c r="Q92" s="115" t="n"/>
      <c r="R92" s="115" t="n"/>
      <c r="S92" s="114" t="n"/>
      <c r="T92" s="115" t="n"/>
      <c r="U92" s="114" t="n"/>
      <c r="V92" s="114" t="n"/>
      <c r="W92" s="115" t="n"/>
      <c r="X92" s="115" t="n"/>
    </row>
    <row r="93" ht="17" customHeight="1">
      <c r="A93" s="113" t="inlineStr">
        <is>
          <t>calculate</t>
        </is>
      </c>
      <c r="B93" s="113" t="inlineStr">
        <is>
          <t>wrong_no</t>
        </is>
      </c>
      <c r="C93" s="116" t="inlineStr">
        <is>
          <t>1 if wrong number and no other contact information is available</t>
        </is>
      </c>
      <c r="D93" s="114" t="n"/>
      <c r="E93" s="115" t="n"/>
      <c r="F93" s="115" t="n"/>
      <c r="G93" s="114" t="n"/>
      <c r="H93" s="114" t="n"/>
      <c r="I93" s="116" t="n"/>
      <c r="J93" s="113" t="n"/>
      <c r="K93" s="115" t="n"/>
      <c r="L93" s="114" t="n"/>
      <c r="M93" s="115" t="n"/>
      <c r="N93" s="116" t="inlineStr">
        <is>
          <t>if(${phone_call_response} = 4 and ${contacts} = 1, '1', '')</t>
        </is>
      </c>
      <c r="O93" s="115" t="n"/>
      <c r="P93" s="115" t="n"/>
      <c r="Q93" s="115" t="n"/>
      <c r="R93" s="115" t="n"/>
      <c r="S93" s="114" t="n"/>
      <c r="T93" s="115" t="n"/>
      <c r="U93" s="114" t="n"/>
      <c r="V93" s="114" t="n"/>
      <c r="W93" s="115" t="n"/>
      <c r="X93" s="115" t="n"/>
    </row>
    <row r="94">
      <c r="A94" s="113" t="inlineStr">
        <is>
          <t>end group</t>
        </is>
      </c>
      <c r="B94" s="113" t="inlineStr">
        <is>
          <t>phonecall</t>
        </is>
      </c>
      <c r="C94" s="116" t="n"/>
      <c r="D94" s="114" t="n"/>
      <c r="E94" s="115" t="n"/>
      <c r="F94" s="115" t="n"/>
      <c r="G94" s="114" t="n"/>
      <c r="H94" s="114" t="n"/>
      <c r="I94" s="116" t="n"/>
      <c r="J94" s="113" t="n"/>
      <c r="K94" s="115" t="n"/>
      <c r="L94" s="114" t="n"/>
      <c r="M94" s="115" t="n"/>
      <c r="N94" s="114" t="n"/>
      <c r="O94" s="115" t="n"/>
      <c r="P94" s="115" t="n"/>
      <c r="Q94" s="115" t="n"/>
      <c r="R94" s="115" t="n"/>
      <c r="S94" s="114" t="n"/>
      <c r="T94" s="115" t="n"/>
      <c r="U94" s="114" t="n"/>
      <c r="V94" s="114" t="n"/>
      <c r="W94" s="115" t="n"/>
      <c r="X94" s="115" t="n"/>
    </row>
    <row r="95">
      <c r="A95" s="115" t="n"/>
      <c r="B95" s="115" t="n"/>
      <c r="C95" s="116" t="n"/>
      <c r="D95" s="114" t="n"/>
      <c r="E95" s="115" t="n"/>
      <c r="F95" s="115" t="n"/>
      <c r="G95" s="114" t="n"/>
      <c r="H95" s="114" t="n"/>
      <c r="I95" s="116" t="n"/>
      <c r="J95" s="113" t="n"/>
      <c r="K95" s="115" t="n"/>
      <c r="L95" s="114" t="n"/>
      <c r="M95" s="115" t="n"/>
      <c r="N95" s="114" t="n"/>
      <c r="O95" s="115" t="n"/>
      <c r="P95" s="115" t="n"/>
      <c r="Q95" s="115" t="n"/>
      <c r="R95" s="115" t="n"/>
      <c r="S95" s="114" t="n"/>
      <c r="T95" s="115" t="n"/>
      <c r="U95" s="114" t="n"/>
      <c r="V95" s="114" t="n"/>
      <c r="W95" s="115" t="n"/>
      <c r="X95" s="115" t="n"/>
    </row>
    <row r="96" ht="17" customHeight="1">
      <c r="A96" s="113" t="inlineStr">
        <is>
          <t>calculate_here</t>
        </is>
      </c>
      <c r="B96" s="113" t="inlineStr">
        <is>
          <t>survey_start_ts</t>
        </is>
      </c>
      <c r="C96" s="116" t="inlineStr">
        <is>
          <t>Calculates actual start time of survey (after phone is dialled)</t>
        </is>
      </c>
      <c r="D96" s="114" t="n"/>
      <c r="E96" s="115" t="n"/>
      <c r="F96" s="115" t="n"/>
      <c r="G96" s="114" t="n"/>
      <c r="H96" s="114" t="n"/>
      <c r="I96" s="116" t="n"/>
      <c r="J96" s="113" t="n"/>
      <c r="K96" s="115" t="n"/>
      <c r="L96" s="114" t="n"/>
      <c r="M96" s="115" t="n"/>
      <c r="N96" s="116" t="inlineStr">
        <is>
          <t>once(duration())</t>
        </is>
      </c>
      <c r="O96" s="115" t="n"/>
      <c r="P96" s="115" t="n"/>
      <c r="Q96" s="115" t="n"/>
      <c r="R96" s="115" t="n"/>
      <c r="S96" s="114" t="n"/>
      <c r="T96" s="115" t="n"/>
      <c r="U96" s="114" t="n"/>
      <c r="V96" s="114" t="n"/>
      <c r="W96" s="115" t="n"/>
      <c r="X96" s="115" t="n"/>
    </row>
    <row r="97">
      <c r="A97" s="115" t="n"/>
      <c r="B97" s="115" t="n"/>
      <c r="C97" s="116" t="n"/>
      <c r="D97" s="114" t="n"/>
      <c r="E97" s="115" t="n"/>
      <c r="F97" s="115" t="n"/>
      <c r="G97" s="114" t="n"/>
      <c r="H97" s="114" t="n"/>
      <c r="I97" s="116" t="n"/>
      <c r="J97" s="113" t="n"/>
      <c r="K97" s="115" t="n"/>
      <c r="L97" s="114" t="n"/>
      <c r="M97" s="115" t="n"/>
      <c r="N97" s="114" t="n"/>
      <c r="O97" s="115" t="n"/>
      <c r="P97" s="115" t="n"/>
      <c r="Q97" s="115" t="n"/>
      <c r="R97" s="115" t="n"/>
      <c r="S97" s="114" t="n"/>
      <c r="T97" s="115" t="n"/>
      <c r="U97" s="114" t="n"/>
      <c r="V97" s="114" t="n"/>
      <c r="W97" s="115" t="n"/>
      <c r="X97" s="115" t="n"/>
    </row>
    <row r="98" ht="17" customHeight="1">
      <c r="A98" s="113" t="inlineStr">
        <is>
          <t>begin group</t>
        </is>
      </c>
      <c r="B98" s="113" t="inlineStr">
        <is>
          <t>not_caregiver</t>
        </is>
      </c>
      <c r="C98" s="116" t="inlineStr">
        <is>
          <t>Call answered by someone else, ask if caregiver is available</t>
        </is>
      </c>
      <c r="D98" s="114" t="n"/>
      <c r="E98" s="115" t="n"/>
      <c r="F98" s="115" t="n"/>
      <c r="G98" s="114" t="n"/>
      <c r="H98" s="114" t="n"/>
      <c r="I98" s="116" t="inlineStr">
        <is>
          <t>selected(${phone_call_response}, '2')</t>
        </is>
      </c>
      <c r="J98" s="113" t="n"/>
      <c r="K98" s="115" t="n"/>
      <c r="L98" s="114" t="n"/>
      <c r="M98" s="115" t="n"/>
      <c r="N98" s="114" t="n"/>
      <c r="O98" s="115" t="n"/>
      <c r="P98" s="115" t="n"/>
      <c r="Q98" s="115" t="n"/>
      <c r="R98" s="115" t="n"/>
      <c r="S98" s="114" t="n"/>
      <c r="T98" s="115" t="n"/>
      <c r="U98" s="114" t="n"/>
      <c r="V98" s="114" t="n"/>
      <c r="W98" s="115" t="n"/>
      <c r="X98" s="115" t="n"/>
    </row>
    <row r="99" ht="136" customHeight="1">
      <c r="A99" s="113" t="inlineStr">
        <is>
          <t>select_one yesno</t>
        </is>
      </c>
      <c r="B99" s="113" t="inlineStr">
        <is>
          <t>caregiver_nearby</t>
        </is>
      </c>
      <c r="C99" s="116" t="inlineStr">
        <is>
          <t>Hi! I am calling regarding mEducation, a phone-based education program where we provide simple and targeted math instruction and support to students like &lt;font color="#14b14b"&gt;&lt;b&gt;&lt;u&gt;${stud_name}&lt;/u&gt;&lt;/b&gt;&lt;/font&gt;.
&lt;br&gt;&lt;br&gt;
Is &lt;font color="#14b14b"&gt;&lt;b&gt;&lt;u&gt;${care_name}&lt;/u&gt;&lt;/b&gt; available? May I speak to her/him for a few minutes?</t>
        </is>
      </c>
      <c r="D99" s="114" t="n"/>
      <c r="E99" s="115" t="n"/>
      <c r="F99" s="115" t="n"/>
      <c r="G99" s="114" t="n"/>
      <c r="H99" s="114" t="n"/>
      <c r="I99" s="116" t="n"/>
      <c r="J99" s="113" t="n"/>
      <c r="K99" s="113" t="inlineStr">
        <is>
          <t>yes</t>
        </is>
      </c>
      <c r="L99" s="114" t="n"/>
      <c r="M99" s="115" t="n"/>
      <c r="N99" s="114" t="n"/>
      <c r="O99" s="115" t="n"/>
      <c r="P99" s="115" t="n"/>
      <c r="Q99" s="115" t="n"/>
      <c r="R99" s="115" t="n"/>
      <c r="S99" s="114" t="n"/>
      <c r="T99" s="115" t="n"/>
      <c r="U99" s="114" t="n"/>
      <c r="V99" s="114" t="n"/>
      <c r="W99" s="115" t="n"/>
      <c r="X99" s="115" t="n"/>
    </row>
    <row r="100" ht="170" customHeight="1">
      <c r="A100" s="113" t="inlineStr">
        <is>
          <t>select_one yesno</t>
        </is>
      </c>
      <c r="B100" s="113" t="inlineStr">
        <is>
          <t>temp_caregiver_nearby</t>
        </is>
      </c>
      <c r="C100" s="116" t="inlineStr">
        <is>
          <t>&lt;p&gt;&lt;span style="color: #3366ff;"&gt;&lt;strong&gt;INSTRUCTIONS:&lt;/strong&gt;&lt;/span&gt;&lt;/p&gt;
&lt;br&gt; &lt;br&gt;
&lt;p&gt;&lt;span style="color: #3366ff;"&gt;Click "Yes" to confirm whether the primary caregiver is on the phone, so you can move on to the actual form questions.&lt;/span&gt;&lt;/p&gt;
&lt;br&gt; &lt;br&gt;
&lt;p&gt;&lt;span style="color: #3366ff;"&gt;Otherwise, choose "No" and re-schedule the call.&lt;/span&gt;&lt;/p&gt;</t>
        </is>
      </c>
      <c r="D100" s="114" t="n"/>
      <c r="E100" s="115" t="n"/>
      <c r="F100" s="115" t="n"/>
      <c r="G100" s="114" t="n"/>
      <c r="H100" s="114" t="n"/>
      <c r="I100" s="116" t="inlineStr">
        <is>
          <t>selected(${caregiver_nearby}, '1')</t>
        </is>
      </c>
      <c r="J100" s="113" t="n"/>
      <c r="K100" s="113" t="inlineStr">
        <is>
          <t>yes</t>
        </is>
      </c>
      <c r="L100" s="114" t="n"/>
      <c r="M100" s="115" t="n"/>
      <c r="N100" s="114" t="n"/>
      <c r="O100" s="115" t="n"/>
      <c r="P100" s="115" t="n"/>
      <c r="Q100" s="115" t="n"/>
      <c r="R100" s="115" t="n"/>
      <c r="S100" s="114" t="n"/>
      <c r="T100" s="115" t="n"/>
      <c r="U100" s="114" t="n"/>
      <c r="V100" s="114" t="n"/>
      <c r="W100" s="115" t="n"/>
      <c r="X100" s="115" t="n"/>
    </row>
    <row r="101">
      <c r="A101" s="113" t="inlineStr">
        <is>
          <t>end group</t>
        </is>
      </c>
      <c r="B101" s="113" t="inlineStr">
        <is>
          <t>not_caregiver</t>
        </is>
      </c>
      <c r="C101" s="116" t="n"/>
      <c r="D101" s="114" t="n"/>
      <c r="E101" s="115" t="n"/>
      <c r="F101" s="115" t="n"/>
      <c r="G101" s="114" t="n"/>
      <c r="H101" s="114" t="n"/>
      <c r="I101" s="116" t="n"/>
      <c r="J101" s="113" t="n"/>
      <c r="K101" s="115" t="n"/>
      <c r="L101" s="114" t="n"/>
      <c r="M101" s="115" t="n"/>
      <c r="N101" s="114" t="n"/>
      <c r="O101" s="115" t="n"/>
      <c r="P101" s="115" t="n"/>
      <c r="Q101" s="115" t="n"/>
      <c r="R101" s="115" t="n"/>
      <c r="S101" s="114" t="n"/>
      <c r="T101" s="115" t="n"/>
      <c r="U101" s="114" t="n"/>
      <c r="V101" s="114" t="n"/>
      <c r="W101" s="115" t="n"/>
      <c r="X101" s="115" t="n"/>
    </row>
    <row r="102">
      <c r="A102" s="115" t="n"/>
      <c r="B102" s="115" t="n"/>
      <c r="C102" s="116" t="n"/>
      <c r="D102" s="114" t="n"/>
      <c r="E102" s="115" t="n"/>
      <c r="F102" s="115" t="n"/>
      <c r="G102" s="114" t="n"/>
      <c r="H102" s="114" t="n"/>
      <c r="I102" s="116" t="n"/>
      <c r="J102" s="113" t="n"/>
      <c r="K102" s="115" t="n"/>
      <c r="L102" s="114" t="n"/>
      <c r="M102" s="115" t="n"/>
      <c r="N102" s="114" t="n"/>
      <c r="O102" s="115" t="n"/>
      <c r="P102" s="115" t="n"/>
      <c r="Q102" s="115" t="n"/>
      <c r="R102" s="115" t="n"/>
      <c r="S102" s="114" t="n"/>
      <c r="T102" s="115" t="n"/>
      <c r="U102" s="114" t="n"/>
      <c r="V102" s="114" t="n"/>
      <c r="W102" s="115" t="n"/>
      <c r="X102" s="115" t="n"/>
    </row>
    <row r="103" ht="34" customHeight="1">
      <c r="A103" s="113" t="inlineStr">
        <is>
          <t>begin group</t>
        </is>
      </c>
      <c r="B103" s="113" t="inlineStr">
        <is>
          <t>caregiver</t>
        </is>
      </c>
      <c r="C103" s="116" t="inlineStr">
        <is>
          <t>Call answered by main caregiver, introduce the program</t>
        </is>
      </c>
      <c r="D103" s="114" t="n"/>
      <c r="E103" s="115" t="n"/>
      <c r="F103" s="115" t="n"/>
      <c r="G103" s="114" t="n"/>
      <c r="H103" s="114" t="n"/>
      <c r="I103" s="116" t="inlineStr">
        <is>
          <t>(selected(${phone_call_response}, '1') or selected(${temp_caregiver_nearby}, '1')) and not(selected(${caregiver_interviewed_prev}, '1'))</t>
        </is>
      </c>
      <c r="J103" s="113" t="n"/>
      <c r="K103" s="115" t="n"/>
      <c r="L103" s="114" t="n"/>
      <c r="M103" s="115" t="n"/>
      <c r="N103" s="114" t="n"/>
      <c r="O103" s="115" t="n"/>
      <c r="P103" s="115" t="n"/>
      <c r="Q103" s="115" t="n"/>
      <c r="R103" s="115" t="n"/>
      <c r="S103" s="114" t="n"/>
      <c r="T103" s="115" t="n"/>
      <c r="U103" s="114" t="n"/>
      <c r="V103" s="114" t="n"/>
      <c r="W103" s="115" t="n"/>
      <c r="X103" s="115" t="n"/>
    </row>
    <row r="104" ht="119" customHeight="1">
      <c r="A104" s="113" t="inlineStr">
        <is>
          <t>select_one consent</t>
        </is>
      </c>
      <c r="B104" s="113" t="inlineStr">
        <is>
          <t>caregiver_avail</t>
        </is>
      </c>
      <c r="C104" s="116" t="inlineStr">
        <is>
          <t>Hi, &lt;font color="#14b14b"&gt;&lt;b&gt;&lt;u&gt;${care_name}&lt;/u&gt;&lt;/b&gt;&lt;/font&gt;! I am calling regarding mEducation, a phone-based education program where we provide simple and targeted math instruction and support to students like &lt;font color="#14b14b"&gt;&lt;b&gt;&lt;u&gt;${stud_name}&lt;/u&gt;&lt;/b&gt;&lt;/font&gt;.
&lt;br&gt;&lt;br&gt;
Do you have some more time to answer a few simple questions? It shouldn't take long.</t>
        </is>
      </c>
      <c r="D104" s="114" t="n"/>
      <c r="E104" s="115" t="n"/>
      <c r="F104" s="115" t="n"/>
      <c r="G104" s="114" t="n"/>
      <c r="H104" s="114" t="n"/>
      <c r="I104" s="116" t="n"/>
      <c r="J104" s="113" t="n"/>
      <c r="K104" s="113" t="inlineStr">
        <is>
          <t>yes</t>
        </is>
      </c>
      <c r="L104" s="114" t="n"/>
      <c r="M104" s="115" t="n"/>
      <c r="N104" s="114" t="n"/>
      <c r="O104" s="115" t="n"/>
      <c r="P104" s="115" t="n"/>
      <c r="Q104" s="115" t="n"/>
      <c r="R104" s="115" t="n"/>
      <c r="S104" s="114" t="n"/>
      <c r="T104" s="115" t="n"/>
      <c r="U104" s="114" t="n"/>
      <c r="V104" s="114" t="n"/>
      <c r="W104" s="115" t="n"/>
      <c r="X104" s="115" t="n"/>
    </row>
    <row r="105" ht="102" customHeight="1">
      <c r="A105" s="113" t="inlineStr">
        <is>
          <t>select_one noconsent</t>
        </is>
      </c>
      <c r="B105" s="113" t="inlineStr">
        <is>
          <t>consent_no_e</t>
        </is>
      </c>
      <c r="C105" s="116" t="inlineStr">
        <is>
          <t xml:space="preserve">&lt;p&gt;&lt;span style="color: #3366ff;"&gt;&lt;strong&gt;DO NOT READ OUT OR ASK THIS QUESTION:&lt;/strong&gt;&lt;/span&gt;&lt;/p&gt;
&lt;br&gt; &lt;br&gt;
Please record the reason for not giving consent, if the caregiver mentioned a reason. &lt;br&gt;&lt;br&gt;
Please do not push the caregiver to provide a reason. </t>
        </is>
      </c>
      <c r="D105" s="114" t="n"/>
      <c r="E105" s="115" t="n"/>
      <c r="F105" s="115" t="n"/>
      <c r="G105" s="119" t="n"/>
      <c r="H105" s="119" t="n"/>
      <c r="I105" s="116" t="inlineStr">
        <is>
          <t>selected(${caregiver_avail}, '-99')</t>
        </is>
      </c>
      <c r="J105" s="113" t="n"/>
      <c r="K105" s="113" t="inlineStr">
        <is>
          <t>yes</t>
        </is>
      </c>
      <c r="L105" s="114" t="n"/>
      <c r="M105" s="115" t="n"/>
      <c r="N105" s="114" t="n"/>
      <c r="O105" s="115" t="n"/>
      <c r="P105" s="115" t="n"/>
      <c r="Q105" s="115" t="n"/>
      <c r="R105" s="115" t="n"/>
      <c r="S105" s="114" t="n"/>
      <c r="T105" s="115" t="n"/>
      <c r="U105" s="114" t="n"/>
      <c r="V105" s="114" t="n"/>
      <c r="W105" s="115" t="n"/>
      <c r="X105" s="115" t="n"/>
    </row>
    <row r="106" ht="34" customHeight="1">
      <c r="A106" s="113" t="inlineStr">
        <is>
          <t>text</t>
        </is>
      </c>
      <c r="B106" s="113" t="inlineStr">
        <is>
          <t>consent_no_e_other</t>
        </is>
      </c>
      <c r="C106" s="116" t="inlineStr">
        <is>
          <t>What other reason did the caregiver cite for not giving consent?</t>
        </is>
      </c>
      <c r="D106" s="114" t="n"/>
      <c r="E106" s="115" t="n"/>
      <c r="F106" s="115" t="n"/>
      <c r="G106" s="119" t="inlineStr">
        <is>
          <t>string-length(.) &gt; 2</t>
        </is>
      </c>
      <c r="H106" s="119" t="inlineStr">
        <is>
          <t>Your answer is too short.</t>
        </is>
      </c>
      <c r="I106" s="116" t="inlineStr">
        <is>
          <t>selected(${consent_no_e}, '6')</t>
        </is>
      </c>
      <c r="J106" s="113" t="n"/>
      <c r="K106" s="113" t="inlineStr">
        <is>
          <t>yes</t>
        </is>
      </c>
      <c r="L106" s="114" t="n"/>
      <c r="M106" s="115" t="n"/>
      <c r="N106" s="114" t="n"/>
      <c r="O106" s="115" t="n"/>
      <c r="P106" s="115" t="n"/>
      <c r="Q106" s="115" t="n"/>
      <c r="R106" s="115" t="n"/>
      <c r="S106" s="114" t="n"/>
      <c r="T106" s="115" t="n"/>
      <c r="U106" s="114" t="n"/>
      <c r="V106" s="114" t="n"/>
      <c r="W106" s="115" t="n"/>
      <c r="X106" s="115" t="n"/>
    </row>
    <row r="107" ht="17" customHeight="1">
      <c r="A107" s="113" t="inlineStr">
        <is>
          <t>calculate</t>
        </is>
      </c>
      <c r="B107" s="113" t="inlineStr">
        <is>
          <t>consent_e</t>
        </is>
      </c>
      <c r="C107" s="116" t="inlineStr">
        <is>
          <t>Returns 0 if caregiver withdrew consent</t>
        </is>
      </c>
      <c r="D107" s="114" t="n"/>
      <c r="E107" s="115" t="n"/>
      <c r="F107" s="115" t="n"/>
      <c r="G107" s="114" t="n"/>
      <c r="H107" s="114" t="n"/>
      <c r="I107" s="116" t="n"/>
      <c r="J107" s="113" t="n"/>
      <c r="K107" s="115" t="n"/>
      <c r="L107" s="114" t="n"/>
      <c r="M107" s="115" t="n"/>
      <c r="N107" s="116" t="inlineStr">
        <is>
          <t>if(${caregiver_avail} = -99, '0', '1')</t>
        </is>
      </c>
      <c r="O107" s="115" t="n"/>
      <c r="P107" s="115" t="n"/>
      <c r="Q107" s="115" t="n"/>
      <c r="R107" s="115" t="n"/>
      <c r="S107" s="114" t="n"/>
      <c r="T107" s="115" t="n"/>
      <c r="U107" s="114" t="n"/>
      <c r="V107" s="114" t="n"/>
      <c r="W107" s="115" t="n"/>
      <c r="X107" s="115" t="n"/>
    </row>
    <row r="108" ht="17" customHeight="1">
      <c r="A108" s="113" t="inlineStr">
        <is>
          <t>note</t>
        </is>
      </c>
      <c r="B108" s="113" t="inlineStr">
        <is>
          <t>note_end_refused</t>
        </is>
      </c>
      <c r="C108" s="116" t="inlineStr">
        <is>
          <t>Okay, thank you for your time! Have a wonderful day!</t>
        </is>
      </c>
      <c r="D108" s="114" t="n"/>
      <c r="E108" s="115" t="n"/>
      <c r="F108" s="115" t="n"/>
      <c r="G108" s="114" t="n"/>
      <c r="H108" s="114" t="n"/>
      <c r="I108" s="116" t="inlineStr">
        <is>
          <t>selected(${caregiver_avail}, '-99')</t>
        </is>
      </c>
      <c r="J108" s="113" t="n"/>
      <c r="K108" s="115" t="n"/>
      <c r="L108" s="114" t="n"/>
      <c r="M108" s="115" t="n"/>
      <c r="N108" s="114" t="n"/>
      <c r="O108" s="115" t="n"/>
      <c r="P108" s="115" t="n"/>
      <c r="Q108" s="115" t="n"/>
      <c r="R108" s="115" t="n"/>
      <c r="S108" s="114" t="n"/>
      <c r="T108" s="115" t="n"/>
      <c r="U108" s="114" t="n"/>
      <c r="V108" s="114" t="n"/>
      <c r="W108" s="115" t="n"/>
      <c r="X108" s="115" t="n"/>
    </row>
    <row r="109" ht="17" customHeight="1">
      <c r="A109" s="113" t="inlineStr">
        <is>
          <t>begin group</t>
        </is>
      </c>
      <c r="B109" s="113" t="inlineStr">
        <is>
          <t>caregiver_qs</t>
        </is>
      </c>
      <c r="C109" s="116" t="n"/>
      <c r="D109" s="114" t="n"/>
      <c r="E109" s="115" t="n"/>
      <c r="F109" s="115" t="n"/>
      <c r="G109" s="114" t="n"/>
      <c r="H109" s="114" t="n"/>
      <c r="I109" s="116" t="inlineStr">
        <is>
          <t>selected(${caregiver_avail}, '1')</t>
        </is>
      </c>
      <c r="J109" s="113" t="n"/>
      <c r="K109" s="115" t="n"/>
      <c r="L109" s="114" t="n"/>
      <c r="M109" s="115" t="n"/>
      <c r="N109" s="114" t="n"/>
      <c r="O109" s="115" t="n"/>
      <c r="P109" s="115" t="n"/>
      <c r="Q109" s="115" t="n"/>
      <c r="R109" s="115" t="n"/>
      <c r="S109" s="114" t="n"/>
      <c r="T109" s="115" t="n"/>
      <c r="U109" s="114" t="n"/>
      <c r="V109" s="114" t="n"/>
      <c r="W109" s="115" t="n"/>
      <c r="X109" s="115" t="n"/>
    </row>
    <row r="110" ht="119" customHeight="1">
      <c r="A110" s="113" t="inlineStr">
        <is>
          <t>select_one yesno</t>
        </is>
      </c>
      <c r="B110" s="113" t="inlineStr">
        <is>
          <t>confirm_care_e</t>
        </is>
      </c>
      <c r="C110" s="116" t="inlineStr">
        <is>
          <t>&lt;p&gt;&lt;span style="color: #3366ff;"&gt;&lt;strong&gt;INSTRUCTIONS: DO NOT READ OUT LOUD.&lt;/strong&gt;&lt;/span&gt;&lt;/p&gt;
&lt;br&gt; &lt;br&gt;
&lt;p&gt;&lt;span style="color: #3366ff;"&gt;Is &lt;u&gt;${care_name}&lt;/u&gt; the main person who helped the child during the tutoring calls?&lt;/span&gt;&lt;/p&gt;</t>
        </is>
      </c>
      <c r="D110" s="114" t="n"/>
      <c r="E110" s="115" t="n"/>
      <c r="F110" s="115" t="n"/>
      <c r="G110" s="114" t="n"/>
      <c r="H110" s="114" t="n"/>
      <c r="I110" s="116" t="n"/>
      <c r="J110" s="113" t="n"/>
      <c r="K110" s="113" t="inlineStr">
        <is>
          <t>yes</t>
        </is>
      </c>
      <c r="L110" s="114" t="n"/>
      <c r="M110" s="115" t="n"/>
      <c r="N110" s="114" t="n"/>
      <c r="O110" s="115" t="n"/>
      <c r="P110" s="115" t="n"/>
      <c r="Q110" s="115" t="n"/>
      <c r="R110" s="115" t="n"/>
      <c r="S110" s="114" t="n"/>
      <c r="T110" s="115" t="n"/>
      <c r="U110" s="114" t="n"/>
      <c r="V110" s="114" t="n"/>
      <c r="W110" s="115" t="n"/>
      <c r="X110" s="115" t="n"/>
    </row>
    <row r="111" ht="34" customHeight="1">
      <c r="A111" s="113" t="inlineStr">
        <is>
          <t>select_one yesno</t>
        </is>
      </c>
      <c r="B111" s="113" t="inlineStr">
        <is>
          <t>maths_sms_yn</t>
        </is>
      </c>
      <c r="C111" s="116" t="inlineStr">
        <is>
          <t>Were SMS messages that had math problems sent to you and &lt;font color="#14b14b"&gt;&lt;b&gt;${stud_name}&lt;/b&gt;&lt;/font&gt; as part of this phone-tutoring program&lt;/u&gt;&lt;/b&gt;&lt;/font&gt;?</t>
        </is>
      </c>
      <c r="D111" s="114" t="n"/>
      <c r="E111" s="115" t="n"/>
      <c r="F111" s="115" t="n"/>
      <c r="G111" s="114" t="n"/>
      <c r="H111" s="114" t="n"/>
      <c r="I111" s="116" t="n"/>
      <c r="J111" s="113" t="n"/>
      <c r="K111" s="113" t="inlineStr">
        <is>
          <t>yes</t>
        </is>
      </c>
      <c r="L111" s="114" t="n"/>
      <c r="M111" s="115" t="n"/>
      <c r="N111" s="114" t="n"/>
      <c r="O111" s="115" t="n"/>
      <c r="P111" s="115" t="n"/>
      <c r="Q111" s="115" t="n"/>
      <c r="R111" s="115" t="n"/>
      <c r="S111" s="114" t="n"/>
      <c r="T111" s="115" t="n"/>
      <c r="U111" s="114" t="n"/>
      <c r="V111" s="114" t="n"/>
      <c r="W111" s="115" t="n"/>
      <c r="X111" s="115" t="n"/>
    </row>
    <row r="112" ht="51" customHeight="1">
      <c r="A112" s="113" t="inlineStr">
        <is>
          <t>select_one call_count</t>
        </is>
      </c>
      <c r="B112" s="113" t="inlineStr">
        <is>
          <t>n_calls</t>
        </is>
      </c>
      <c r="C112" s="116" t="inlineStr">
        <is>
          <t xml:space="preserve">How many phone calls for math instruction did &lt;font color="#14b14b"&gt;&lt;b&gt;${stud_name}&lt;/b&gt;&lt;/font&gt; receive &lt;font color="#14b14b"&gt;&lt;b&gt;&lt;u&gt;as part of this phone-tutoring program&lt;/u&gt;&lt;/b&gt;&lt;/font&gt;?
</t>
        </is>
      </c>
      <c r="D112" s="114" t="n"/>
      <c r="E112" s="115" t="n"/>
      <c r="F112" s="115" t="n"/>
      <c r="G112" s="114" t="n"/>
      <c r="H112" s="114" t="n"/>
      <c r="I112" s="116" t="n"/>
      <c r="J112" s="113" t="n"/>
      <c r="K112" s="113" t="inlineStr">
        <is>
          <t>yes</t>
        </is>
      </c>
      <c r="L112" s="114" t="n"/>
      <c r="M112" s="115" t="n"/>
      <c r="N112" s="114" t="n"/>
      <c r="O112" s="115" t="n"/>
      <c r="P112" s="115" t="n"/>
      <c r="Q112" s="115" t="n"/>
      <c r="R112" s="115" t="n"/>
      <c r="S112" s="114" t="n"/>
      <c r="T112" s="115" t="n"/>
      <c r="U112" s="114" t="n"/>
      <c r="V112" s="114" t="n"/>
      <c r="W112" s="115" t="n"/>
      <c r="X112" s="115" t="n"/>
    </row>
    <row r="113" ht="51" customHeight="1">
      <c r="A113" s="113" t="inlineStr">
        <is>
          <t>select_one frequency</t>
        </is>
      </c>
      <c r="B113" s="113" t="inlineStr">
        <is>
          <t>sms_practice</t>
        </is>
      </c>
      <c r="C113" s="116" t="inlineStr">
        <is>
          <t xml:space="preserve"> &lt;font color="#14b14b"&gt;&lt;b&gt;&lt;u&gt;As part of this phone-tutoring program&lt;/u&gt;&lt;/b&gt;&lt;/font&gt;, how often did &lt;font color="#14b14b"&gt;&lt;b&gt;${stud_name}&lt;/b&gt;&lt;/font&gt; practice math problems that were sent to you in an SMS message?</t>
        </is>
      </c>
      <c r="D113" s="114" t="n"/>
      <c r="E113" s="115" t="n"/>
      <c r="F113" s="115" t="n"/>
      <c r="G113" s="114" t="n"/>
      <c r="H113" s="114" t="n"/>
      <c r="I113" s="116" t="n"/>
      <c r="J113" s="113" t="n"/>
      <c r="K113" s="113" t="inlineStr">
        <is>
          <t>yes</t>
        </is>
      </c>
      <c r="L113" s="114" t="n"/>
      <c r="M113" s="115" t="n"/>
      <c r="N113" s="114" t="n"/>
      <c r="O113" s="115" t="n"/>
      <c r="P113" s="115" t="n"/>
      <c r="Q113" s="115" t="n"/>
      <c r="R113" s="115" t="n"/>
      <c r="S113" s="114" t="n"/>
      <c r="T113" s="115" t="n"/>
      <c r="U113" s="114" t="n"/>
      <c r="V113" s="114" t="n"/>
      <c r="W113" s="115" t="n"/>
      <c r="X113" s="115" t="n"/>
    </row>
    <row r="114" ht="68" customHeight="1">
      <c r="A114" s="113" t="inlineStr">
        <is>
          <t>select_one freq_det</t>
        </is>
      </c>
      <c r="B114" s="113" t="inlineStr">
        <is>
          <t>care_educ_act2</t>
        </is>
      </c>
      <c r="C114" s="116" t="inlineStr">
        <is>
          <t>&lt;font color="#14b14b"&gt;&lt;b&gt;&lt;u&gt;As part of this phone-tutoring program&lt;/u&gt;&lt;/b&gt;&lt;/font&gt;, how often did you spend time doing educational activities with &lt;font color="#14b14b"&gt;&lt;b&gt;${stud_name}&lt;/b&gt;&lt;/font&gt;?</t>
        </is>
      </c>
      <c r="D114" s="116" t="inlineStr">
        <is>
          <t>Examples of educational activities: reading practicing math problems, composition, etc.</t>
        </is>
      </c>
      <c r="E114" s="115" t="n"/>
      <c r="F114" s="115" t="n"/>
      <c r="G114" s="114" t="n"/>
      <c r="H114" s="114" t="n"/>
      <c r="I114" s="116" t="n"/>
      <c r="J114" s="113" t="n"/>
      <c r="K114" s="113" t="inlineStr">
        <is>
          <t>yes</t>
        </is>
      </c>
      <c r="L114" s="114" t="n"/>
      <c r="M114" s="115" t="n"/>
      <c r="N114" s="114" t="n"/>
      <c r="O114" s="115" t="n"/>
      <c r="P114" s="115" t="n"/>
      <c r="Q114" s="115" t="n"/>
      <c r="R114" s="115" t="n"/>
      <c r="S114" s="114" t="n"/>
      <c r="T114" s="115" t="n"/>
      <c r="U114" s="114" t="n"/>
      <c r="V114" s="114" t="n"/>
      <c r="W114" s="115" t="n"/>
      <c r="X114" s="115" t="n"/>
    </row>
    <row r="115" ht="68" customHeight="1">
      <c r="A115" s="113" t="inlineStr">
        <is>
          <t>select_multiple disruptions</t>
        </is>
      </c>
      <c r="B115" s="113" t="inlineStr">
        <is>
          <t>school_disruptions_e</t>
        </is>
      </c>
      <c r="C115" s="116" t="inlineStr">
        <is>
          <t>In the &lt;b&gt;&lt;u&gt;past three months&lt;/b&gt;&lt;/u&gt;, has your child missed class or school attendance due to the following events?</t>
        </is>
      </c>
      <c r="D115" s="116" t="inlineStr">
        <is>
          <t>Select ALL that apply.</t>
        </is>
      </c>
      <c r="E115" s="115" t="n"/>
      <c r="F115" s="115" t="n"/>
      <c r="G115" s="116" t="inlineStr">
        <is>
          <t>if(selected(., 0), count-selected(.) = 1 , count-selected(.) &gt;= 1)</t>
        </is>
      </c>
      <c r="H115" s="116" t="inlineStr">
        <is>
          <t>WARNING! If selected "&lt;i&gt;No disruptions&lt;/i&gt;", can't select other reasons.</t>
        </is>
      </c>
      <c r="I115" s="116" t="n"/>
      <c r="J115" s="113" t="inlineStr">
        <is>
          <t>yes</t>
        </is>
      </c>
      <c r="K115" s="113" t="inlineStr">
        <is>
          <t>yes</t>
        </is>
      </c>
      <c r="L115" s="114" t="n"/>
      <c r="M115" s="115" t="n"/>
      <c r="N115" s="114" t="n"/>
      <c r="O115" s="115" t="n"/>
      <c r="P115" s="115" t="n"/>
      <c r="Q115" s="115" t="n"/>
      <c r="R115" s="115" t="n"/>
      <c r="S115" s="114" t="n"/>
      <c r="T115" s="115" t="n"/>
      <c r="U115" s="114" t="n"/>
      <c r="V115" s="114" t="n"/>
      <c r="W115" s="115" t="n"/>
      <c r="X115" s="115" t="n"/>
    </row>
    <row r="116" ht="51" customHeight="1">
      <c r="A116" s="113" t="inlineStr">
        <is>
          <t>select_one sometimes</t>
        </is>
      </c>
      <c r="B116" s="113" t="inlineStr">
        <is>
          <t>calls_during_disruption</t>
        </is>
      </c>
      <c r="C116" s="116" t="inlineStr">
        <is>
          <t>Did your child receive phone-tutoring calls while the school was on break or while classes were cancelled? 
&lt;br&gt;&lt;br&gt;
This includes, for example, school breaks because of a natural disaster.</t>
        </is>
      </c>
      <c r="D116" s="114" t="n"/>
      <c r="E116" s="115" t="n"/>
      <c r="F116" s="115" t="n"/>
      <c r="G116" s="114" t="n"/>
      <c r="H116" s="114" t="n"/>
      <c r="I116" s="116" t="n"/>
      <c r="J116" s="113" t="n"/>
      <c r="K116" s="115" t="n"/>
      <c r="L116" s="114" t="n"/>
      <c r="M116" s="115" t="n"/>
      <c r="N116" s="114" t="n"/>
      <c r="O116" s="115" t="n"/>
      <c r="P116" s="115" t="n"/>
      <c r="Q116" s="115" t="n"/>
      <c r="R116" s="115" t="n"/>
      <c r="S116" s="114" t="n"/>
      <c r="T116" s="115" t="n"/>
      <c r="U116" s="114" t="n"/>
      <c r="V116" s="114" t="n"/>
      <c r="W116" s="115" t="n"/>
      <c r="X116" s="115" t="n"/>
    </row>
    <row r="117" ht="17" customHeight="1">
      <c r="A117" s="113" t="inlineStr">
        <is>
          <t>select_one perc_level</t>
        </is>
      </c>
      <c r="B117" s="113" t="inlineStr">
        <is>
          <t>care_perc_level</t>
        </is>
      </c>
      <c r="C117" s="116" t="inlineStr">
        <is>
          <t>What is the highest operation you are confident that your child can easily perform?</t>
        </is>
      </c>
      <c r="D117" s="114" t="n"/>
      <c r="E117" s="115" t="n"/>
      <c r="F117" s="115" t="n"/>
      <c r="G117" s="114" t="n"/>
      <c r="H117" s="114" t="n"/>
      <c r="I117" s="116" t="n"/>
      <c r="J117" s="113" t="n"/>
      <c r="K117" s="113" t="inlineStr">
        <is>
          <t>yes</t>
        </is>
      </c>
      <c r="L117" s="114" t="n"/>
      <c r="M117" s="115" t="n"/>
      <c r="N117" s="114" t="n"/>
      <c r="O117" s="115" t="n"/>
      <c r="P117" s="115" t="n"/>
      <c r="Q117" s="115" t="n"/>
      <c r="R117" s="115" t="n"/>
      <c r="S117" s="114" t="n"/>
      <c r="T117" s="115" t="n"/>
      <c r="U117" s="114" t="n"/>
      <c r="V117" s="114" t="n"/>
      <c r="W117" s="115" t="n"/>
      <c r="X117" s="115" t="n"/>
    </row>
    <row r="118" ht="17" customHeight="1">
      <c r="A118" s="113" t="inlineStr">
        <is>
          <t>select_one phone_support</t>
        </is>
      </c>
      <c r="B118" s="113" t="inlineStr">
        <is>
          <t>future_connected_support</t>
        </is>
      </c>
      <c r="C118" s="116" t="inlineStr">
        <is>
          <t>Would you be interested in receiving phone-based education support in the future?</t>
        </is>
      </c>
      <c r="D118" s="114" t="n"/>
      <c r="E118" s="115" t="n"/>
      <c r="F118" s="115" t="n"/>
      <c r="G118" s="114" t="n"/>
      <c r="H118" s="114" t="n"/>
      <c r="I118" s="116" t="n"/>
      <c r="J118" s="113" t="n"/>
      <c r="K118" s="113" t="inlineStr">
        <is>
          <t>yes</t>
        </is>
      </c>
      <c r="L118" s="114" t="n"/>
      <c r="M118" s="115" t="n"/>
      <c r="N118" s="114" t="n"/>
      <c r="O118" s="115" t="n"/>
      <c r="P118" s="115" t="n"/>
      <c r="Q118" s="115" t="n"/>
      <c r="R118" s="115" t="n"/>
      <c r="S118" s="114" t="n"/>
      <c r="T118" s="115" t="n"/>
      <c r="U118" s="114" t="n"/>
      <c r="V118" s="114" t="n"/>
      <c r="W118" s="115" t="n"/>
      <c r="X118" s="115" t="n"/>
    </row>
    <row r="119" ht="34" customHeight="1">
      <c r="A119" s="113" t="inlineStr">
        <is>
          <t>select_one yesno</t>
        </is>
      </c>
      <c r="B119" s="113" t="inlineStr">
        <is>
          <t>wtp_more_sessions_yn</t>
        </is>
      </c>
      <c r="C119" s="116" t="inlineStr">
        <is>
          <t>Our current program is free. If additional tutoring sessions were offered beyond the 6- to 8 week-program for a small fee, would you be willing to pay for them?</t>
        </is>
      </c>
      <c r="D119" s="114" t="n"/>
      <c r="E119" s="115" t="n"/>
      <c r="F119" s="115" t="n"/>
      <c r="G119" s="114" t="n"/>
      <c r="H119" s="114" t="n"/>
      <c r="I119" s="116" t="n"/>
      <c r="J119" s="113" t="n"/>
      <c r="K119" s="113" t="inlineStr">
        <is>
          <t>yes</t>
        </is>
      </c>
      <c r="L119" s="114" t="n"/>
      <c r="M119" s="115" t="n"/>
      <c r="N119" s="114" t="n"/>
      <c r="O119" s="115" t="n"/>
      <c r="P119" s="115" t="n"/>
      <c r="Q119" s="115" t="n"/>
      <c r="R119" s="115" t="n"/>
      <c r="S119" s="114" t="n"/>
      <c r="T119" s="115" t="n"/>
      <c r="U119" s="114" t="n"/>
      <c r="V119" s="114" t="n"/>
      <c r="W119" s="115" t="n"/>
      <c r="X119" s="115" t="n"/>
    </row>
    <row r="120" ht="34" customHeight="1">
      <c r="A120" s="113" t="inlineStr">
        <is>
          <t>integer</t>
        </is>
      </c>
      <c r="B120" s="113" t="inlineStr">
        <is>
          <t>temp_wtp_more_sessions</t>
        </is>
      </c>
      <c r="C120" s="116" t="inlineStr">
        <is>
          <t>How much would you be willing to pay for an additional session?</t>
        </is>
      </c>
      <c r="D120" s="114" t="n"/>
      <c r="E120" s="115" t="n"/>
      <c r="F120" s="113" t="inlineStr">
        <is>
          <t>show_formatted</t>
        </is>
      </c>
      <c r="G120" s="116" t="inlineStr">
        <is>
          <t>.&gt; -1</t>
        </is>
      </c>
      <c r="H120" s="116" t="inlineStr">
        <is>
          <t>Amount must be at least 0.</t>
        </is>
      </c>
      <c r="I120" s="116" t="inlineStr">
        <is>
          <t>selected(${wtp_more_sessions_yn}, '1')</t>
        </is>
      </c>
      <c r="J120" s="115" t="n"/>
      <c r="K120" s="113" t="inlineStr">
        <is>
          <t>yes</t>
        </is>
      </c>
      <c r="L120" s="114" t="n"/>
      <c r="M120" s="115" t="n"/>
      <c r="N120" s="114" t="n"/>
      <c r="O120" s="115" t="n"/>
      <c r="P120" s="115" t="n"/>
      <c r="Q120" s="115" t="n"/>
      <c r="R120" s="115" t="n"/>
      <c r="S120" s="114" t="n"/>
      <c r="T120" s="115" t="n"/>
      <c r="U120" s="114" t="n"/>
      <c r="V120" s="114" t="n"/>
      <c r="W120" s="115" t="n"/>
      <c r="X120" s="115" t="n"/>
    </row>
    <row r="121" ht="17" customHeight="1">
      <c r="A121" s="113" t="inlineStr">
        <is>
          <t>calculate</t>
        </is>
      </c>
      <c r="B121" s="113" t="inlineStr">
        <is>
          <t>wtp_more_sessions</t>
        </is>
      </c>
      <c r="C121" s="116" t="inlineStr">
        <is>
          <t>Calculates willingness to pay for additional sessions</t>
        </is>
      </c>
      <c r="D121" s="114" t="n"/>
      <c r="E121" s="115" t="n"/>
      <c r="F121" s="115" t="n"/>
      <c r="G121" s="114" t="n"/>
      <c r="H121" s="114" t="n"/>
      <c r="I121" s="116" t="n"/>
      <c r="J121" s="115" t="n"/>
      <c r="K121" s="115" t="n"/>
      <c r="L121" s="114" t="n"/>
      <c r="M121" s="115" t="n"/>
      <c r="N121" s="116" t="inlineStr">
        <is>
          <t>if(selected(${wtp_more_sessions_yn}, '1'), ${temp_wtp_more_sessions}, '0')</t>
        </is>
      </c>
      <c r="O121" s="115" t="n"/>
      <c r="P121" s="115" t="n"/>
      <c r="Q121" s="115" t="n"/>
      <c r="R121" s="115" t="n"/>
      <c r="S121" s="114" t="n"/>
      <c r="T121" s="115" t="n"/>
      <c r="U121" s="114" t="n"/>
      <c r="V121" s="114" t="n"/>
      <c r="W121" s="115" t="n"/>
      <c r="X121" s="115" t="n"/>
    </row>
    <row r="122">
      <c r="A122" s="113" t="inlineStr">
        <is>
          <t>end group</t>
        </is>
      </c>
      <c r="B122" s="113" t="inlineStr">
        <is>
          <t>caregiver_qs</t>
        </is>
      </c>
      <c r="C122" s="116" t="n"/>
      <c r="D122" s="114" t="n"/>
      <c r="E122" s="115" t="n"/>
      <c r="F122" s="115" t="n"/>
      <c r="G122" s="114" t="n"/>
      <c r="H122" s="114" t="n"/>
      <c r="I122" s="116" t="n"/>
      <c r="J122" s="115" t="n"/>
      <c r="K122" s="115" t="n"/>
      <c r="L122" s="114" t="n"/>
      <c r="M122" s="115" t="n"/>
      <c r="N122" s="114" t="n"/>
      <c r="O122" s="115" t="n"/>
      <c r="P122" s="115" t="n"/>
      <c r="Q122" s="115" t="n"/>
      <c r="R122" s="115" t="n"/>
      <c r="S122" s="114" t="n"/>
      <c r="T122" s="115" t="n"/>
      <c r="U122" s="114" t="n"/>
      <c r="V122" s="114" t="n"/>
      <c r="W122" s="115" t="n"/>
      <c r="X122" s="115" t="n"/>
    </row>
    <row r="123" ht="170" customHeight="1">
      <c r="A123" s="113" t="inlineStr">
        <is>
          <t>select_one yesno</t>
        </is>
      </c>
      <c r="B123" s="113" t="inlineStr">
        <is>
          <t>stud_avail</t>
        </is>
      </c>
      <c r="C123" s="116" t="inlineStr">
        <is>
          <t>Thank you! Now, I would like to speak with &lt;font color="#14b14b"&gt;&lt;b&gt;&lt;u&gt;${stud_name}&lt;/u&gt;&lt;/b&gt;&lt;/font&gt;, we'll have a short game to try a couple of math problems during this call. 
&lt;br&gt;&lt;br&gt;
This shouldn't take long and this discussion won't affect your child's grade or class standing.
&lt;br&gt;&lt;br&gt;
Is &lt;font color="#14b14b"&gt;&lt;b&gt;&lt;u&gt;${stud_name}&lt;/u&gt;&lt;/b&gt;&lt;/font&gt; available?</t>
        </is>
      </c>
      <c r="D123" s="114" t="n"/>
      <c r="E123" s="115" t="n"/>
      <c r="F123" s="115" t="n"/>
      <c r="G123" s="114" t="n"/>
      <c r="H123" s="114" t="n"/>
      <c r="I123" s="116" t="inlineStr">
        <is>
          <t>selected(${caregiver_avail}, '1')</t>
        </is>
      </c>
      <c r="J123" s="113" t="n"/>
      <c r="K123" s="113" t="inlineStr">
        <is>
          <t>yes</t>
        </is>
      </c>
      <c r="L123" s="114" t="n"/>
      <c r="M123" s="115" t="n"/>
      <c r="N123" s="114" t="n"/>
      <c r="O123" s="115" t="n"/>
      <c r="P123" s="115" t="n"/>
      <c r="Q123" s="115" t="n"/>
      <c r="R123" s="115" t="n"/>
      <c r="S123" s="114" t="n"/>
      <c r="T123" s="115" t="n"/>
      <c r="U123" s="114" t="n"/>
      <c r="V123" s="114" t="n"/>
      <c r="W123" s="115" t="n"/>
      <c r="X123" s="115" t="n"/>
    </row>
    <row r="124" ht="17" customHeight="1">
      <c r="A124" s="113" t="inlineStr">
        <is>
          <t>calculate_here</t>
        </is>
      </c>
      <c r="B124" s="113" t="inlineStr">
        <is>
          <t>caregiver_interviewed_e</t>
        </is>
      </c>
      <c r="C124" s="116" t="inlineStr">
        <is>
          <t>[=1] to indicate caregiver is interviewed</t>
        </is>
      </c>
      <c r="D124" s="114" t="n"/>
      <c r="E124" s="115" t="n"/>
      <c r="F124" s="115" t="n"/>
      <c r="G124" s="114" t="n"/>
      <c r="H124" s="114" t="n"/>
      <c r="I124" s="116" t="inlineStr">
        <is>
          <t>selected(${caregiver_avail}, '1')</t>
        </is>
      </c>
      <c r="J124" s="113" t="n"/>
      <c r="K124" s="115" t="n"/>
      <c r="L124" s="114" t="n"/>
      <c r="M124" s="115" t="n"/>
      <c r="N124" s="116" t="n">
        <v>1</v>
      </c>
      <c r="O124" s="115" t="n"/>
      <c r="P124" s="115" t="n"/>
      <c r="Q124" s="115" t="n"/>
      <c r="R124" s="115" t="n"/>
      <c r="S124" s="114" t="n"/>
      <c r="T124" s="115" t="n"/>
      <c r="U124" s="114" t="n"/>
      <c r="V124" s="114" t="n"/>
      <c r="W124" s="115" t="n"/>
      <c r="X124" s="115" t="n"/>
    </row>
    <row r="125">
      <c r="A125" s="113" t="inlineStr">
        <is>
          <t>end group</t>
        </is>
      </c>
      <c r="B125" s="113" t="inlineStr">
        <is>
          <t>caregiver</t>
        </is>
      </c>
      <c r="C125" s="114" t="n"/>
      <c r="D125" s="114" t="n"/>
      <c r="E125" s="115" t="n"/>
      <c r="F125" s="115" t="n"/>
      <c r="G125" s="114" t="n"/>
      <c r="H125" s="114" t="n"/>
      <c r="I125" s="114" t="n"/>
      <c r="J125" s="115" t="n"/>
      <c r="K125" s="115" t="n"/>
      <c r="L125" s="114" t="n"/>
      <c r="M125" s="115" t="n"/>
      <c r="N125" s="114" t="n"/>
      <c r="O125" s="115" t="n"/>
      <c r="P125" s="115" t="n"/>
      <c r="Q125" s="115" t="n"/>
      <c r="R125" s="115" t="n"/>
      <c r="S125" s="114" t="n"/>
      <c r="T125" s="115" t="n"/>
      <c r="U125" s="114" t="n"/>
      <c r="V125" s="114" t="n"/>
      <c r="W125" s="115" t="n"/>
      <c r="X125" s="115" t="n"/>
    </row>
    <row r="126">
      <c r="A126" s="115" t="n"/>
      <c r="B126" s="115" t="n"/>
      <c r="C126" s="114" t="n"/>
      <c r="D126" s="114" t="n"/>
      <c r="E126" s="115" t="n"/>
      <c r="F126" s="115" t="n"/>
      <c r="G126" s="114" t="n"/>
      <c r="H126" s="114" t="n"/>
      <c r="I126" s="114" t="n"/>
      <c r="J126" s="115" t="n"/>
      <c r="K126" s="115" t="n"/>
      <c r="L126" s="114" t="n"/>
      <c r="M126" s="115" t="n"/>
      <c r="N126" s="114" t="n"/>
      <c r="O126" s="115" t="n"/>
      <c r="P126" s="115" t="n"/>
      <c r="Q126" s="115" t="n"/>
      <c r="R126" s="115" t="n"/>
      <c r="S126" s="114" t="n"/>
      <c r="T126" s="115" t="n"/>
      <c r="U126" s="114" t="n"/>
      <c r="V126" s="114" t="n"/>
      <c r="W126" s="115" t="n"/>
      <c r="X126" s="115" t="n"/>
    </row>
    <row r="127" ht="17" customHeight="1">
      <c r="A127" s="113" t="inlineStr">
        <is>
          <t>calculate</t>
        </is>
      </c>
      <c r="B127" s="113" t="inlineStr">
        <is>
          <t>upd_consent_e</t>
        </is>
      </c>
      <c r="C127" s="117" t="inlineStr">
        <is>
          <t>Updates value with previous response if caregiver is interviewed in previous call</t>
        </is>
      </c>
      <c r="D127" s="114" t="n"/>
      <c r="E127" s="115" t="n"/>
      <c r="F127" s="115" t="n"/>
      <c r="G127" s="114" t="n"/>
      <c r="H127" s="114" t="n"/>
      <c r="I127" s="114" t="n"/>
      <c r="J127" s="115" t="n"/>
      <c r="K127" s="115" t="n"/>
      <c r="L127" s="114" t="n"/>
      <c r="M127" s="115" t="n"/>
      <c r="N127" s="116" t="inlineStr">
        <is>
          <t>if(${caregiver_interviewed_prev}  = 1, pulldata('cases_connected_ph', 'consent_e', 'hhid', ${hhid}), ${consent_e})</t>
        </is>
      </c>
      <c r="O127" s="115" t="n"/>
      <c r="P127" s="115" t="n"/>
      <c r="Q127" s="115" t="n"/>
      <c r="R127" s="115" t="n"/>
      <c r="S127" s="114" t="n"/>
      <c r="T127" s="115" t="n"/>
      <c r="U127" s="114" t="n"/>
      <c r="V127" s="114" t="n"/>
      <c r="W127" s="115" t="n"/>
      <c r="X127" s="115" t="n"/>
    </row>
    <row r="128" ht="17" customHeight="1">
      <c r="A128" s="113" t="inlineStr">
        <is>
          <t>calculate</t>
        </is>
      </c>
      <c r="B128" s="113" t="inlineStr">
        <is>
          <t>upd_confirm_care_e</t>
        </is>
      </c>
      <c r="C128" s="117" t="inlineStr">
        <is>
          <t>Updates value with previous response if caregiver is interviewed in previous call</t>
        </is>
      </c>
      <c r="D128" s="114" t="n"/>
      <c r="E128" s="115" t="n"/>
      <c r="F128" s="115" t="n"/>
      <c r="G128" s="114" t="n"/>
      <c r="H128" s="114" t="n"/>
      <c r="I128" s="114" t="n"/>
      <c r="J128" s="115" t="n"/>
      <c r="K128" s="115" t="n"/>
      <c r="L128" s="114" t="n"/>
      <c r="M128" s="115" t="n"/>
      <c r="N128" s="116" t="inlineStr">
        <is>
          <t>if(${caregiver_interviewed_prev}  = 1, pulldata('cases_connected_ph', 'confirm_care_e', 'hhid', ${hhid}), ${confirm_care_e})</t>
        </is>
      </c>
      <c r="O128" s="115" t="n"/>
      <c r="P128" s="115" t="n"/>
      <c r="Q128" s="115" t="n"/>
      <c r="R128" s="115" t="n"/>
      <c r="S128" s="114" t="n"/>
      <c r="T128" s="115" t="n"/>
      <c r="U128" s="114" t="n"/>
      <c r="V128" s="114" t="n"/>
      <c r="W128" s="115" t="n"/>
      <c r="X128" s="115" t="n"/>
    </row>
    <row r="129" ht="17" customHeight="1">
      <c r="A129" s="113" t="inlineStr">
        <is>
          <t>calculate</t>
        </is>
      </c>
      <c r="B129" s="113" t="inlineStr">
        <is>
          <t>upd_maths_sms_yn</t>
        </is>
      </c>
      <c r="C129" s="117" t="inlineStr">
        <is>
          <t>Updates value with previous response if caregiver is interviewed in previous call</t>
        </is>
      </c>
      <c r="D129" s="114" t="n"/>
      <c r="E129" s="115" t="n"/>
      <c r="F129" s="115" t="n"/>
      <c r="G129" s="114" t="n"/>
      <c r="H129" s="114" t="n"/>
      <c r="I129" s="114" t="n"/>
      <c r="J129" s="115" t="n"/>
      <c r="K129" s="115" t="n"/>
      <c r="L129" s="114" t="n"/>
      <c r="M129" s="115" t="n"/>
      <c r="N129" s="116" t="inlineStr">
        <is>
          <t>if(${caregiver_interviewed_prev}  = 1, pulldata('cases_connected_ph', 'maths_sms_yn', 'hhid', ${hhid}), ${maths_sms_yn})</t>
        </is>
      </c>
      <c r="O129" s="115" t="n"/>
      <c r="P129" s="115" t="n"/>
      <c r="Q129" s="115" t="n"/>
      <c r="R129" s="115" t="n"/>
      <c r="S129" s="114" t="n"/>
      <c r="T129" s="115" t="n"/>
      <c r="U129" s="114" t="n"/>
      <c r="V129" s="114" t="n"/>
      <c r="W129" s="115" t="n"/>
      <c r="X129" s="115" t="n"/>
    </row>
    <row r="130" ht="17" customHeight="1">
      <c r="A130" s="113" t="inlineStr">
        <is>
          <t>calculate</t>
        </is>
      </c>
      <c r="B130" s="113" t="inlineStr">
        <is>
          <t>upd_n_calls</t>
        </is>
      </c>
      <c r="C130" s="117" t="inlineStr">
        <is>
          <t>Updates value with previous response if caregiver is interviewed in previous call</t>
        </is>
      </c>
      <c r="D130" s="114" t="n"/>
      <c r="E130" s="115" t="n"/>
      <c r="F130" s="115" t="n"/>
      <c r="G130" s="114" t="n"/>
      <c r="H130" s="114" t="n"/>
      <c r="I130" s="114" t="n"/>
      <c r="J130" s="115" t="n"/>
      <c r="K130" s="115" t="n"/>
      <c r="L130" s="114" t="n"/>
      <c r="M130" s="115" t="n"/>
      <c r="N130" s="116" t="inlineStr">
        <is>
          <t>if(${caregiver_interviewed_prev}  = 1, pulldata('cases_connected_ph', 'n_calls', 'hhid', ${hhid}), ${n_calls})</t>
        </is>
      </c>
      <c r="O130" s="115" t="n"/>
      <c r="P130" s="115" t="n"/>
      <c r="Q130" s="115" t="n"/>
      <c r="R130" s="115" t="n"/>
      <c r="S130" s="114" t="n"/>
      <c r="T130" s="115" t="n"/>
      <c r="U130" s="114" t="n"/>
      <c r="V130" s="114" t="n"/>
      <c r="W130" s="115" t="n"/>
      <c r="X130" s="115" t="n"/>
    </row>
    <row r="131" ht="17" customHeight="1">
      <c r="A131" s="113" t="inlineStr">
        <is>
          <t>calculate</t>
        </is>
      </c>
      <c r="B131" s="113" t="inlineStr">
        <is>
          <t>upd_sms_practice</t>
        </is>
      </c>
      <c r="C131" s="117" t="inlineStr">
        <is>
          <t>Updates value with previous response if caregiver is interviewed in previous call</t>
        </is>
      </c>
      <c r="D131" s="114" t="n"/>
      <c r="E131" s="115" t="n"/>
      <c r="F131" s="115" t="n"/>
      <c r="G131" s="114" t="n"/>
      <c r="H131" s="114" t="n"/>
      <c r="I131" s="114" t="n"/>
      <c r="J131" s="115" t="n"/>
      <c r="K131" s="115" t="n"/>
      <c r="L131" s="114" t="n"/>
      <c r="M131" s="115" t="n"/>
      <c r="N131" s="116" t="inlineStr">
        <is>
          <t>if(${caregiver_interviewed_prev}  = 1, pulldata('cases_connected_ph', 'sms_practice', 'hhid', ${hhid}), ${sms_practice})</t>
        </is>
      </c>
      <c r="O131" s="115" t="n"/>
      <c r="P131" s="115" t="n"/>
      <c r="Q131" s="115" t="n"/>
      <c r="R131" s="115" t="n"/>
      <c r="S131" s="114" t="n"/>
      <c r="T131" s="115" t="n"/>
      <c r="U131" s="114" t="n"/>
      <c r="V131" s="114" t="n"/>
      <c r="W131" s="115" t="n"/>
      <c r="X131" s="115" t="n"/>
    </row>
    <row r="132" ht="17" customHeight="1">
      <c r="A132" s="113" t="inlineStr">
        <is>
          <t>calculate</t>
        </is>
      </c>
      <c r="B132" s="113" t="inlineStr">
        <is>
          <t>upd_care_perc_level</t>
        </is>
      </c>
      <c r="C132" s="117" t="inlineStr">
        <is>
          <t>Updates value with previous response if caregiver is interviewed in previous call</t>
        </is>
      </c>
      <c r="D132" s="114" t="n"/>
      <c r="E132" s="115" t="n"/>
      <c r="F132" s="115" t="n"/>
      <c r="G132" s="114" t="n"/>
      <c r="H132" s="114" t="n"/>
      <c r="I132" s="114" t="n"/>
      <c r="J132" s="115" t="n"/>
      <c r="K132" s="115" t="n"/>
      <c r="L132" s="114" t="n"/>
      <c r="M132" s="115" t="n"/>
      <c r="N132" s="116" t="inlineStr">
        <is>
          <t>if(${caregiver_interviewed_prev}  = 1, pulldata('cases_connected_ph', 'care_perc_level', 'hhid', ${hhid}), ${care_perc_level})</t>
        </is>
      </c>
      <c r="O132" s="115" t="n"/>
      <c r="P132" s="115" t="n"/>
      <c r="Q132" s="115" t="n"/>
      <c r="R132" s="115" t="n"/>
      <c r="S132" s="114" t="n"/>
      <c r="T132" s="115" t="n"/>
      <c r="U132" s="114" t="n"/>
      <c r="V132" s="114" t="n"/>
      <c r="W132" s="115" t="n"/>
      <c r="X132" s="115" t="n"/>
    </row>
    <row r="133" ht="17" customHeight="1">
      <c r="A133" s="113" t="inlineStr">
        <is>
          <t>calculate</t>
        </is>
      </c>
      <c r="B133" s="113" t="inlineStr">
        <is>
          <t>upd_care_educ_act2</t>
        </is>
      </c>
      <c r="C133" s="117" t="inlineStr">
        <is>
          <t>Updates value with previous response if caregiver is interviewed in previous call</t>
        </is>
      </c>
      <c r="D133" s="114" t="n"/>
      <c r="E133" s="115" t="n"/>
      <c r="F133" s="115" t="n"/>
      <c r="G133" s="114" t="n"/>
      <c r="H133" s="114" t="n"/>
      <c r="I133" s="114" t="n"/>
      <c r="J133" s="115" t="n"/>
      <c r="K133" s="115" t="n"/>
      <c r="L133" s="114" t="n"/>
      <c r="M133" s="115" t="n"/>
      <c r="N133" s="116" t="inlineStr">
        <is>
          <t>if(${caregiver_interviewed_prev}  = 1, pulldata('cases_connected_ph', 'care_educ_act2', 'hhid', ${hhid}), ${care_educ_act2})</t>
        </is>
      </c>
      <c r="O133" s="115" t="n"/>
      <c r="P133" s="115" t="n"/>
      <c r="Q133" s="115" t="n"/>
      <c r="R133" s="115" t="n"/>
      <c r="S133" s="114" t="n"/>
      <c r="T133" s="115" t="n"/>
      <c r="U133" s="114" t="n"/>
      <c r="V133" s="114" t="n"/>
      <c r="W133" s="115" t="n"/>
      <c r="X133" s="115" t="n"/>
    </row>
    <row r="134" ht="17" customHeight="1">
      <c r="A134" s="113" t="inlineStr">
        <is>
          <t>calculate</t>
        </is>
      </c>
      <c r="B134" s="113" t="inlineStr">
        <is>
          <t>upd_calls_during_disruption</t>
        </is>
      </c>
      <c r="C134" s="117" t="inlineStr">
        <is>
          <t>Updates value with previous response if caregiver is interviewed in previous call</t>
        </is>
      </c>
      <c r="D134" s="114" t="n"/>
      <c r="E134" s="115" t="n"/>
      <c r="F134" s="115" t="n"/>
      <c r="G134" s="114" t="n"/>
      <c r="H134" s="114" t="n"/>
      <c r="I134" s="114" t="n"/>
      <c r="J134" s="115" t="n"/>
      <c r="K134" s="115" t="n"/>
      <c r="L134" s="114" t="n"/>
      <c r="M134" s="115" t="n"/>
      <c r="N134" s="116" t="inlineStr">
        <is>
          <t>if(${caregiver_interviewed_prev}  = 1, pulldata('cases_connected_ph', 'calls_during_disruption', 'hhid', ${hhid}), ${calls_during_disruption})</t>
        </is>
      </c>
      <c r="O134" s="115" t="n"/>
      <c r="P134" s="115" t="n"/>
      <c r="Q134" s="115" t="n"/>
      <c r="R134" s="115" t="n"/>
      <c r="S134" s="114" t="n"/>
      <c r="T134" s="115" t="n"/>
      <c r="U134" s="114" t="n"/>
      <c r="V134" s="114" t="n"/>
      <c r="W134" s="115" t="n"/>
      <c r="X134" s="115" t="n"/>
    </row>
    <row r="135" ht="17" customHeight="1">
      <c r="A135" s="113" t="inlineStr">
        <is>
          <t>calculate</t>
        </is>
      </c>
      <c r="B135" s="113" t="inlineStr">
        <is>
          <t>upd_future_connected_support</t>
        </is>
      </c>
      <c r="C135" s="117" t="inlineStr">
        <is>
          <t>Updates value with previous response if caregiver is interviewed in previous call</t>
        </is>
      </c>
      <c r="D135" s="114" t="n"/>
      <c r="E135" s="115" t="n"/>
      <c r="F135" s="115" t="n"/>
      <c r="G135" s="114" t="n"/>
      <c r="H135" s="114" t="n"/>
      <c r="I135" s="114" t="n"/>
      <c r="J135" s="115" t="n"/>
      <c r="K135" s="115" t="n"/>
      <c r="L135" s="114" t="n"/>
      <c r="M135" s="115" t="n"/>
      <c r="N135" s="116" t="inlineStr">
        <is>
          <t>if(${caregiver_interviewed_prev}  = 1, pulldata('cases_connected_ph', 'future_connected_support', 'hhid', ${hhid}), ${future_connected_support})</t>
        </is>
      </c>
      <c r="O135" s="115" t="n"/>
      <c r="P135" s="115" t="n"/>
      <c r="Q135" s="115" t="n"/>
      <c r="R135" s="115" t="n"/>
      <c r="S135" s="114" t="n"/>
      <c r="T135" s="115" t="n"/>
      <c r="U135" s="114" t="n"/>
      <c r="V135" s="114" t="n"/>
      <c r="W135" s="115" t="n"/>
      <c r="X135" s="115" t="n"/>
    </row>
    <row r="136" ht="17" customHeight="1">
      <c r="A136" s="113" t="inlineStr">
        <is>
          <t>calculate</t>
        </is>
      </c>
      <c r="B136" s="113" t="inlineStr">
        <is>
          <t>upd_wtp_more_sessions_yn</t>
        </is>
      </c>
      <c r="C136" s="117" t="inlineStr">
        <is>
          <t>Updates value with previous response if caregiver is interviewed in previous call</t>
        </is>
      </c>
      <c r="D136" s="114" t="n"/>
      <c r="E136" s="115" t="n"/>
      <c r="F136" s="115" t="n"/>
      <c r="G136" s="114" t="n"/>
      <c r="H136" s="114" t="n"/>
      <c r="I136" s="114" t="n"/>
      <c r="J136" s="115" t="n"/>
      <c r="K136" s="115" t="n"/>
      <c r="L136" s="114" t="n"/>
      <c r="M136" s="115" t="n"/>
      <c r="N136" s="116" t="inlineStr">
        <is>
          <t>if(${caregiver_interviewed_prev}  = 1, pulldata('cases_connected_ph', 'wtp_more_sessions_yn', 'hhid', ${hhid}), ${wtp_more_sessions_yn})</t>
        </is>
      </c>
      <c r="O136" s="115" t="n"/>
      <c r="P136" s="115" t="n"/>
      <c r="Q136" s="115" t="n"/>
      <c r="R136" s="115" t="n"/>
      <c r="S136" s="114" t="n"/>
      <c r="T136" s="115" t="n"/>
      <c r="U136" s="114" t="n"/>
      <c r="V136" s="114" t="n"/>
      <c r="W136" s="115" t="n"/>
      <c r="X136" s="115" t="n"/>
    </row>
    <row r="137" ht="17" customHeight="1">
      <c r="A137" s="113" t="inlineStr">
        <is>
          <t>calculate</t>
        </is>
      </c>
      <c r="B137" s="113" t="inlineStr">
        <is>
          <t>upd_temp_wtp_more_sessions</t>
        </is>
      </c>
      <c r="C137" s="117" t="inlineStr">
        <is>
          <t>Updates value with previous response if caregiver is interviewed in previous call</t>
        </is>
      </c>
      <c r="D137" s="114" t="n"/>
      <c r="E137" s="115" t="n"/>
      <c r="F137" s="115" t="n"/>
      <c r="G137" s="114" t="n"/>
      <c r="H137" s="114" t="n"/>
      <c r="I137" s="114" t="n"/>
      <c r="J137" s="115" t="n"/>
      <c r="K137" s="115" t="n"/>
      <c r="L137" s="114" t="n"/>
      <c r="M137" s="115" t="n"/>
      <c r="N137" s="116" t="inlineStr">
        <is>
          <t>if(${caregiver_interviewed_prev}  = 1, pulldata('cases_connected_ph', 'temp_wtp_more_sessions', 'hhid', ${hhid}), ${temp_wtp_more_sessions})</t>
        </is>
      </c>
      <c r="O137" s="115" t="n"/>
      <c r="P137" s="115" t="n"/>
      <c r="Q137" s="115" t="n"/>
      <c r="R137" s="115" t="n"/>
      <c r="S137" s="114" t="n"/>
      <c r="T137" s="115" t="n"/>
      <c r="U137" s="114" t="n"/>
      <c r="V137" s="114" t="n"/>
      <c r="W137" s="115" t="n"/>
      <c r="X137" s="115" t="n"/>
    </row>
    <row r="138" ht="17" customHeight="1">
      <c r="A138" s="113" t="inlineStr">
        <is>
          <t>calculate</t>
        </is>
      </c>
      <c r="B138" s="113" t="inlineStr">
        <is>
          <t>upd_wtp_more_sessions</t>
        </is>
      </c>
      <c r="C138" s="117" t="inlineStr">
        <is>
          <t>Updates value with previous response if caregiver is interviewed in previous call</t>
        </is>
      </c>
      <c r="D138" s="114" t="n"/>
      <c r="E138" s="115" t="n"/>
      <c r="F138" s="115" t="n"/>
      <c r="G138" s="114" t="n"/>
      <c r="H138" s="114" t="n"/>
      <c r="I138" s="114" t="n"/>
      <c r="J138" s="115" t="n"/>
      <c r="K138" s="115" t="n"/>
      <c r="L138" s="114" t="n"/>
      <c r="M138" s="115" t="n"/>
      <c r="N138" s="116" t="inlineStr">
        <is>
          <t>if(${caregiver_interviewed_prev}  = 1, pulldata('cases_connected_ph', 'wtp_more_sessions', 'hhid', ${hhid}), ${wtp_more_sessions})</t>
        </is>
      </c>
      <c r="O138" s="115" t="n"/>
      <c r="P138" s="115" t="n"/>
      <c r="Q138" s="115" t="n"/>
      <c r="R138" s="115" t="n"/>
      <c r="S138" s="114" t="n"/>
      <c r="T138" s="115" t="n"/>
      <c r="U138" s="114" t="n"/>
      <c r="V138" s="114" t="n"/>
      <c r="W138" s="115" t="n"/>
      <c r="X138" s="115" t="n"/>
    </row>
    <row r="139">
      <c r="A139" s="115" t="n"/>
      <c r="B139" s="115" t="n"/>
      <c r="C139" s="114" t="n"/>
      <c r="D139" s="114" t="n"/>
      <c r="E139" s="115" t="n"/>
      <c r="F139" s="115" t="n"/>
      <c r="G139" s="114" t="n"/>
      <c r="H139" s="114" t="n"/>
      <c r="I139" s="114" t="n"/>
      <c r="J139" s="115" t="n"/>
      <c r="K139" s="115" t="n"/>
      <c r="L139" s="114" t="n"/>
      <c r="M139" s="115" t="n"/>
      <c r="N139" s="114" t="n"/>
      <c r="O139" s="115" t="n"/>
      <c r="P139" s="115" t="n"/>
      <c r="Q139" s="115" t="n"/>
      <c r="R139" s="115" t="n"/>
      <c r="S139" s="114" t="n"/>
      <c r="T139" s="115" t="n"/>
      <c r="U139" s="114" t="n"/>
      <c r="V139" s="114" t="n"/>
      <c r="W139" s="115" t="n"/>
      <c r="X139" s="115" t="n"/>
    </row>
    <row r="140" ht="17" customHeight="1">
      <c r="A140" s="113" t="inlineStr">
        <is>
          <t>begin group</t>
        </is>
      </c>
      <c r="B140" s="113" t="inlineStr">
        <is>
          <t>stud_resched</t>
        </is>
      </c>
      <c r="C140" s="117" t="inlineStr">
        <is>
          <t>Ask if student is available, caregiver previously interviewed</t>
        </is>
      </c>
      <c r="D140" s="114" t="n"/>
      <c r="E140" s="115" t="n"/>
      <c r="F140" s="113" t="inlineStr">
        <is>
          <t>field-list</t>
        </is>
      </c>
      <c r="G140" s="114" t="n"/>
      <c r="H140" s="114" t="n"/>
      <c r="I140" s="116" t="inlineStr">
        <is>
          <t>${caregiver_interviewed_prev} = 1</t>
        </is>
      </c>
      <c r="J140" s="115" t="n"/>
      <c r="K140" s="115" t="n"/>
      <c r="L140" s="114" t="n"/>
      <c r="M140" s="115" t="n"/>
      <c r="N140" s="114" t="n"/>
      <c r="O140" s="115" t="n"/>
      <c r="P140" s="115" t="n"/>
      <c r="Q140" s="115" t="n"/>
      <c r="R140" s="115" t="n"/>
      <c r="S140" s="114" t="n"/>
      <c r="T140" s="115" t="n"/>
      <c r="U140" s="114" t="n"/>
      <c r="V140" s="114" t="n"/>
      <c r="W140" s="115" t="n"/>
      <c r="X140" s="115" t="n"/>
    </row>
    <row r="141" ht="187" customHeight="1">
      <c r="A141" s="113" t="inlineStr">
        <is>
          <t>note</t>
        </is>
      </c>
      <c r="B141" s="113" t="inlineStr">
        <is>
          <t>note_intro_stud_resched</t>
        </is>
      </c>
      <c r="C141" s="117" t="inlineStr">
        <is>
          <t>Hello! We spoke earlier about enrolling &lt;font color="#14b14b"&gt;&lt;b&gt;&lt;u&gt;${stud_name}&lt;/u&gt;&lt;/b&gt;&lt;/font&gt; to mEducation, our free phone-based tutoring program in math.
&lt;br&gt;&lt;br&gt;
I would like to speak with &lt;font color="#14b14b"&gt;&lt;b&gt;&lt;u&gt;${stud_name}&lt;/u&gt;&lt;/b&gt;&lt;/font&gt;, we'll have a short game to try a couple of math problems during this call. 
&lt;br&gt;&lt;br&gt;
This shouldn't take long and it won't affect your child's grade or class standing.</t>
        </is>
      </c>
      <c r="D141" s="114" t="n"/>
      <c r="E141" s="115" t="n"/>
      <c r="F141" s="115" t="n"/>
      <c r="G141" s="114" t="n"/>
      <c r="H141" s="114" t="n"/>
      <c r="I141" s="114" t="n"/>
      <c r="J141" s="115" t="n"/>
      <c r="K141" s="115" t="n"/>
      <c r="L141" s="114" t="n"/>
      <c r="M141" s="115" t="n"/>
      <c r="N141" s="114" t="n"/>
      <c r="O141" s="115" t="n"/>
      <c r="P141" s="115" t="n"/>
      <c r="Q141" s="115" t="n"/>
      <c r="R141" s="115" t="n"/>
      <c r="S141" s="114" t="n"/>
      <c r="T141" s="115" t="n"/>
      <c r="U141" s="114" t="n"/>
      <c r="V141" s="114" t="n"/>
      <c r="W141" s="115" t="n"/>
      <c r="X141" s="115" t="n"/>
    </row>
    <row r="142" ht="17" customHeight="1">
      <c r="A142" s="113" t="inlineStr">
        <is>
          <t>select_one yesno</t>
        </is>
      </c>
      <c r="B142" s="113" t="inlineStr">
        <is>
          <t>stud_avail2</t>
        </is>
      </c>
      <c r="C142" s="117" t="inlineStr">
        <is>
          <t>Is &lt;font color="#14b14b"&gt;&lt;b&gt;&lt;u&gt;${stud_name}&lt;/u&gt;&lt;/b&gt;&lt;/font&gt; available?</t>
        </is>
      </c>
      <c r="D142" s="114" t="n"/>
      <c r="E142" s="115" t="n"/>
      <c r="F142" s="115" t="n"/>
      <c r="G142" s="114" t="n"/>
      <c r="H142" s="114" t="n"/>
      <c r="I142" s="114" t="n"/>
      <c r="J142" s="115" t="n"/>
      <c r="K142" s="113" t="inlineStr">
        <is>
          <t>yes</t>
        </is>
      </c>
      <c r="L142" s="114" t="n"/>
      <c r="M142" s="115" t="n"/>
      <c r="N142" s="114" t="n"/>
      <c r="O142" s="115" t="n"/>
      <c r="P142" s="115" t="n"/>
      <c r="Q142" s="115" t="n"/>
      <c r="R142" s="115" t="n"/>
      <c r="S142" s="114" t="n"/>
      <c r="T142" s="115" t="n"/>
      <c r="U142" s="114" t="n"/>
      <c r="V142" s="114" t="n"/>
      <c r="W142" s="115" t="n"/>
      <c r="X142" s="115" t="n"/>
    </row>
    <row r="143">
      <c r="A143" s="113" t="inlineStr">
        <is>
          <t>end group</t>
        </is>
      </c>
      <c r="B143" s="113" t="inlineStr">
        <is>
          <t>stud_resched</t>
        </is>
      </c>
      <c r="C143" s="114" t="n"/>
      <c r="D143" s="114" t="n"/>
      <c r="E143" s="115" t="n"/>
      <c r="F143" s="115" t="n"/>
      <c r="G143" s="114" t="n"/>
      <c r="H143" s="114" t="n"/>
      <c r="I143" s="114" t="n"/>
      <c r="J143" s="115" t="n"/>
      <c r="K143" s="115" t="n"/>
      <c r="L143" s="114" t="n"/>
      <c r="M143" s="115" t="n"/>
      <c r="N143" s="114" t="n"/>
      <c r="O143" s="115" t="n"/>
      <c r="P143" s="115" t="n"/>
      <c r="Q143" s="115" t="n"/>
      <c r="R143" s="115" t="n"/>
      <c r="S143" s="114" t="n"/>
      <c r="T143" s="115" t="n"/>
      <c r="U143" s="114" t="n"/>
      <c r="V143" s="114" t="n"/>
      <c r="W143" s="115" t="n"/>
      <c r="X143" s="115" t="n"/>
    </row>
    <row r="144">
      <c r="A144" s="115" t="n"/>
      <c r="B144" s="115" t="n"/>
      <c r="C144" s="114" t="n"/>
      <c r="D144" s="114" t="n"/>
      <c r="E144" s="115" t="n"/>
      <c r="F144" s="115" t="n"/>
      <c r="G144" s="114" t="n"/>
      <c r="H144" s="114" t="n"/>
      <c r="I144" s="114" t="n"/>
      <c r="J144" s="115" t="n"/>
      <c r="K144" s="115" t="n"/>
      <c r="L144" s="114" t="n"/>
      <c r="M144" s="115" t="n"/>
      <c r="N144" s="114" t="n"/>
      <c r="O144" s="115" t="n"/>
      <c r="P144" s="115" t="n"/>
      <c r="Q144" s="115" t="n"/>
      <c r="R144" s="115" t="n"/>
      <c r="S144" s="114" t="n"/>
      <c r="T144" s="115" t="n"/>
      <c r="U144" s="114" t="n"/>
      <c r="V144" s="114" t="n"/>
      <c r="W144" s="115" t="n"/>
      <c r="X144" s="115" t="n"/>
    </row>
    <row r="145" ht="34" customHeight="1">
      <c r="A145" s="113" t="inlineStr">
        <is>
          <t>begin group</t>
        </is>
      </c>
      <c r="B145" s="113" t="inlineStr">
        <is>
          <t>reschedule</t>
        </is>
      </c>
      <c r="C145" s="116" t="inlineStr">
        <is>
          <t>Reschedule call</t>
        </is>
      </c>
      <c r="D145" s="114" t="n"/>
      <c r="E145" s="115" t="n"/>
      <c r="F145" s="115" t="n"/>
      <c r="G145" s="114" t="n"/>
      <c r="H145" s="114" t="n"/>
      <c r="I145" s="116" t="inlineStr">
        <is>
          <t>${caregiver_nearby} = 0  or ${temp_caregiver_nearby} = 0 or ${caregiver_avail} = 0 or ${stud_avail} = 0 or ${stud_avail2} = 0</t>
        </is>
      </c>
      <c r="J145" s="113" t="n"/>
      <c r="K145" s="115" t="n"/>
      <c r="L145" s="114" t="n"/>
      <c r="M145" s="115" t="n"/>
      <c r="N145" s="114" t="n"/>
      <c r="O145" s="115" t="n"/>
      <c r="P145" s="115" t="n"/>
      <c r="Q145" s="115" t="n"/>
      <c r="R145" s="115" t="n"/>
      <c r="S145" s="114" t="n"/>
      <c r="T145" s="115" t="n"/>
      <c r="U145" s="114" t="n"/>
      <c r="V145" s="114" t="n"/>
      <c r="W145" s="115" t="n"/>
      <c r="X145" s="115" t="n"/>
    </row>
    <row r="146" ht="17" customHeight="1">
      <c r="A146" s="113" t="inlineStr">
        <is>
          <t>begin group</t>
        </is>
      </c>
      <c r="B146" s="113" t="inlineStr">
        <is>
          <t>resched_datetime</t>
        </is>
      </c>
      <c r="C146" s="116" t="n"/>
      <c r="D146" s="114" t="n"/>
      <c r="E146" s="115" t="n"/>
      <c r="F146" s="113" t="inlineStr">
        <is>
          <t>field-list</t>
        </is>
      </c>
      <c r="G146" s="114" t="n"/>
      <c r="H146" s="114" t="n"/>
      <c r="I146" s="116" t="n"/>
      <c r="J146" s="113" t="n"/>
      <c r="K146" s="115" t="n"/>
      <c r="L146" s="114" t="n"/>
      <c r="M146" s="115" t="n"/>
      <c r="N146" s="114" t="n"/>
      <c r="O146" s="115" t="n"/>
      <c r="P146" s="115" t="n"/>
      <c r="Q146" s="115" t="n"/>
      <c r="R146" s="115" t="n"/>
      <c r="S146" s="114" t="n"/>
      <c r="T146" s="115" t="n"/>
      <c r="U146" s="114" t="n"/>
      <c r="V146" s="114" t="n"/>
      <c r="W146" s="115" t="n"/>
      <c r="X146" s="115" t="n"/>
    </row>
    <row r="147" ht="17" customHeight="1">
      <c r="A147" s="113" t="inlineStr">
        <is>
          <t>note</t>
        </is>
      </c>
      <c r="B147" s="113" t="inlineStr">
        <is>
          <t>note_resched</t>
        </is>
      </c>
      <c r="C147" s="116" t="inlineStr">
        <is>
          <t>That's alright. Can you let me know a time when I should call back?</t>
        </is>
      </c>
      <c r="D147" s="114" t="n"/>
      <c r="E147" s="115" t="n"/>
      <c r="F147" s="115" t="n"/>
      <c r="G147" s="114" t="n"/>
      <c r="H147" s="114" t="n"/>
      <c r="I147" s="116" t="n"/>
      <c r="J147" s="113" t="n"/>
      <c r="K147" s="115" t="n"/>
      <c r="L147" s="114" t="n"/>
      <c r="M147" s="115" t="n"/>
      <c r="N147" s="114" t="n"/>
      <c r="O147" s="115" t="n"/>
      <c r="P147" s="115" t="n"/>
      <c r="Q147" s="115" t="n"/>
      <c r="R147" s="115" t="n"/>
      <c r="S147" s="114" t="n"/>
      <c r="T147" s="115" t="n"/>
      <c r="U147" s="114" t="n"/>
      <c r="V147" s="114" t="n"/>
      <c r="W147" s="115" t="n"/>
      <c r="X147" s="115" t="n"/>
    </row>
    <row r="148" ht="68" customHeight="1">
      <c r="A148" s="113" t="inlineStr">
        <is>
          <t>datetime</t>
        </is>
      </c>
      <c r="B148" s="113" t="inlineStr">
        <is>
          <t>temp_resched</t>
        </is>
      </c>
      <c r="C148" s="116" t="inlineStr">
        <is>
          <t>Select the date and time you will call the household back:</t>
        </is>
      </c>
      <c r="D148" s="116" t="inlineStr">
        <is>
          <t>NOTE: When scheduling the callback, check your calendar to make sure you are available for that time.</t>
        </is>
      </c>
      <c r="E148" s="115" t="n"/>
      <c r="F148" s="115" t="n"/>
      <c r="G148" s="116" t="inlineStr">
        <is>
          <t>decimal-date-time(.) &gt; decimal-date-time(now())</t>
        </is>
      </c>
      <c r="H148" s="116" t="inlineStr">
        <is>
          <t>Please select a date and time that is after right now.</t>
        </is>
      </c>
      <c r="I148" s="116" t="n"/>
      <c r="J148" s="113" t="n"/>
      <c r="K148" s="113" t="inlineStr">
        <is>
          <t>yes</t>
        </is>
      </c>
      <c r="L148" s="114" t="n"/>
      <c r="M148" s="115" t="n"/>
      <c r="N148" s="114" t="n"/>
      <c r="O148" s="115" t="n"/>
      <c r="P148" s="115" t="n"/>
      <c r="Q148" s="115" t="n"/>
      <c r="R148" s="115" t="n"/>
      <c r="S148" s="114" t="n"/>
      <c r="T148" s="115" t="n"/>
      <c r="U148" s="114" t="n"/>
      <c r="V148" s="114" t="n"/>
      <c r="W148" s="115" t="n"/>
      <c r="X148" s="115" t="n"/>
    </row>
    <row r="149">
      <c r="A149" s="113" t="inlineStr">
        <is>
          <t>end group</t>
        </is>
      </c>
      <c r="B149" s="113" t="inlineStr">
        <is>
          <t>resched_datetime</t>
        </is>
      </c>
      <c r="C149" s="116" t="n"/>
      <c r="D149" s="114" t="n"/>
      <c r="E149" s="115" t="n"/>
      <c r="F149" s="115" t="n"/>
      <c r="G149" s="114" t="n"/>
      <c r="H149" s="114" t="n"/>
      <c r="I149" s="116" t="n"/>
      <c r="J149" s="113" t="n"/>
      <c r="K149" s="115" t="n"/>
      <c r="L149" s="114" t="n"/>
      <c r="M149" s="115" t="n"/>
      <c r="N149" s="114" t="n"/>
      <c r="O149" s="115" t="n"/>
      <c r="P149" s="115" t="n"/>
      <c r="Q149" s="115" t="n"/>
      <c r="R149" s="115" t="n"/>
      <c r="S149" s="114" t="n"/>
      <c r="T149" s="115" t="n"/>
      <c r="U149" s="114" t="n"/>
      <c r="V149" s="114" t="n"/>
      <c r="W149" s="115" t="n"/>
      <c r="X149" s="115" t="n"/>
    </row>
    <row r="150" ht="17" customHeight="1">
      <c r="A150" s="113" t="inlineStr">
        <is>
          <t>calculate</t>
        </is>
      </c>
      <c r="B150" s="113" t="inlineStr">
        <is>
          <t>callback_time</t>
        </is>
      </c>
      <c r="C150" s="116" t="inlineStr">
        <is>
          <t>Formats the "temp_reschedule" value for publishing.</t>
        </is>
      </c>
      <c r="D150" s="114" t="n"/>
      <c r="E150" s="115" t="n"/>
      <c r="F150" s="115" t="n"/>
      <c r="G150" s="114" t="n"/>
      <c r="H150" s="114" t="n"/>
      <c r="I150" s="116" t="n"/>
      <c r="J150" s="113" t="n"/>
      <c r="K150" s="115" t="n"/>
      <c r="L150" s="114" t="n"/>
      <c r="M150" s="115" t="n"/>
      <c r="N150" s="116" t="inlineStr">
        <is>
          <t>format-date-time(${temp_resched}, '%Y-%m-%d %H:%M')</t>
        </is>
      </c>
      <c r="O150" s="115" t="n"/>
      <c r="P150" s="115" t="n"/>
      <c r="Q150" s="115" t="n"/>
      <c r="R150" s="115" t="n"/>
      <c r="S150" s="114" t="n"/>
      <c r="T150" s="115" t="n"/>
      <c r="U150" s="114" t="n"/>
      <c r="V150" s="114" t="n"/>
      <c r="W150" s="115" t="n"/>
      <c r="X150" s="115" t="n"/>
    </row>
    <row r="151" ht="153" customHeight="1">
      <c r="A151" s="113" t="inlineStr">
        <is>
          <t>note</t>
        </is>
      </c>
      <c r="B151" s="113" t="inlineStr">
        <is>
          <t>note_end_resched</t>
        </is>
      </c>
      <c r="C151" s="116" t="inlineStr">
        <is>
          <t>Thank you so much for taking your time to speak with us. 
&lt;br&gt;&lt;br&gt;
I look forward to calling you back on &lt;font color="#14b14b"&gt;&lt;b&gt;&lt;u&gt;${callback_time}&lt;/u&gt;&lt;/b&gt;&lt;/font&gt;.
&lt;br&gt;&lt;br&gt;
Have a wonderful day!</t>
        </is>
      </c>
      <c r="D151" s="114" t="n"/>
      <c r="E151" s="115" t="n"/>
      <c r="F151" s="115" t="n"/>
      <c r="G151" s="114" t="n"/>
      <c r="H151" s="114" t="n"/>
      <c r="I151" s="116" t="n"/>
      <c r="J151" s="113" t="n"/>
      <c r="K151" s="115" t="n"/>
      <c r="L151" s="114" t="n"/>
      <c r="M151" s="115" t="n"/>
      <c r="N151" s="114" t="n"/>
      <c r="O151" s="115" t="n"/>
      <c r="P151" s="115" t="n"/>
      <c r="Q151" s="115" t="n"/>
      <c r="R151" s="115" t="n"/>
      <c r="S151" s="114" t="n"/>
      <c r="T151" s="115" t="n"/>
      <c r="U151" s="114" t="n"/>
      <c r="V151" s="114" t="n"/>
      <c r="W151" s="115" t="n"/>
      <c r="X151" s="115" t="n"/>
    </row>
    <row r="152" ht="119" customHeight="1">
      <c r="A152" s="113" t="inlineStr">
        <is>
          <t>note</t>
        </is>
      </c>
      <c r="B152" s="113" t="inlineStr">
        <is>
          <t>note_callback_time</t>
        </is>
      </c>
      <c r="C152" s="116" t="inlineStr">
        <is>
          <t>&lt;p&gt;&lt;span style="color: #3366ff;"&gt;&lt;strong&gt;INSTRUCTIONS:&lt;/strong&gt;&lt;/span&gt;&lt;/p&gt;
&lt;br&gt; &lt;br&gt;
&lt;p&gt;&lt;span style="color: #3366ff;"&gt;You set an appointment to call the household back on &lt;b&gt;&lt;u&gt;${callback_time}&lt;/u&gt;&lt;/b&gt;. Please screenshot this page or note the appointment in your calendar.&lt;/span&gt;&lt;/p&gt;</t>
        </is>
      </c>
      <c r="D152" s="114" t="n"/>
      <c r="E152" s="115" t="n"/>
      <c r="F152" s="115" t="n"/>
      <c r="G152" s="114" t="n"/>
      <c r="H152" s="114" t="n"/>
      <c r="I152" s="116" t="n"/>
      <c r="J152" s="113" t="n"/>
      <c r="K152" s="115" t="n"/>
      <c r="L152" s="114" t="n"/>
      <c r="M152" s="115" t="n"/>
      <c r="N152" s="114" t="n"/>
      <c r="O152" s="115" t="n"/>
      <c r="P152" s="115" t="n"/>
      <c r="Q152" s="115" t="n"/>
      <c r="R152" s="115" t="n"/>
      <c r="S152" s="114" t="n"/>
      <c r="T152" s="115" t="n"/>
      <c r="U152" s="114" t="n"/>
      <c r="V152" s="114" t="n"/>
      <c r="W152" s="115" t="n"/>
      <c r="X152" s="115" t="n"/>
    </row>
    <row r="153">
      <c r="A153" s="113" t="inlineStr">
        <is>
          <t>end group</t>
        </is>
      </c>
      <c r="B153" s="113" t="inlineStr">
        <is>
          <t>reschedule</t>
        </is>
      </c>
      <c r="C153" s="116" t="n"/>
      <c r="D153" s="114" t="n"/>
      <c r="E153" s="115" t="n"/>
      <c r="F153" s="115" t="n"/>
      <c r="G153" s="114" t="n"/>
      <c r="H153" s="114" t="n"/>
      <c r="I153" s="116" t="n"/>
      <c r="J153" s="113" t="n"/>
      <c r="K153" s="115" t="n"/>
      <c r="L153" s="114" t="n"/>
      <c r="M153" s="115" t="n"/>
      <c r="N153" s="114" t="n"/>
      <c r="O153" s="115" t="n"/>
      <c r="P153" s="115" t="n"/>
      <c r="Q153" s="115" t="n"/>
      <c r="R153" s="115" t="n"/>
      <c r="S153" s="114" t="n"/>
      <c r="T153" s="115" t="n"/>
      <c r="U153" s="114" t="n"/>
      <c r="V153" s="114" t="n"/>
      <c r="W153" s="115" t="n"/>
      <c r="X153" s="115" t="n"/>
    </row>
    <row r="154">
      <c r="A154" s="115" t="n"/>
      <c r="B154" s="115" t="n"/>
      <c r="C154" s="114" t="n"/>
      <c r="D154" s="114" t="n"/>
      <c r="E154" s="115" t="n"/>
      <c r="F154" s="115" t="n"/>
      <c r="G154" s="114" t="n"/>
      <c r="H154" s="114" t="n"/>
      <c r="I154" s="114" t="n"/>
      <c r="J154" s="115" t="n"/>
      <c r="K154" s="115" t="n"/>
      <c r="L154" s="114" t="n"/>
      <c r="M154" s="115" t="n"/>
      <c r="N154" s="114" t="n"/>
      <c r="O154" s="115" t="n"/>
      <c r="P154" s="115" t="n"/>
      <c r="Q154" s="115" t="n"/>
      <c r="R154" s="115" t="n"/>
      <c r="S154" s="114" t="n"/>
      <c r="T154" s="115" t="n"/>
      <c r="U154" s="114" t="n"/>
      <c r="V154" s="114" t="n"/>
      <c r="W154" s="115" t="n"/>
      <c r="X154" s="115" t="n"/>
    </row>
    <row r="155" ht="17" customHeight="1">
      <c r="A155" s="113" t="inlineStr">
        <is>
          <t>begin group</t>
        </is>
      </c>
      <c r="B155" s="113" t="inlineStr">
        <is>
          <t>levelling_num</t>
        </is>
      </c>
      <c r="C155" s="117" t="inlineStr">
        <is>
          <t>Start of levelling assessment</t>
        </is>
      </c>
      <c r="D155" s="114" t="n"/>
      <c r="E155" s="115" t="n"/>
      <c r="F155" s="115" t="n"/>
      <c r="G155" s="114" t="n"/>
      <c r="H155" s="114" t="n"/>
      <c r="I155" s="116" t="inlineStr">
        <is>
          <t>${stud_avail} = 1 or ${stud_avail2} = 1</t>
        </is>
      </c>
      <c r="J155" s="115" t="n"/>
      <c r="K155" s="115" t="n"/>
      <c r="L155" s="114" t="n"/>
      <c r="M155" s="115" t="n"/>
      <c r="N155" s="114" t="n"/>
      <c r="O155" s="115" t="n"/>
      <c r="P155" s="115" t="n"/>
      <c r="Q155" s="115" t="n"/>
      <c r="R155" s="115" t="n"/>
      <c r="S155" s="114" t="n"/>
      <c r="T155" s="115" t="n"/>
      <c r="U155" s="114" t="n"/>
      <c r="V155" s="114" t="n"/>
      <c r="W155" s="115" t="n"/>
      <c r="X155" s="115" t="n"/>
    </row>
    <row r="156" ht="17" customHeight="1">
      <c r="A156" s="113" t="inlineStr">
        <is>
          <t>begin group</t>
        </is>
      </c>
      <c r="B156" s="113" t="inlineStr">
        <is>
          <t>intro_levelling_care</t>
        </is>
      </c>
      <c r="C156" s="114" t="n"/>
      <c r="D156" s="114" t="n"/>
      <c r="E156" s="115" t="n"/>
      <c r="F156" s="113" t="inlineStr">
        <is>
          <t>field-list</t>
        </is>
      </c>
      <c r="G156" s="114" t="n"/>
      <c r="H156" s="114" t="n"/>
      <c r="I156" s="114" t="n"/>
      <c r="J156" s="115" t="n"/>
      <c r="K156" s="115" t="n"/>
      <c r="L156" s="114" t="n"/>
      <c r="M156" s="115" t="n"/>
      <c r="N156" s="114" t="n"/>
      <c r="O156" s="115" t="n"/>
      <c r="P156" s="115" t="n"/>
      <c r="Q156" s="115" t="n"/>
      <c r="R156" s="115" t="n"/>
      <c r="S156" s="114" t="n"/>
      <c r="T156" s="115" t="n"/>
      <c r="U156" s="114" t="n"/>
      <c r="V156" s="114" t="n"/>
      <c r="W156" s="115" t="n"/>
      <c r="X156" s="115" t="n"/>
    </row>
    <row r="157" ht="238" customHeight="1">
      <c r="A157" s="113" t="inlineStr">
        <is>
          <t>note</t>
        </is>
      </c>
      <c r="B157" s="113" t="inlineStr">
        <is>
          <t>note_intro_levelling_care</t>
        </is>
      </c>
      <c r="C157" s="117" t="inlineStr">
        <is>
          <t>Can you please call &lt;font color="#14b14b"&gt;&lt;b&gt;&lt;u&gt;${stud_name}&lt;/u&gt;&lt;/b&gt;&lt;/font&gt; over and:
&lt;br&gt;&lt;br&gt;
&lt;ul&gt;
&lt;li&gt;have a pencil and paper ready,&lt;/li&gt;
&lt;li&gt;put me on speaker, and&lt;/li&gt;
&lt;li&gt;refrain from helping &lt;font color="#14b14b"&gt;&lt;b&gt;&lt;u&gt;${stud_name}&lt;/u&gt;&lt;/b&gt;&lt;/font&gt; when she/he is solving.&lt;/li&gt;
&lt;/ul&gt;
&lt;br&gt;&lt;br&gt;
&lt;b&gt;This is not an exam, so it's okay if your child does not get the answers correct.&lt;/b&gt;</t>
        </is>
      </c>
      <c r="D157" s="114" t="n"/>
      <c r="E157" s="115" t="n"/>
      <c r="F157" s="115" t="n"/>
      <c r="G157" s="114" t="n"/>
      <c r="H157" s="114" t="n"/>
      <c r="I157" s="114" t="n"/>
      <c r="J157" s="115" t="n"/>
      <c r="K157" s="115" t="n"/>
      <c r="L157" s="114" t="n"/>
      <c r="M157" s="115" t="n"/>
      <c r="N157" s="114" t="n"/>
      <c r="O157" s="115" t="n"/>
      <c r="P157" s="115" t="n"/>
      <c r="Q157" s="115" t="n"/>
      <c r="R157" s="115" t="n"/>
      <c r="S157" s="114" t="n"/>
      <c r="T157" s="115" t="n"/>
      <c r="U157" s="114" t="n"/>
      <c r="V157" s="114" t="n"/>
      <c r="W157" s="115" t="n"/>
      <c r="X157" s="115" t="n"/>
    </row>
    <row r="158" ht="187" customHeight="1">
      <c r="A158" s="113" t="inlineStr">
        <is>
          <t>select_one yesno</t>
        </is>
      </c>
      <c r="B158" s="113" t="inlineStr">
        <is>
          <t>confirm_stud_avail</t>
        </is>
      </c>
      <c r="C158" s="117" t="inlineStr">
        <is>
          <t>&lt;p&gt;&lt;span style="color: #3366ff;"&gt;&lt;strong&gt;INSTRUCTIONS:&lt;/strong&gt;&lt;/span&gt;&lt;/p&gt;
&lt;br&gt;&lt;br&gt;
&lt;p&gt;&lt;span style="color: #3366ff;"&gt;Click "Yes" to confirm that the child is on the phone, so you can move on to the assessment.&lt;/span&gt;&lt;/p&gt;
&lt;br&gt;&lt;br&gt;
&lt;p&gt;&lt;span style="color: #3366ff;"&gt;Otherwise, go back to the previous fields and choose "No" (the student is not available) and re-schedule the call.&lt;/span&gt;&lt;/p&gt;</t>
        </is>
      </c>
      <c r="D158" s="114" t="n"/>
      <c r="E158" s="115" t="n"/>
      <c r="F158" s="115" t="n"/>
      <c r="G158" s="114" t="n"/>
      <c r="H158" s="114" t="n"/>
      <c r="I158" s="114" t="n"/>
      <c r="J158" s="115" t="n"/>
      <c r="K158" s="115" t="n"/>
      <c r="L158" s="114" t="n"/>
      <c r="M158" s="115" t="n"/>
      <c r="N158" s="114" t="n"/>
      <c r="O158" s="115" t="n"/>
      <c r="P158" s="115" t="n"/>
      <c r="Q158" s="115" t="n"/>
      <c r="R158" s="115" t="n"/>
      <c r="S158" s="114" t="n"/>
      <c r="T158" s="113" t="inlineStr">
        <is>
          <t>filter = 1</t>
        </is>
      </c>
      <c r="U158" s="114" t="n"/>
      <c r="V158" s="114" t="n"/>
      <c r="W158" s="115" t="n"/>
      <c r="X158" s="115" t="n"/>
    </row>
    <row r="159">
      <c r="A159" s="113" t="inlineStr">
        <is>
          <t>end group</t>
        </is>
      </c>
      <c r="B159" s="113" t="inlineStr">
        <is>
          <t>intro_levelling_care</t>
        </is>
      </c>
      <c r="C159" s="114" t="n"/>
      <c r="D159" s="114" t="n"/>
      <c r="E159" s="115" t="n"/>
      <c r="F159" s="115" t="n"/>
      <c r="G159" s="114" t="n"/>
      <c r="H159" s="114" t="n"/>
      <c r="I159" s="114" t="n"/>
      <c r="J159" s="115" t="n"/>
      <c r="K159" s="115" t="n"/>
      <c r="L159" s="114" t="n"/>
      <c r="M159" s="115" t="n"/>
      <c r="N159" s="114" t="n"/>
      <c r="O159" s="115" t="n"/>
      <c r="P159" s="115" t="n"/>
      <c r="Q159" s="115" t="n"/>
      <c r="R159" s="115" t="n"/>
      <c r="S159" s="114" t="n"/>
      <c r="T159" s="115" t="n"/>
      <c r="U159" s="114" t="n"/>
      <c r="V159" s="114" t="n"/>
      <c r="W159" s="115" t="n"/>
      <c r="X159" s="115" t="n"/>
    </row>
    <row r="160" ht="17" customHeight="1">
      <c r="A160" s="113" t="inlineStr">
        <is>
          <t>begin group</t>
        </is>
      </c>
      <c r="B160" s="113" t="inlineStr">
        <is>
          <t>intro_levelling_stud</t>
        </is>
      </c>
      <c r="C160" s="114" t="n"/>
      <c r="D160" s="114" t="n"/>
      <c r="E160" s="115" t="n"/>
      <c r="F160" s="113" t="inlineStr">
        <is>
          <t>field-list</t>
        </is>
      </c>
      <c r="G160" s="114" t="n"/>
      <c r="H160" s="114" t="n"/>
      <c r="I160" s="114" t="n"/>
      <c r="J160" s="115" t="n"/>
      <c r="K160" s="115" t="n"/>
      <c r="L160" s="114" t="n"/>
      <c r="M160" s="115" t="n"/>
      <c r="N160" s="114" t="n"/>
      <c r="O160" s="115" t="n"/>
      <c r="P160" s="115" t="n"/>
      <c r="Q160" s="115" t="n"/>
      <c r="R160" s="115" t="n"/>
      <c r="S160" s="114" t="n"/>
      <c r="T160" s="115" t="n"/>
      <c r="U160" s="114" t="n"/>
      <c r="V160" s="114" t="n"/>
      <c r="W160" s="115" t="n"/>
      <c r="X160" s="115" t="n"/>
    </row>
    <row r="161" ht="170" customHeight="1">
      <c r="A161" s="113" t="inlineStr">
        <is>
          <t>note</t>
        </is>
      </c>
      <c r="B161" s="113" t="inlineStr">
        <is>
          <t>note_intro_levelling_stud</t>
        </is>
      </c>
      <c r="C161" s="117" t="inlineStr">
        <is>
          <t>Hi, &lt;font color="#14b14b"&gt;&lt;b&gt;&lt;u&gt;${stud_name}&lt;/u&gt;&lt;/b&gt;&lt;/font&gt;!
&lt;br&gt;&lt;br&gt;
My name is Teacher &lt;font color="#14b14b"&gt;&lt;b&gt;&lt;u&gt;${facilitator_e}&lt;/u&gt;&lt;/b&gt;&lt;/font&gt;. Today, I would like to play a quick game with you. 
&lt;br&gt;&lt;br&gt;
Do you have a pencil and paper with you?</t>
        </is>
      </c>
      <c r="D161" s="114" t="n"/>
      <c r="E161" s="115" t="n"/>
      <c r="F161" s="115" t="n"/>
      <c r="G161" s="114" t="n"/>
      <c r="H161" s="114" t="n"/>
      <c r="I161" s="114" t="n"/>
      <c r="J161" s="115" t="n"/>
      <c r="K161" s="115" t="n"/>
      <c r="L161" s="114" t="n"/>
      <c r="M161" s="115" t="n"/>
      <c r="N161" s="114" t="n"/>
      <c r="O161" s="115" t="n"/>
      <c r="P161" s="115" t="n"/>
      <c r="Q161" s="115" t="n"/>
      <c r="R161" s="115" t="n"/>
      <c r="S161" s="114" t="n"/>
      <c r="T161" s="115" t="n"/>
      <c r="U161" s="114" t="n"/>
      <c r="V161" s="114" t="n"/>
      <c r="W161" s="115" t="n"/>
      <c r="X161" s="115" t="n"/>
    </row>
    <row r="162" ht="372" customHeight="1">
      <c r="A162" s="113" t="inlineStr">
        <is>
          <t>note</t>
        </is>
      </c>
      <c r="B162" s="113" t="inlineStr">
        <is>
          <t>note_intro_levelling_stud_instructions</t>
        </is>
      </c>
      <c r="C162" s="117" t="inlineStr">
        <is>
          <t>&lt;p&gt;&lt;span style="color: #3366ff;"&gt;&lt;b&gt;INSTRUCTIONS:&lt;/b&gt;&lt;/span&gt;&lt;/p&gt;
&lt;br&gt;&lt;br&gt;
&lt;ul&gt;
&lt;li&gt;&lt;span style="color: #3366ff;"&gt;Wait until the child confirms they have a pen and paper before moving to the questions.&lt;/span&gt;&lt;/li&gt;
&lt;li&gt;&lt;span style="color: #3366ff;"&gt;If you think the caregiver might be helping the child to answer questions, kindly ask them to let the child answer questions independently.&lt;/span&gt;&lt;/li&gt;
&lt;li&gt;&lt;span style="color: #3366ff;"&gt;If you suspect that a child has gotten extra help from a caregiver or calculator, ask the child to explain the answer to you.&lt;/span&gt;&lt;/li&gt;
&lt;li&gt;&lt;span style="color: #3366ff;"&gt;Give the child &lt;strong&gt;&lt;u&gt;30 seconds&lt;/u&gt;&lt;/strong&gt; to answer the place value question, and &lt;strong&gt;2 minutes&lt;/strong&gt; to answer the questions for each operation.&lt;/span&gt;&lt;/li&gt;
&lt;li&gt;&lt;span style="color: #3366ff;"&gt;Do not inform the child if they got the right or wrong answer. If they ask, respond only after the assessment.&lt;/span&gt;&lt;/li&gt;
&lt;/ul&gt;
&lt;br&gt;&lt;br&gt;
&lt;p&gt;&lt;span style="color: #3366ff;"&gt;&lt;i&gt;Re-assure the child and her/his caregiver that this is not a test, but  a game to help deliver the right level of content during tutorial. Remind caregivers not to help the child.&lt;/i&gt;&lt;/span&gt; &lt;/p&gt;</t>
        </is>
      </c>
      <c r="D162" s="114" t="n"/>
      <c r="E162" s="115" t="n"/>
      <c r="F162" s="115" t="n"/>
      <c r="G162" s="114" t="n"/>
      <c r="H162" s="114" t="n"/>
      <c r="I162" s="114" t="n"/>
      <c r="J162" s="115" t="n"/>
      <c r="K162" s="115" t="n"/>
      <c r="L162" s="114" t="n"/>
      <c r="M162" s="115" t="n"/>
      <c r="N162" s="114" t="n"/>
      <c r="O162" s="115" t="n"/>
      <c r="P162" s="115" t="n"/>
      <c r="Q162" s="115" t="n"/>
      <c r="R162" s="115" t="n"/>
      <c r="S162" s="114" t="n"/>
      <c r="T162" s="115" t="n"/>
      <c r="U162" s="114" t="n"/>
      <c r="V162" s="114" t="n"/>
      <c r="W162" s="115" t="n"/>
      <c r="X162" s="115" t="n"/>
    </row>
    <row r="163">
      <c r="A163" s="113" t="inlineStr">
        <is>
          <t>end group</t>
        </is>
      </c>
      <c r="B163" s="113" t="inlineStr">
        <is>
          <t>intro_levelling_stud</t>
        </is>
      </c>
      <c r="C163" s="114" t="n"/>
      <c r="D163" s="114" t="n"/>
      <c r="E163" s="115" t="n"/>
      <c r="F163" s="115" t="n"/>
      <c r="G163" s="114" t="n"/>
      <c r="H163" s="114" t="n"/>
      <c r="I163" s="114" t="n"/>
      <c r="J163" s="115" t="n"/>
      <c r="K163" s="115" t="n"/>
      <c r="L163" s="114" t="n"/>
      <c r="M163" s="115" t="n"/>
      <c r="N163" s="114" t="n"/>
      <c r="O163" s="115" t="n"/>
      <c r="P163" s="115" t="n"/>
      <c r="Q163" s="115" t="n"/>
      <c r="R163" s="115" t="n"/>
      <c r="S163" s="114" t="n"/>
      <c r="T163" s="115" t="n"/>
      <c r="U163" s="114" t="n"/>
      <c r="V163" s="114" t="n"/>
      <c r="W163" s="115" t="n"/>
      <c r="X163" s="115" t="n"/>
    </row>
    <row r="164">
      <c r="A164" s="113" t="inlineStr">
        <is>
          <t>calculate_here</t>
        </is>
      </c>
      <c r="B164" s="113" t="inlineStr">
        <is>
          <t>start_levelling_num</t>
        </is>
      </c>
      <c r="C164" s="114" t="n"/>
      <c r="D164" s="114" t="n"/>
      <c r="E164" s="115" t="n"/>
      <c r="F164" s="115" t="n"/>
      <c r="G164" s="114" t="n"/>
      <c r="H164" s="114" t="n"/>
      <c r="I164" s="114" t="n"/>
      <c r="J164" s="115" t="n"/>
      <c r="K164" s="115" t="n"/>
      <c r="L164" s="114" t="n"/>
      <c r="M164" s="115" t="n"/>
      <c r="N164" s="116" t="inlineStr">
        <is>
          <t>once(duration())</t>
        </is>
      </c>
      <c r="O164" s="115" t="n"/>
      <c r="P164" s="115" t="n"/>
      <c r="Q164" s="115" t="n"/>
      <c r="R164" s="115" t="n"/>
      <c r="S164" s="114" t="n"/>
      <c r="T164" s="115" t="n"/>
      <c r="U164" s="114" t="n"/>
      <c r="V164" s="114" t="n"/>
      <c r="W164" s="115" t="n"/>
      <c r="X164" s="115" t="n"/>
    </row>
    <row r="165">
      <c r="A165" s="113" t="inlineStr">
        <is>
          <t>calculate_here</t>
        </is>
      </c>
      <c r="B165" s="113" t="inlineStr">
        <is>
          <t>start_stud_pv</t>
        </is>
      </c>
      <c r="C165" s="114" t="n"/>
      <c r="D165" s="114" t="n"/>
      <c r="E165" s="115" t="n"/>
      <c r="F165" s="115" t="n"/>
      <c r="G165" s="114" t="n"/>
      <c r="H165" s="114" t="n"/>
      <c r="I165" s="114" t="n"/>
      <c r="J165" s="115" t="n"/>
      <c r="K165" s="115" t="n"/>
      <c r="L165" s="114" t="n"/>
      <c r="M165" s="115" t="n"/>
      <c r="N165" s="116" t="inlineStr">
        <is>
          <t>once(duration())</t>
        </is>
      </c>
      <c r="O165" s="115" t="n"/>
      <c r="P165" s="115" t="n"/>
      <c r="Q165" s="115" t="n"/>
      <c r="R165" s="115" t="n"/>
      <c r="S165" s="114" t="n"/>
      <c r="T165" s="115" t="n"/>
      <c r="U165" s="114" t="n"/>
      <c r="V165" s="114" t="n"/>
      <c r="W165" s="115" t="n"/>
      <c r="X165" s="115" t="n"/>
    </row>
    <row r="166" ht="306" customHeight="1">
      <c r="A166" s="113" t="inlineStr">
        <is>
          <t>select_one levelling</t>
        </is>
      </c>
      <c r="B166" s="113" t="inlineStr">
        <is>
          <t>stud_pv</t>
        </is>
      </c>
      <c r="C166" s="117" t="inlineStr">
        <is>
          <t xml:space="preserve">
Nice! Let's proceed!
&lt;br&gt;&lt;br&gt;
&lt;p style="font-weight:bold;font-size:14pt;text-align:center;"&gt;I have 48 mangoes. In the number 48, how many TENS do I have?&lt;/p&gt;
&lt;br&gt;
What did you get as the answer? &lt;p&gt;&lt;span style="color: #3366ff;"&gt;&lt;b&gt;(Ans: 4)&lt;/b&gt;&lt;/span&gt;&lt;/p&gt;
&lt;br&gt;&lt;br&gt;
&lt;hr&gt;
&lt;br&gt;&lt;br&gt;
&lt;p&gt;&lt;span style="color: #3366ff;"&gt;&lt;strong&gt;INSTRUCTIONS:&lt;/strong&gt; Record if the student got the answer right, then proceed to the next field.&lt;/span&gt;&lt;/p&gt;</t>
        </is>
      </c>
      <c r="D166" s="114" t="n"/>
      <c r="E166" s="115" t="n"/>
      <c r="F166" s="115" t="n"/>
      <c r="G166" s="114" t="n"/>
      <c r="H166" s="114" t="n"/>
      <c r="I166" s="114" t="n"/>
      <c r="J166" s="115" t="n"/>
      <c r="K166" s="113" t="inlineStr">
        <is>
          <t>yes</t>
        </is>
      </c>
      <c r="L166" s="114" t="n"/>
      <c r="M166" s="115" t="n"/>
      <c r="N166" s="114" t="n"/>
      <c r="O166" s="115" t="n"/>
      <c r="P166" s="115" t="n"/>
      <c r="Q166" s="115" t="n"/>
      <c r="R166" s="115" t="n"/>
      <c r="S166" s="114" t="n"/>
      <c r="T166" s="115" t="n"/>
      <c r="U166" s="114" t="n"/>
      <c r="V166" s="114" t="n"/>
      <c r="W166" s="115" t="n"/>
      <c r="X166" s="115" t="n"/>
    </row>
    <row r="167">
      <c r="A167" s="113" t="inlineStr">
        <is>
          <t>calculate_here</t>
        </is>
      </c>
      <c r="B167" s="113" t="inlineStr">
        <is>
          <t>end_stud_pv</t>
        </is>
      </c>
      <c r="C167" s="114" t="n"/>
      <c r="D167" s="114" t="n"/>
      <c r="E167" s="115" t="n"/>
      <c r="F167" s="115" t="n"/>
      <c r="G167" s="114" t="n"/>
      <c r="H167" s="114" t="n"/>
      <c r="I167" s="114" t="n"/>
      <c r="J167" s="115" t="n"/>
      <c r="K167" s="115" t="n"/>
      <c r="L167" s="114" t="n"/>
      <c r="M167" s="115" t="n"/>
      <c r="N167" s="116" t="inlineStr">
        <is>
          <t>once(duration())</t>
        </is>
      </c>
      <c r="O167" s="115" t="n"/>
      <c r="P167" s="115" t="n"/>
      <c r="Q167" s="115" t="n"/>
      <c r="R167" s="115" t="n"/>
      <c r="S167" s="114" t="n"/>
      <c r="T167" s="115" t="n"/>
      <c r="U167" s="114" t="n"/>
      <c r="V167" s="114" t="n"/>
      <c r="W167" s="115" t="n"/>
      <c r="X167" s="115" t="n"/>
    </row>
    <row r="168" ht="17" customHeight="1">
      <c r="A168" s="113" t="inlineStr">
        <is>
          <t>calculate</t>
        </is>
      </c>
      <c r="B168" s="113" t="inlineStr">
        <is>
          <t>duration_stud_pv_e</t>
        </is>
      </c>
      <c r="C168" s="117" t="inlineStr">
        <is>
          <t>Time spent in seconds on the question.</t>
        </is>
      </c>
      <c r="D168" s="114" t="n"/>
      <c r="E168" s="115" t="n"/>
      <c r="F168" s="115" t="n"/>
      <c r="G168" s="114" t="n"/>
      <c r="H168" s="114" t="n"/>
      <c r="I168" s="114" t="n"/>
      <c r="J168" s="115" t="n"/>
      <c r="K168" s="115" t="n"/>
      <c r="L168" s="114" t="n"/>
      <c r="M168" s="115" t="n"/>
      <c r="N168" s="116" t="inlineStr">
        <is>
          <t>${end_stud_pv} - ${start_stud_pv}</t>
        </is>
      </c>
      <c r="O168" s="115" t="n"/>
      <c r="P168" s="115" t="n"/>
      <c r="Q168" s="115" t="n"/>
      <c r="R168" s="115" t="n"/>
      <c r="S168" s="114" t="n"/>
      <c r="T168" s="115" t="n"/>
      <c r="U168" s="114" t="n"/>
      <c r="V168" s="114" t="n"/>
      <c r="W168" s="115" t="n"/>
      <c r="X168" s="115" t="n"/>
    </row>
    <row r="169">
      <c r="A169" s="113" t="inlineStr">
        <is>
          <t>calculate_here</t>
        </is>
      </c>
      <c r="B169" s="113" t="inlineStr">
        <is>
          <t>start_stud_add</t>
        </is>
      </c>
      <c r="C169" s="114" t="n"/>
      <c r="D169" s="114" t="n"/>
      <c r="E169" s="115" t="n"/>
      <c r="F169" s="115" t="n"/>
      <c r="G169" s="114" t="n"/>
      <c r="H169" s="114" t="n"/>
      <c r="I169" s="114" t="n"/>
      <c r="J169" s="115" t="n"/>
      <c r="K169" s="115" t="n"/>
      <c r="L169" s="114" t="n"/>
      <c r="M169" s="115" t="n"/>
      <c r="N169" s="116" t="inlineStr">
        <is>
          <t>once(duration())</t>
        </is>
      </c>
      <c r="O169" s="115" t="n"/>
      <c r="P169" s="115" t="n"/>
      <c r="Q169" s="115" t="n"/>
      <c r="R169" s="115" t="n"/>
      <c r="S169" s="114" t="n"/>
      <c r="T169" s="115" t="n"/>
      <c r="U169" s="114" t="n"/>
      <c r="V169" s="114" t="n"/>
      <c r="W169" s="115" t="n"/>
      <c r="X169" s="115" t="n"/>
    </row>
    <row r="170" ht="272" customHeight="1">
      <c r="A170" s="113" t="inlineStr">
        <is>
          <t>select_one levelling</t>
        </is>
      </c>
      <c r="B170" s="113" t="inlineStr">
        <is>
          <t>stud_add</t>
        </is>
      </c>
      <c r="C170" s="117" t="inlineStr">
        <is>
          <t xml:space="preserve">Nice job! Can you solve:
&lt;br&gt;&lt;br&gt;
&lt;p style="font-weight:bold;font-size:24pt;text-align:center;"&gt;53 + 38 = ?&lt;/p&gt;
&lt;br&gt;
What did you get as the answer? &lt;p&gt;&lt;span style="color: #3366ff;"&gt;&lt;b&gt;(Ans: 91) &lt;/b&gt;&lt;/span&gt;&lt;/p&gt;
&lt;br&gt;&lt;br&gt;
&lt;hr&gt;
&lt;br&gt;&lt;br&gt;
&lt;p&gt;&lt;span style="color: #3366ff;"&gt;&lt;strong&gt;INSTRUCTIONS:&lt;/strong&gt; Record if the student got the answer right, then proceed to the next field.&lt;/span&gt;&lt;/p&gt; </t>
        </is>
      </c>
      <c r="D170" s="114" t="n"/>
      <c r="E170" s="115" t="n"/>
      <c r="F170" s="115" t="n"/>
      <c r="G170" s="114" t="n"/>
      <c r="H170" s="114" t="n"/>
      <c r="I170" s="114" t="n"/>
      <c r="J170" s="115" t="n"/>
      <c r="K170" s="113" t="inlineStr">
        <is>
          <t>yes</t>
        </is>
      </c>
      <c r="L170" s="114" t="n"/>
      <c r="M170" s="115" t="n"/>
      <c r="N170" s="114" t="n"/>
      <c r="O170" s="115" t="n"/>
      <c r="P170" s="115" t="n"/>
      <c r="Q170" s="115" t="n"/>
      <c r="R170" s="115" t="n"/>
      <c r="S170" s="114" t="n"/>
      <c r="T170" s="115" t="n"/>
      <c r="U170" s="114" t="n"/>
      <c r="V170" s="114" t="n"/>
      <c r="W170" s="115" t="n"/>
      <c r="X170" s="115" t="n"/>
    </row>
    <row r="171">
      <c r="A171" s="113" t="inlineStr">
        <is>
          <t>calculate_here</t>
        </is>
      </c>
      <c r="B171" s="113" t="inlineStr">
        <is>
          <t>end_stud_add</t>
        </is>
      </c>
      <c r="C171" s="114" t="n"/>
      <c r="D171" s="114" t="n"/>
      <c r="E171" s="115" t="n"/>
      <c r="F171" s="115" t="n"/>
      <c r="G171" s="114" t="n"/>
      <c r="H171" s="114" t="n"/>
      <c r="I171" s="114" t="n"/>
      <c r="J171" s="115" t="n"/>
      <c r="K171" s="115" t="n"/>
      <c r="L171" s="114" t="n"/>
      <c r="M171" s="115" t="n"/>
      <c r="N171" s="116" t="inlineStr">
        <is>
          <t>once(duration())</t>
        </is>
      </c>
      <c r="O171" s="115" t="n"/>
      <c r="P171" s="115" t="n"/>
      <c r="Q171" s="115" t="n"/>
      <c r="R171" s="115" t="n"/>
      <c r="S171" s="114" t="n"/>
      <c r="T171" s="115" t="n"/>
      <c r="U171" s="114" t="n"/>
      <c r="V171" s="114" t="n"/>
      <c r="W171" s="115" t="n"/>
      <c r="X171" s="115" t="n"/>
    </row>
    <row r="172" ht="17" customHeight="1">
      <c r="A172" s="113" t="inlineStr">
        <is>
          <t>calculate</t>
        </is>
      </c>
      <c r="B172" s="113" t="inlineStr">
        <is>
          <t>duration_stud_add_e</t>
        </is>
      </c>
      <c r="C172" s="117" t="inlineStr">
        <is>
          <t>Time spent in seconds on the question.</t>
        </is>
      </c>
      <c r="D172" s="114" t="n"/>
      <c r="E172" s="115" t="n"/>
      <c r="F172" s="115" t="n"/>
      <c r="G172" s="114" t="n"/>
      <c r="H172" s="114" t="n"/>
      <c r="I172" s="114" t="n"/>
      <c r="J172" s="115" t="n"/>
      <c r="K172" s="115" t="n"/>
      <c r="L172" s="114" t="n"/>
      <c r="M172" s="115" t="n"/>
      <c r="N172" s="116" t="inlineStr">
        <is>
          <t>${end_stud_add} - ${start_stud_add}</t>
        </is>
      </c>
      <c r="O172" s="115" t="n"/>
      <c r="P172" s="115" t="n"/>
      <c r="Q172" s="115" t="n"/>
      <c r="R172" s="115" t="n"/>
      <c r="S172" s="114" t="n"/>
      <c r="T172" s="115" t="n"/>
      <c r="U172" s="114" t="n"/>
      <c r="V172" s="114" t="n"/>
      <c r="W172" s="115" t="n"/>
      <c r="X172" s="115" t="n"/>
    </row>
    <row r="173">
      <c r="A173" s="113" t="inlineStr">
        <is>
          <t>calculate_here</t>
        </is>
      </c>
      <c r="B173" s="113" t="inlineStr">
        <is>
          <t>start_stud_sub</t>
        </is>
      </c>
      <c r="C173" s="114" t="n"/>
      <c r="D173" s="114" t="n"/>
      <c r="E173" s="115" t="n"/>
      <c r="F173" s="115" t="n"/>
      <c r="G173" s="114" t="n"/>
      <c r="H173" s="114" t="n"/>
      <c r="I173" s="114" t="n"/>
      <c r="J173" s="115" t="n"/>
      <c r="K173" s="115" t="n"/>
      <c r="L173" s="114" t="n"/>
      <c r="M173" s="115" t="n"/>
      <c r="N173" s="116" t="inlineStr">
        <is>
          <t>once(duration())</t>
        </is>
      </c>
      <c r="O173" s="115" t="n"/>
      <c r="P173" s="115" t="n"/>
      <c r="Q173" s="115" t="n"/>
      <c r="R173" s="115" t="n"/>
      <c r="S173" s="114" t="n"/>
      <c r="T173" s="115" t="n"/>
      <c r="U173" s="114" t="n"/>
      <c r="V173" s="114" t="n"/>
      <c r="W173" s="115" t="n"/>
      <c r="X173" s="115" t="n"/>
    </row>
    <row r="174" ht="272" customHeight="1">
      <c r="A174" s="113" t="inlineStr">
        <is>
          <t>select_one levelling</t>
        </is>
      </c>
      <c r="B174" s="113" t="inlineStr">
        <is>
          <t>stud_sub</t>
        </is>
      </c>
      <c r="C174" s="117" t="inlineStr">
        <is>
          <t>Nice job! Can you solve:
&lt;br&gt;&lt;br&gt;
&lt;p style="font-weight:bold;font-size:24pt;text-align:center;"&gt;54 - 26 = ?&lt;/p&gt;
&lt;br&gt;
What did you get as the answer? &lt;p&gt;&lt;span style="color: #3366ff;"&gt;&lt;b&gt;(Ans: 28) &lt;/b&gt;&lt;/span&gt;&lt;p&gt;
&lt;br&gt;&lt;br&gt;
&lt;hr&gt;
&lt;br&gt;&lt;br&gt;
&lt;p&gt;&lt;span style="color: #3366ff;"&gt;&lt;strong&gt;INSTRUCTIONS:&lt;/strong&gt; Record if the student got the answer right, then proceed to the next field.&lt;/span&gt;&lt;/p&gt;</t>
        </is>
      </c>
      <c r="D174" s="114" t="n"/>
      <c r="E174" s="115" t="n"/>
      <c r="F174" s="115" t="n"/>
      <c r="G174" s="114" t="n"/>
      <c r="H174" s="114" t="n"/>
      <c r="I174" s="116" t="inlineStr">
        <is>
          <t>selected(${stud_add}, '1')</t>
        </is>
      </c>
      <c r="J174" s="115" t="n"/>
      <c r="K174" s="113" t="inlineStr">
        <is>
          <t>yes</t>
        </is>
      </c>
      <c r="L174" s="114" t="n"/>
      <c r="M174" s="115" t="n"/>
      <c r="N174" s="114" t="n"/>
      <c r="O174" s="115" t="n"/>
      <c r="P174" s="115" t="n"/>
      <c r="Q174" s="115" t="n"/>
      <c r="R174" s="115" t="n"/>
      <c r="S174" s="114" t="n"/>
      <c r="T174" s="115" t="n"/>
      <c r="U174" s="114" t="n"/>
      <c r="V174" s="114" t="n"/>
      <c r="W174" s="115" t="n"/>
      <c r="X174" s="115" t="n"/>
    </row>
    <row r="175">
      <c r="A175" s="113" t="inlineStr">
        <is>
          <t>calculate_here</t>
        </is>
      </c>
      <c r="B175" s="113" t="inlineStr">
        <is>
          <t>end_stud_sub</t>
        </is>
      </c>
      <c r="C175" s="114" t="n"/>
      <c r="D175" s="114" t="n"/>
      <c r="E175" s="115" t="n"/>
      <c r="F175" s="115" t="n"/>
      <c r="G175" s="114" t="n"/>
      <c r="H175" s="114" t="n"/>
      <c r="I175" s="114" t="n"/>
      <c r="J175" s="115" t="n"/>
      <c r="K175" s="115" t="n"/>
      <c r="L175" s="114" t="n"/>
      <c r="M175" s="115" t="n"/>
      <c r="N175" s="116" t="inlineStr">
        <is>
          <t>once(duration())</t>
        </is>
      </c>
      <c r="O175" s="115" t="n"/>
      <c r="P175" s="115" t="n"/>
      <c r="Q175" s="115" t="n"/>
      <c r="R175" s="115" t="n"/>
      <c r="S175" s="114" t="n"/>
      <c r="T175" s="115" t="n"/>
      <c r="U175" s="114" t="n"/>
      <c r="V175" s="114" t="n"/>
      <c r="W175" s="115" t="n"/>
      <c r="X175" s="115" t="n"/>
    </row>
    <row r="176" ht="17" customHeight="1">
      <c r="A176" s="113" t="inlineStr">
        <is>
          <t>calculate</t>
        </is>
      </c>
      <c r="B176" s="113" t="inlineStr">
        <is>
          <t>duration_stud_sub_e</t>
        </is>
      </c>
      <c r="C176" s="117" t="inlineStr">
        <is>
          <t>Time spent in seconds on the question.</t>
        </is>
      </c>
      <c r="D176" s="114" t="n"/>
      <c r="E176" s="115" t="n"/>
      <c r="F176" s="115" t="n"/>
      <c r="G176" s="114" t="n"/>
      <c r="H176" s="114" t="n"/>
      <c r="I176" s="114" t="n"/>
      <c r="J176" s="115" t="n"/>
      <c r="K176" s="115" t="n"/>
      <c r="L176" s="114" t="n"/>
      <c r="M176" s="115" t="n"/>
      <c r="N176" s="116" t="inlineStr">
        <is>
          <t>${end_stud_sub} - ${start_stud_sub}</t>
        </is>
      </c>
      <c r="O176" s="115" t="n"/>
      <c r="P176" s="115" t="n"/>
      <c r="Q176" s="115" t="n"/>
      <c r="R176" s="115" t="n"/>
      <c r="S176" s="114" t="n"/>
      <c r="T176" s="115" t="n"/>
      <c r="U176" s="114" t="n"/>
      <c r="V176" s="114" t="n"/>
      <c r="W176" s="115" t="n"/>
      <c r="X176" s="115" t="n"/>
    </row>
    <row r="177">
      <c r="A177" s="113" t="inlineStr">
        <is>
          <t>calculate_here</t>
        </is>
      </c>
      <c r="B177" s="113" t="inlineStr">
        <is>
          <t>start_stud_mult</t>
        </is>
      </c>
      <c r="C177" s="114" t="n"/>
      <c r="D177" s="114" t="n"/>
      <c r="E177" s="115" t="n"/>
      <c r="F177" s="115" t="n"/>
      <c r="G177" s="114" t="n"/>
      <c r="H177" s="114" t="n"/>
      <c r="I177" s="114" t="n"/>
      <c r="J177" s="115" t="n"/>
      <c r="K177" s="115" t="n"/>
      <c r="L177" s="114" t="n"/>
      <c r="M177" s="115" t="n"/>
      <c r="N177" s="116" t="inlineStr">
        <is>
          <t>once(duration())</t>
        </is>
      </c>
      <c r="O177" s="115" t="n"/>
      <c r="P177" s="115" t="n"/>
      <c r="Q177" s="115" t="n"/>
      <c r="R177" s="115" t="n"/>
      <c r="S177" s="114" t="n"/>
      <c r="T177" s="115" t="n"/>
      <c r="U177" s="114" t="n"/>
      <c r="V177" s="114" t="n"/>
      <c r="W177" s="115" t="n"/>
      <c r="X177" s="115" t="n"/>
    </row>
    <row r="178" ht="272" customHeight="1">
      <c r="A178" s="113" t="inlineStr">
        <is>
          <t>select_one levelling</t>
        </is>
      </c>
      <c r="B178" s="113" t="inlineStr">
        <is>
          <t>stud_mult</t>
        </is>
      </c>
      <c r="C178" s="117" t="inlineStr">
        <is>
          <t>Nice job! Can you solve:
&lt;br&gt;&lt;br&gt;
&lt;p style="font-weight:bold;font-size:24pt;text-align:center;"&gt;26 x 3 = ?&lt;/p&gt;
&lt;br&gt;
What did you get as the answer? &lt;p&gt;&lt;span style="color: #3366ff;"&gt;&lt;b&gt;(Ans: 78) &lt;/b&gt;&lt;/span&gt;&lt;/p&gt;
&lt;br&gt;&lt;br&gt;
&lt;hr&gt;
&lt;br&gt;&lt;br&gt;
&lt;p&gt;&lt;span style="color: #3366ff;"&gt;&lt;strong&gt;INSTRUCTIONS:&lt;/strong&gt; Record if the student got the answer right, then proceed to the next field.&lt;/span&gt;&lt;/p&gt;</t>
        </is>
      </c>
      <c r="D178" s="114" t="n"/>
      <c r="E178" s="115" t="n"/>
      <c r="F178" s="115" t="n"/>
      <c r="G178" s="114" t="n"/>
      <c r="H178" s="114" t="n"/>
      <c r="I178" s="116" t="inlineStr">
        <is>
          <t>selected(${stud_sub}, '1')</t>
        </is>
      </c>
      <c r="J178" s="115" t="n"/>
      <c r="K178" s="113" t="inlineStr">
        <is>
          <t>yes</t>
        </is>
      </c>
      <c r="L178" s="114" t="n"/>
      <c r="M178" s="115" t="n"/>
      <c r="N178" s="114" t="n"/>
      <c r="O178" s="115" t="n"/>
      <c r="P178" s="115" t="n"/>
      <c r="Q178" s="115" t="n"/>
      <c r="R178" s="115" t="n"/>
      <c r="S178" s="114" t="n"/>
      <c r="T178" s="115" t="n"/>
      <c r="U178" s="114" t="n"/>
      <c r="V178" s="114" t="n"/>
      <c r="W178" s="115" t="n"/>
      <c r="X178" s="115" t="n"/>
    </row>
    <row r="179">
      <c r="A179" s="113" t="inlineStr">
        <is>
          <t>calculate_here</t>
        </is>
      </c>
      <c r="B179" s="113" t="inlineStr">
        <is>
          <t>end_stud_mult</t>
        </is>
      </c>
      <c r="C179" s="114" t="n"/>
      <c r="D179" s="114" t="n"/>
      <c r="E179" s="115" t="n"/>
      <c r="F179" s="115" t="n"/>
      <c r="G179" s="114" t="n"/>
      <c r="H179" s="114" t="n"/>
      <c r="I179" s="114" t="n"/>
      <c r="J179" s="115" t="n"/>
      <c r="K179" s="115" t="n"/>
      <c r="L179" s="114" t="n"/>
      <c r="M179" s="115" t="n"/>
      <c r="N179" s="116" t="inlineStr">
        <is>
          <t>once(duration())</t>
        </is>
      </c>
      <c r="O179" s="115" t="n"/>
      <c r="P179" s="115" t="n"/>
      <c r="Q179" s="115" t="n"/>
      <c r="R179" s="115" t="n"/>
      <c r="S179" s="114" t="n"/>
      <c r="T179" s="115" t="n"/>
      <c r="U179" s="114" t="n"/>
      <c r="V179" s="114" t="n"/>
      <c r="W179" s="115" t="n"/>
      <c r="X179" s="115" t="n"/>
    </row>
    <row r="180" ht="17" customHeight="1">
      <c r="A180" s="113" t="inlineStr">
        <is>
          <t>calculate</t>
        </is>
      </c>
      <c r="B180" s="113" t="inlineStr">
        <is>
          <t>duration_stud_mult_e</t>
        </is>
      </c>
      <c r="C180" s="117" t="inlineStr">
        <is>
          <t>Time spent in seconds on the question.</t>
        </is>
      </c>
      <c r="D180" s="114" t="n"/>
      <c r="E180" s="115" t="n"/>
      <c r="F180" s="115" t="n"/>
      <c r="G180" s="114" t="n"/>
      <c r="H180" s="114" t="n"/>
      <c r="I180" s="114" t="n"/>
      <c r="J180" s="115" t="n"/>
      <c r="K180" s="115" t="n"/>
      <c r="L180" s="114" t="n"/>
      <c r="M180" s="115" t="n"/>
      <c r="N180" s="116" t="inlineStr">
        <is>
          <t>${end_stud_mult} - ${start_stud_mult}</t>
        </is>
      </c>
      <c r="O180" s="115" t="n"/>
      <c r="P180" s="115" t="n"/>
      <c r="Q180" s="115" t="n"/>
      <c r="R180" s="115" t="n"/>
      <c r="S180" s="114" t="n"/>
      <c r="T180" s="115" t="n"/>
      <c r="U180" s="114" t="n"/>
      <c r="V180" s="114" t="n"/>
      <c r="W180" s="115" t="n"/>
      <c r="X180" s="115" t="n"/>
    </row>
    <row r="181">
      <c r="A181" s="113" t="inlineStr">
        <is>
          <t>calculate_here</t>
        </is>
      </c>
      <c r="B181" s="113" t="inlineStr">
        <is>
          <t>start_stud_div</t>
        </is>
      </c>
      <c r="C181" s="114" t="n"/>
      <c r="D181" s="114" t="n"/>
      <c r="E181" s="115" t="n"/>
      <c r="F181" s="115" t="n"/>
      <c r="G181" s="114" t="n"/>
      <c r="H181" s="114" t="n"/>
      <c r="I181" s="114" t="n"/>
      <c r="J181" s="115" t="n"/>
      <c r="K181" s="115" t="n"/>
      <c r="L181" s="114" t="n"/>
      <c r="M181" s="115" t="n"/>
      <c r="N181" s="116" t="inlineStr">
        <is>
          <t>once(duration())</t>
        </is>
      </c>
      <c r="O181" s="115" t="n"/>
      <c r="P181" s="115" t="n"/>
      <c r="Q181" s="115" t="n"/>
      <c r="R181" s="115" t="n"/>
      <c r="S181" s="114" t="n"/>
      <c r="T181" s="115" t="n"/>
      <c r="U181" s="114" t="n"/>
      <c r="V181" s="114" t="n"/>
      <c r="W181" s="115" t="n"/>
      <c r="X181" s="115" t="n"/>
    </row>
    <row r="182" ht="272" customHeight="1">
      <c r="A182" s="113" t="inlineStr">
        <is>
          <t>select_one levelling</t>
        </is>
      </c>
      <c r="B182" s="113" t="inlineStr">
        <is>
          <t>stud_div</t>
        </is>
      </c>
      <c r="C182" s="117" t="inlineStr">
        <is>
          <t>Nice job! Can you solve:
&lt;br&gt;&lt;br&gt;
&lt;p style="font-weight:bold;font-size:24pt;text-align:center;"&gt;49 / 4 = ?&lt;/p&gt;
&lt;br&gt;
What did you get as the answer? &lt;p&gt;&lt;span style="color: #3366ff;"&gt;&lt;b&gt;(Ans: 12 r1) &lt;/b&gt;&lt;/span&gt;&lt;p&gt;
&lt;br&gt;&lt;br&gt;
&lt;hr&gt;
&lt;br&gt;&lt;br&gt;
&lt;p&gt;&lt;span style="color: #3366ff;"&gt;&lt;strong&gt;INSTRUCTIONS:&lt;/strong&gt; Record if the student got the answer right, then proceed to the next field.&lt;/span&gt;&lt;/p&gt;</t>
        </is>
      </c>
      <c r="D182" s="114" t="n"/>
      <c r="E182" s="115" t="n"/>
      <c r="F182" s="115" t="n"/>
      <c r="G182" s="114" t="n"/>
      <c r="H182" s="114" t="n"/>
      <c r="I182" s="116" t="inlineStr">
        <is>
          <t>selected(${stud_mult}, '1')</t>
        </is>
      </c>
      <c r="J182" s="115" t="n"/>
      <c r="K182" s="113" t="inlineStr">
        <is>
          <t>yes</t>
        </is>
      </c>
      <c r="L182" s="114" t="n"/>
      <c r="M182" s="115" t="n"/>
      <c r="N182" s="114" t="n"/>
      <c r="O182" s="115" t="n"/>
      <c r="P182" s="115" t="n"/>
      <c r="Q182" s="115" t="n"/>
      <c r="R182" s="115" t="n"/>
      <c r="S182" s="114" t="n"/>
      <c r="T182" s="115" t="n"/>
      <c r="U182" s="114" t="n"/>
      <c r="V182" s="114" t="n"/>
      <c r="W182" s="115" t="n"/>
      <c r="X182" s="115" t="n"/>
    </row>
    <row r="183">
      <c r="A183" s="113" t="inlineStr">
        <is>
          <t>calculate_here</t>
        </is>
      </c>
      <c r="B183" s="113" t="inlineStr">
        <is>
          <t>end_stud_div</t>
        </is>
      </c>
      <c r="C183" s="114" t="n"/>
      <c r="D183" s="114" t="n"/>
      <c r="E183" s="115" t="n"/>
      <c r="F183" s="115" t="n"/>
      <c r="G183" s="114" t="n"/>
      <c r="H183" s="114" t="n"/>
      <c r="I183" s="114" t="n"/>
      <c r="J183" s="115" t="n"/>
      <c r="K183" s="115" t="n"/>
      <c r="L183" s="114" t="n"/>
      <c r="M183" s="115" t="n"/>
      <c r="N183" s="116" t="inlineStr">
        <is>
          <t>once(duration())</t>
        </is>
      </c>
      <c r="O183" s="115" t="n"/>
      <c r="P183" s="115" t="n"/>
      <c r="Q183" s="115" t="n"/>
      <c r="R183" s="115" t="n"/>
      <c r="S183" s="114" t="n"/>
      <c r="T183" s="115" t="n"/>
      <c r="U183" s="114" t="n"/>
      <c r="V183" s="114" t="n"/>
      <c r="W183" s="115" t="n"/>
      <c r="X183" s="115" t="n"/>
    </row>
    <row r="184" ht="17" customHeight="1">
      <c r="A184" s="113" t="inlineStr">
        <is>
          <t>calculate</t>
        </is>
      </c>
      <c r="B184" s="113" t="inlineStr">
        <is>
          <t>duration_stud_div_e</t>
        </is>
      </c>
      <c r="C184" s="117" t="inlineStr">
        <is>
          <t>Time spent in seconds on the question.</t>
        </is>
      </c>
      <c r="D184" s="114" t="n"/>
      <c r="E184" s="115" t="n"/>
      <c r="F184" s="115" t="n"/>
      <c r="G184" s="114" t="n"/>
      <c r="H184" s="114" t="n"/>
      <c r="I184" s="114" t="n"/>
      <c r="J184" s="115" t="n"/>
      <c r="K184" s="115" t="n"/>
      <c r="L184" s="114" t="n"/>
      <c r="M184" s="115" t="n"/>
      <c r="N184" s="116" t="inlineStr">
        <is>
          <t>${end_stud_div} - ${start_stud_div}</t>
        </is>
      </c>
      <c r="O184" s="115" t="n"/>
      <c r="P184" s="115" t="n"/>
      <c r="Q184" s="115" t="n"/>
      <c r="R184" s="115" t="n"/>
      <c r="S184" s="114" t="n"/>
      <c r="T184" s="115" t="n"/>
      <c r="U184" s="114" t="n"/>
      <c r="V184" s="114" t="n"/>
      <c r="W184" s="115" t="n"/>
      <c r="X184" s="115" t="n"/>
    </row>
    <row r="185">
      <c r="A185" s="113" t="inlineStr">
        <is>
          <t>calculate_here</t>
        </is>
      </c>
      <c r="B185" s="113" t="inlineStr">
        <is>
          <t>start_stud_frac</t>
        </is>
      </c>
      <c r="C185" s="114" t="n"/>
      <c r="D185" s="114" t="n"/>
      <c r="E185" s="115" t="n"/>
      <c r="F185" s="115" t="n"/>
      <c r="G185" s="114" t="n"/>
      <c r="H185" s="114" t="n"/>
      <c r="I185" s="114" t="n"/>
      <c r="J185" s="115" t="n"/>
      <c r="K185" s="115" t="n"/>
      <c r="L185" s="114" t="n"/>
      <c r="M185" s="115" t="n"/>
      <c r="N185" s="116" t="inlineStr">
        <is>
          <t>once(duration())</t>
        </is>
      </c>
      <c r="O185" s="115" t="n"/>
      <c r="P185" s="115" t="n"/>
      <c r="Q185" s="115" t="n"/>
      <c r="R185" s="115" t="n"/>
      <c r="S185" s="114" t="n"/>
      <c r="T185" s="115" t="n"/>
      <c r="U185" s="114" t="n"/>
      <c r="V185" s="114" t="n"/>
      <c r="W185" s="115" t="n"/>
      <c r="X185" s="115" t="n"/>
    </row>
    <row r="186" ht="289" customHeight="1">
      <c r="A186" s="113" t="inlineStr">
        <is>
          <t>select_one levelling</t>
        </is>
      </c>
      <c r="B186" s="113" t="inlineStr">
        <is>
          <t>stud_frac</t>
        </is>
      </c>
      <c r="C186" s="117" t="inlineStr">
        <is>
          <t>Nice job! Can you solve:
&lt;br&gt;&lt;br&gt;
&lt;p style="font-weight:bold;font-size:24pt;text-align:center;"&gt;2/3 + 3/5  = ?&lt;/p&gt;
&lt;br&gt;
What did you get as the answer? &lt;p&gt;&lt;span style="color: #3366ff;"&gt;&lt;b&gt;(Ans: 19/15 or 1 and 4/15​) &lt;/b&gt;&lt;/span&gt;&lt;/p&gt;
&lt;br&gt;&lt;br&gt;
&lt;hr&gt;
&lt;br&gt;&lt;br&gt;
&lt;p&gt;&lt;span style="color: #3366ff;"&gt;&lt;strong&gt;INSTRUCTIONS:&lt;/strong&gt; Record if the student got the answer right, then proceed to the next field.&lt;/span&gt;&lt;/p&gt;</t>
        </is>
      </c>
      <c r="D186" s="114" t="n"/>
      <c r="E186" s="115" t="n"/>
      <c r="F186" s="115" t="n"/>
      <c r="G186" s="114" t="n"/>
      <c r="H186" s="114" t="n"/>
      <c r="I186" s="116" t="inlineStr">
        <is>
          <t>selected(${stud_div}, '1')</t>
        </is>
      </c>
      <c r="J186" s="113" t="inlineStr">
        <is>
          <t>yes</t>
        </is>
      </c>
      <c r="K186" s="113" t="inlineStr">
        <is>
          <t>yes</t>
        </is>
      </c>
      <c r="L186" s="114" t="n"/>
      <c r="M186" s="115" t="n"/>
      <c r="N186" s="114" t="n"/>
      <c r="O186" s="115" t="n"/>
      <c r="P186" s="115" t="n"/>
      <c r="Q186" s="115" t="n"/>
      <c r="R186" s="115" t="n"/>
      <c r="S186" s="114" t="n"/>
      <c r="T186" s="115" t="n"/>
      <c r="U186" s="114" t="n"/>
      <c r="V186" s="114" t="n"/>
      <c r="W186" s="115" t="n"/>
      <c r="X186" s="115" t="n"/>
    </row>
    <row r="187">
      <c r="A187" s="113" t="inlineStr">
        <is>
          <t>calculate_here</t>
        </is>
      </c>
      <c r="B187" s="113" t="inlineStr">
        <is>
          <t>end_stud_frac</t>
        </is>
      </c>
      <c r="C187" s="114" t="n"/>
      <c r="D187" s="114" t="n"/>
      <c r="E187" s="115" t="n"/>
      <c r="F187" s="115" t="n"/>
      <c r="G187" s="114" t="n"/>
      <c r="H187" s="114" t="n"/>
      <c r="I187" s="114" t="n"/>
      <c r="J187" s="115" t="n"/>
      <c r="K187" s="115" t="n"/>
      <c r="L187" s="114" t="n"/>
      <c r="M187" s="115" t="n"/>
      <c r="N187" s="116" t="inlineStr">
        <is>
          <t>once(duration())</t>
        </is>
      </c>
      <c r="O187" s="115" t="n"/>
      <c r="P187" s="115" t="n"/>
      <c r="Q187" s="115" t="n"/>
      <c r="R187" s="115" t="n"/>
      <c r="S187" s="114" t="n"/>
      <c r="T187" s="115" t="n"/>
      <c r="U187" s="114" t="n"/>
      <c r="V187" s="114" t="n"/>
      <c r="W187" s="115" t="n"/>
      <c r="X187" s="115" t="n"/>
    </row>
    <row r="188" ht="17" customHeight="1">
      <c r="A188" s="113" t="inlineStr">
        <is>
          <t>calculate</t>
        </is>
      </c>
      <c r="B188" s="113" t="inlineStr">
        <is>
          <t>duration_stud_frac_e</t>
        </is>
      </c>
      <c r="C188" s="117" t="inlineStr">
        <is>
          <t>Time spent in seconds on the question.</t>
        </is>
      </c>
      <c r="D188" s="114" t="n"/>
      <c r="E188" s="115" t="n"/>
      <c r="F188" s="115" t="n"/>
      <c r="G188" s="114" t="n"/>
      <c r="H188" s="114" t="n"/>
      <c r="I188" s="114" t="n"/>
      <c r="J188" s="115" t="n"/>
      <c r="K188" s="115" t="n"/>
      <c r="L188" s="114" t="n"/>
      <c r="M188" s="115" t="n"/>
      <c r="N188" s="116" t="inlineStr">
        <is>
          <t>${end_stud_frac} - ${start_stud_frac}</t>
        </is>
      </c>
      <c r="O188" s="115" t="n"/>
      <c r="P188" s="115" t="n"/>
      <c r="Q188" s="115" t="n"/>
      <c r="R188" s="115" t="n"/>
      <c r="S188" s="114" t="n"/>
      <c r="T188" s="115" t="n"/>
      <c r="U188" s="114" t="n"/>
      <c r="V188" s="114" t="n"/>
      <c r="W188" s="115" t="n"/>
      <c r="X188" s="115" t="n"/>
    </row>
    <row r="189">
      <c r="A189" s="113" t="inlineStr">
        <is>
          <t>calculate_here</t>
        </is>
      </c>
      <c r="B189" s="113" t="inlineStr">
        <is>
          <t>end_levelling_num</t>
        </is>
      </c>
      <c r="C189" s="114" t="n"/>
      <c r="D189" s="114" t="n"/>
      <c r="E189" s="115" t="n"/>
      <c r="F189" s="115" t="n"/>
      <c r="G189" s="114" t="n"/>
      <c r="H189" s="114" t="n"/>
      <c r="I189" s="114" t="n"/>
      <c r="J189" s="115" t="n"/>
      <c r="K189" s="115" t="n"/>
      <c r="L189" s="114" t="n"/>
      <c r="M189" s="115" t="n"/>
      <c r="N189" s="116" t="inlineStr">
        <is>
          <t>once(duration())</t>
        </is>
      </c>
      <c r="O189" s="115" t="n"/>
      <c r="P189" s="115" t="n"/>
      <c r="Q189" s="115" t="n"/>
      <c r="R189" s="115" t="n"/>
      <c r="S189" s="114" t="n"/>
      <c r="T189" s="115" t="n"/>
      <c r="U189" s="114" t="n"/>
      <c r="V189" s="114" t="n"/>
      <c r="W189" s="115" t="n"/>
      <c r="X189" s="115" t="n"/>
    </row>
    <row r="190" ht="17" customHeight="1">
      <c r="A190" s="113" t="inlineStr">
        <is>
          <t>calculate</t>
        </is>
      </c>
      <c r="B190" s="113" t="inlineStr">
        <is>
          <t>duration_levelling_num_e</t>
        </is>
      </c>
      <c r="C190" s="117" t="inlineStr">
        <is>
          <t>Time spent in seconds on the numeracy assessment.</t>
        </is>
      </c>
      <c r="D190" s="114" t="n"/>
      <c r="E190" s="115" t="n"/>
      <c r="F190" s="115" t="n"/>
      <c r="G190" s="114" t="n"/>
      <c r="H190" s="114" t="n"/>
      <c r="I190" s="114" t="n"/>
      <c r="J190" s="115" t="n"/>
      <c r="K190" s="115" t="n"/>
      <c r="L190" s="114" t="n"/>
      <c r="M190" s="115" t="n"/>
      <c r="N190" s="116" t="inlineStr">
        <is>
          <t>${end_levelling_num} - ${start_levelling_num}</t>
        </is>
      </c>
      <c r="O190" s="115" t="n"/>
      <c r="P190" s="115" t="n"/>
      <c r="Q190" s="115" t="n"/>
      <c r="R190" s="115" t="n"/>
      <c r="S190" s="114" t="n"/>
      <c r="T190" s="115" t="n"/>
      <c r="U190" s="114" t="n"/>
      <c r="V190" s="114" t="n"/>
      <c r="W190" s="115" t="n"/>
      <c r="X190" s="115" t="n"/>
    </row>
    <row r="191" ht="68" customHeight="1">
      <c r="A191" s="113" t="inlineStr">
        <is>
          <t>calculate</t>
        </is>
      </c>
      <c r="B191" s="113" t="inlineStr">
        <is>
          <t>stud_level_num</t>
        </is>
      </c>
      <c r="C191" s="117" t="inlineStr">
        <is>
          <t>Returns student level from assessment.</t>
        </is>
      </c>
      <c r="D191" s="114" t="n"/>
      <c r="E191" s="115" t="n"/>
      <c r="F191" s="115" t="n"/>
      <c r="G191" s="114" t="n"/>
      <c r="H191" s="114" t="n"/>
      <c r="I191" s="114" t="n"/>
      <c r="J191" s="115" t="n"/>
      <c r="K191" s="115" t="n"/>
      <c r="L191" s="114" t="n"/>
      <c r="M191" s="115" t="n"/>
      <c r="N191" s="116" t="inlineStr">
        <is>
          <t>if(${stud_add} = 1 and ${stud_sub} != 1, '1', 
if(${stud_sub} = 1 and ${stud_mult} != 1, '2', 
if(${stud_mult} = 1 and ${stud_div} != 1, '3', 
if(${stud_div} = 1, '4', '0'))))</t>
        </is>
      </c>
      <c r="O191" s="115" t="n"/>
      <c r="P191" s="115" t="n"/>
      <c r="Q191" s="115" t="n"/>
      <c r="R191" s="115" t="n"/>
      <c r="S191" s="114" t="n"/>
      <c r="T191" s="115" t="n"/>
      <c r="U191" s="114" t="n"/>
      <c r="V191" s="114" t="n"/>
      <c r="W191" s="115" t="n"/>
      <c r="X191" s="115" t="n"/>
    </row>
    <row r="192" ht="68" customHeight="1">
      <c r="A192" s="113" t="inlineStr">
        <is>
          <t>calculate</t>
        </is>
      </c>
      <c r="B192" s="113" t="inlineStr">
        <is>
          <t>stud_level_num_lab</t>
        </is>
      </c>
      <c r="C192" s="117" t="inlineStr">
        <is>
          <t>Returns choice label of student level from assessment.</t>
        </is>
      </c>
      <c r="D192" s="114" t="n"/>
      <c r="E192" s="115" t="n"/>
      <c r="F192" s="115" t="n"/>
      <c r="G192" s="114" t="n"/>
      <c r="H192" s="114" t="n"/>
      <c r="I192" s="114" t="n"/>
      <c r="J192" s="115" t="n"/>
      <c r="K192" s="115" t="n"/>
      <c r="L192" s="114" t="n"/>
      <c r="M192" s="115" t="n"/>
      <c r="N192" s="116" t="inlineStr">
        <is>
          <t>if(${stud_add} = 1 and ${stud_sub} != 1, 'Addition', 
if(${stud_sub} = 1 and ${stud_mult} != 1, 'Subtraction', 
if(${stud_mult} = 1 and ${stud_div} != 1, 'Multiplication', 
if(${stud_div} = 1, 'Division', 'Beginner'))))</t>
        </is>
      </c>
      <c r="O192" s="115" t="n"/>
      <c r="P192" s="115" t="n"/>
      <c r="Q192" s="115" t="n"/>
      <c r="R192" s="115" t="n"/>
      <c r="S192" s="114" t="n"/>
      <c r="T192" s="115" t="n"/>
      <c r="U192" s="114" t="n"/>
      <c r="V192" s="114" t="n"/>
      <c r="W192" s="115" t="n"/>
      <c r="X192" s="115" t="n"/>
    </row>
    <row r="193" ht="17" customHeight="1">
      <c r="A193" s="113" t="inlineStr">
        <is>
          <t>begin group</t>
        </is>
      </c>
      <c r="B193" s="113" t="inlineStr">
        <is>
          <t>levelling_num_end</t>
        </is>
      </c>
      <c r="C193" s="114" t="n"/>
      <c r="D193" s="114" t="n"/>
      <c r="E193" s="115" t="n"/>
      <c r="F193" s="113" t="inlineStr">
        <is>
          <t>field-list</t>
        </is>
      </c>
      <c r="G193" s="114" t="n"/>
      <c r="H193" s="114" t="n"/>
      <c r="I193" s="114" t="n"/>
      <c r="J193" s="115" t="n"/>
      <c r="K193" s="115" t="n"/>
      <c r="L193" s="114" t="n"/>
      <c r="M193" s="115" t="n"/>
      <c r="N193" s="116" t="n"/>
      <c r="O193" s="115" t="n"/>
      <c r="P193" s="115" t="n"/>
      <c r="Q193" s="115" t="n"/>
      <c r="R193" s="115" t="n"/>
      <c r="S193" s="114" t="n"/>
      <c r="T193" s="115" t="n"/>
      <c r="U193" s="114" t="n"/>
      <c r="V193" s="114" t="n"/>
      <c r="W193" s="115" t="n"/>
      <c r="X193" s="115" t="n"/>
    </row>
    <row r="194" ht="187" customHeight="1">
      <c r="A194" s="113" t="inlineStr">
        <is>
          <t>note</t>
        </is>
      </c>
      <c r="B194" s="113" t="inlineStr">
        <is>
          <t>note_end_stud</t>
        </is>
      </c>
      <c r="C194" s="117" t="inlineStr">
        <is>
          <t xml:space="preserve">
Nice work, &lt;font color="#14b14b"&gt;&lt;b&gt;&lt;u&gt;${stud_name}&lt;/u&gt;&lt;/b&gt;&lt;/font&gt;! 
&lt;br&gt;&lt;br&gt;
Thanks a lot for the time you spent with me.
&lt;br&gt;&lt;br&gt;
Please hand over the phone to your &lt;font color="#14b14b"&gt;&lt;b&gt;&lt;u&gt;${care_rel_lab}&lt;/u&gt;&lt;/b&gt;&lt;/font&gt;.</t>
        </is>
      </c>
      <c r="D194" s="114" t="n"/>
      <c r="E194" s="115" t="n"/>
      <c r="F194" s="115" t="n"/>
      <c r="G194" s="114" t="n"/>
      <c r="H194" s="114" t="n"/>
      <c r="I194" s="114" t="n"/>
      <c r="J194" s="115" t="n"/>
      <c r="K194" s="115" t="n"/>
      <c r="L194" s="114" t="n"/>
      <c r="M194" s="115" t="n"/>
      <c r="N194" s="114" t="n"/>
      <c r="O194" s="115" t="n"/>
      <c r="P194" s="115" t="n"/>
      <c r="Q194" s="115" t="n"/>
      <c r="R194" s="115" t="n"/>
      <c r="S194" s="114" t="n"/>
      <c r="T194" s="115" t="n"/>
      <c r="U194" s="114" t="n"/>
      <c r="V194" s="114" t="n"/>
      <c r="W194" s="115" t="n"/>
      <c r="X194" s="115" t="n"/>
    </row>
    <row r="195" ht="119" customHeight="1">
      <c r="A195" s="113" t="inlineStr">
        <is>
          <t>note</t>
        </is>
      </c>
      <c r="B195" s="113" t="inlineStr">
        <is>
          <t>note_end_care</t>
        </is>
      </c>
      <c r="C195" s="117" t="inlineStr">
        <is>
          <t xml:space="preserve">Thank you so much for taking your time to speak with us.
&lt;br&gt;&lt;br&gt;
Do you have questions for me or anything you would like for me to clarify?
</t>
        </is>
      </c>
      <c r="D195" s="114" t="n"/>
      <c r="E195" s="115" t="n"/>
      <c r="F195" s="115" t="n"/>
      <c r="G195" s="114" t="n"/>
      <c r="H195" s="114" t="n"/>
      <c r="I195" s="114" t="n"/>
      <c r="J195" s="115" t="n"/>
      <c r="K195" s="115" t="n"/>
      <c r="L195" s="114" t="n"/>
      <c r="M195" s="115" t="n"/>
      <c r="N195" s="114" t="n"/>
      <c r="O195" s="115" t="n"/>
      <c r="P195" s="115" t="n"/>
      <c r="Q195" s="115" t="n"/>
      <c r="R195" s="115" t="n"/>
      <c r="S195" s="114" t="n"/>
      <c r="T195" s="115" t="n"/>
      <c r="U195" s="114" t="n"/>
      <c r="V195" s="114" t="n"/>
      <c r="W195" s="115" t="n"/>
      <c r="X195" s="115" t="n"/>
    </row>
    <row r="196" ht="102" customHeight="1">
      <c r="A196" s="113" t="inlineStr">
        <is>
          <t>note</t>
        </is>
      </c>
      <c r="B196" s="113" t="inlineStr">
        <is>
          <t>note_stud_level</t>
        </is>
      </c>
      <c r="C196" s="117" t="inlineStr">
        <is>
          <t>&lt;p&gt;&lt;span style="color: #3366ff;"&gt;&lt;strong&gt;NOTE:&lt;/strong&gt;&lt;/span&gt;&lt;/p&gt;
&lt;br&gt; &lt;br&gt;
&lt;p&gt;&lt;span style="color: #3366ff;"&gt;Based on the learning game, the student mastered &lt;b&gt;&lt;u&gt;${stud_level_num_lab}&lt;/u&gt;&lt;/b&gt;.&lt;/span&gt;&lt;/p&gt;</t>
        </is>
      </c>
      <c r="D196" s="114" t="n"/>
      <c r="E196" s="115" t="n"/>
      <c r="F196" s="115" t="n"/>
      <c r="G196" s="114" t="n"/>
      <c r="H196" s="114" t="n"/>
      <c r="I196" s="114" t="n"/>
      <c r="J196" s="115" t="n"/>
      <c r="K196" s="115" t="n"/>
      <c r="L196" s="114" t="n"/>
      <c r="M196" s="115" t="n"/>
      <c r="N196" s="114" t="n"/>
      <c r="O196" s="115" t="n"/>
      <c r="P196" s="115" t="n"/>
      <c r="Q196" s="115" t="n"/>
      <c r="R196" s="115" t="n"/>
      <c r="S196" s="114" t="n"/>
      <c r="T196" s="115" t="n"/>
      <c r="U196" s="114" t="n"/>
      <c r="V196" s="114" t="n"/>
      <c r="W196" s="115" t="n"/>
      <c r="X196" s="115" t="n"/>
    </row>
    <row r="197">
      <c r="A197" s="113" t="inlineStr">
        <is>
          <t>end group</t>
        </is>
      </c>
      <c r="B197" s="113" t="inlineStr">
        <is>
          <t>levelling_num_end</t>
        </is>
      </c>
      <c r="C197" s="114" t="n"/>
      <c r="D197" s="114" t="n"/>
      <c r="E197" s="115" t="n"/>
      <c r="F197" s="115" t="n"/>
      <c r="G197" s="114" t="n"/>
      <c r="H197" s="114" t="n"/>
      <c r="I197" s="114" t="n"/>
      <c r="J197" s="115" t="n"/>
      <c r="K197" s="115" t="n"/>
      <c r="L197" s="114" t="n"/>
      <c r="M197" s="115" t="n"/>
      <c r="N197" s="114" t="n"/>
      <c r="O197" s="115" t="n"/>
      <c r="P197" s="115" t="n"/>
      <c r="Q197" s="115" t="n"/>
      <c r="R197" s="115" t="n"/>
      <c r="S197" s="114" t="n"/>
      <c r="T197" s="115" t="n"/>
      <c r="U197" s="114" t="n"/>
      <c r="V197" s="114" t="n"/>
      <c r="W197" s="115" t="n"/>
      <c r="X197" s="115" t="n"/>
    </row>
    <row r="198">
      <c r="A198" s="113" t="inlineStr">
        <is>
          <t>end group</t>
        </is>
      </c>
      <c r="B198" s="113" t="inlineStr">
        <is>
          <t>levelling_num</t>
        </is>
      </c>
      <c r="C198" s="114" t="n"/>
      <c r="D198" s="114" t="n"/>
      <c r="E198" s="115" t="n"/>
      <c r="F198" s="115" t="n"/>
      <c r="G198" s="114" t="n"/>
      <c r="H198" s="114" t="n"/>
      <c r="I198" s="114" t="n"/>
      <c r="J198" s="115" t="n"/>
      <c r="K198" s="115" t="n"/>
      <c r="L198" s="114" t="n"/>
      <c r="M198" s="115" t="n"/>
      <c r="N198" s="114" t="n"/>
      <c r="O198" s="115" t="n"/>
      <c r="P198" s="115" t="n"/>
      <c r="Q198" s="115" t="n"/>
      <c r="R198" s="115" t="n"/>
      <c r="S198" s="114" t="n"/>
      <c r="T198" s="115" t="n"/>
      <c r="U198" s="114" t="n"/>
      <c r="V198" s="114" t="n"/>
      <c r="W198" s="115" t="n"/>
      <c r="X198" s="115" t="n"/>
    </row>
    <row r="199">
      <c r="A199" s="115" t="n"/>
      <c r="B199" s="115" t="n"/>
      <c r="C199" s="114" t="n"/>
      <c r="D199" s="114" t="n"/>
      <c r="E199" s="115" t="n"/>
      <c r="F199" s="115" t="n"/>
      <c r="G199" s="114" t="n"/>
      <c r="H199" s="114" t="n"/>
      <c r="I199" s="114" t="n"/>
      <c r="J199" s="115" t="n"/>
      <c r="K199" s="115" t="n"/>
      <c r="L199" s="114" t="n"/>
      <c r="M199" s="115" t="n"/>
      <c r="N199" s="114" t="n"/>
      <c r="O199" s="115" t="n"/>
      <c r="P199" s="115" t="n"/>
      <c r="Q199" s="115" t="n"/>
      <c r="R199" s="115" t="n"/>
      <c r="S199" s="114" t="n"/>
      <c r="T199" s="115" t="n"/>
      <c r="U199" s="114" t="n"/>
      <c r="V199" s="114" t="n"/>
      <c r="W199" s="115" t="n"/>
      <c r="X199" s="115" t="n"/>
    </row>
    <row r="200" ht="17" customHeight="1">
      <c r="A200" s="113" t="inlineStr">
        <is>
          <t>begin group</t>
        </is>
      </c>
      <c r="B200" s="113" t="inlineStr">
        <is>
          <t>end_call</t>
        </is>
      </c>
      <c r="C200" s="117" t="inlineStr">
        <is>
          <t>End call</t>
        </is>
      </c>
      <c r="D200" s="114" t="n"/>
      <c r="E200" s="115" t="n"/>
      <c r="F200" s="115" t="n"/>
      <c r="G200" s="114" t="n"/>
      <c r="H200" s="114" t="n"/>
      <c r="I200" s="114" t="n"/>
      <c r="J200" s="115" t="n"/>
      <c r="K200" s="115" t="n"/>
      <c r="L200" s="114" t="n"/>
      <c r="M200" s="115" t="n"/>
      <c r="N200" s="114" t="n"/>
      <c r="O200" s="115" t="n"/>
      <c r="P200" s="115" t="n"/>
      <c r="Q200" s="115" t="n"/>
      <c r="R200" s="115" t="n"/>
      <c r="S200" s="114" t="n"/>
      <c r="T200" s="115" t="n"/>
      <c r="U200" s="114" t="n"/>
      <c r="V200" s="114" t="n"/>
      <c r="W200" s="115" t="n"/>
      <c r="X200" s="115" t="n"/>
    </row>
    <row r="201" ht="17" customHeight="1">
      <c r="A201" s="113" t="inlineStr">
        <is>
          <t>select_one status</t>
        </is>
      </c>
      <c r="B201" s="113" t="inlineStr">
        <is>
          <t>call_status_e</t>
        </is>
      </c>
      <c r="C201" s="117" t="inlineStr">
        <is>
          <t>Please report the status of this call:</t>
        </is>
      </c>
      <c r="D201" s="114" t="n"/>
      <c r="E201" s="115" t="n"/>
      <c r="F201" s="115" t="n"/>
      <c r="G201" s="114" t="n"/>
      <c r="H201" s="114" t="n"/>
      <c r="I201" s="114" t="n"/>
      <c r="J201" s="115" t="n"/>
      <c r="K201" s="113" t="inlineStr">
        <is>
          <t>yes</t>
        </is>
      </c>
      <c r="L201" s="114" t="n"/>
      <c r="M201" s="115" t="n"/>
      <c r="N201" s="114" t="n"/>
      <c r="O201" s="115" t="n"/>
      <c r="P201" s="115" t="n"/>
      <c r="Q201" s="115" t="n"/>
      <c r="R201" s="115" t="n"/>
      <c r="S201" s="114" t="n"/>
      <c r="T201" s="115" t="n"/>
      <c r="U201" s="114" t="n"/>
      <c r="V201" s="114" t="n"/>
      <c r="W201" s="115" t="n"/>
      <c r="X201" s="115" t="n"/>
    </row>
    <row r="202">
      <c r="A202" s="113" t="inlineStr">
        <is>
          <t>calculate</t>
        </is>
      </c>
      <c r="B202" s="113" t="inlineStr">
        <is>
          <t>call_status_lab_e</t>
        </is>
      </c>
      <c r="C202" s="114" t="n"/>
      <c r="D202" s="114" t="n"/>
      <c r="E202" s="115" t="n"/>
      <c r="F202" s="115" t="n"/>
      <c r="G202" s="114" t="n"/>
      <c r="H202" s="114" t="n"/>
      <c r="I202" s="114" t="n"/>
      <c r="J202" s="115" t="n"/>
      <c r="K202" s="115" t="n"/>
      <c r="L202" s="114" t="n"/>
      <c r="M202" s="115" t="n"/>
      <c r="N202" s="116" t="inlineStr">
        <is>
          <t>choice-label(${call_status_e}, ${call_status_e})</t>
        </is>
      </c>
      <c r="O202" s="115" t="n"/>
      <c r="P202" s="115" t="n"/>
      <c r="Q202" s="115" t="n"/>
      <c r="R202" s="115" t="n"/>
      <c r="S202" s="114" t="n"/>
      <c r="T202" s="115" t="n"/>
      <c r="U202" s="114" t="n"/>
      <c r="V202" s="114" t="n"/>
      <c r="W202" s="115" t="n"/>
      <c r="X202" s="115" t="n"/>
    </row>
    <row r="203" ht="17" customHeight="1">
      <c r="A203" s="113" t="inlineStr">
        <is>
          <t>calculate</t>
        </is>
      </c>
      <c r="B203" s="113" t="inlineStr">
        <is>
          <t>reach_e</t>
        </is>
      </c>
      <c r="C203" s="117" t="inlineStr">
        <is>
          <t>1 if household is reached (someone answered the call), 0 otherwise</t>
        </is>
      </c>
      <c r="D203" s="114" t="n"/>
      <c r="E203" s="115" t="n"/>
      <c r="F203" s="115" t="n"/>
      <c r="G203" s="114" t="n"/>
      <c r="H203" s="114" t="n"/>
      <c r="I203" s="114" t="n"/>
      <c r="J203" s="115" t="n"/>
      <c r="K203" s="115" t="n"/>
      <c r="L203" s="114" t="n"/>
      <c r="M203" s="115" t="n"/>
      <c r="N203" s="116" t="inlineStr">
        <is>
          <t>if(${call_status_e} &lt;= 3, '1', '0')</t>
        </is>
      </c>
      <c r="O203" s="115" t="n"/>
      <c r="P203" s="115" t="n"/>
      <c r="Q203" s="115" t="n"/>
      <c r="R203" s="115" t="n"/>
      <c r="S203" s="114" t="n"/>
      <c r="T203" s="115" t="n"/>
      <c r="U203" s="114" t="n"/>
      <c r="V203" s="114" t="n"/>
      <c r="W203" s="115" t="n"/>
      <c r="X203" s="115" t="n"/>
    </row>
    <row r="204" ht="17" customHeight="1">
      <c r="A204" s="113" t="inlineStr">
        <is>
          <t>calculate</t>
        </is>
      </c>
      <c r="B204" s="113" t="inlineStr">
        <is>
          <t>stud_levelled_e</t>
        </is>
      </c>
      <c r="C204" s="117" t="inlineStr">
        <is>
          <t>1 if student is levelled/assessed, 0 otherwise</t>
        </is>
      </c>
      <c r="D204" s="114" t="n"/>
      <c r="E204" s="115" t="n"/>
      <c r="F204" s="115" t="n"/>
      <c r="G204" s="114" t="n"/>
      <c r="H204" s="114" t="n"/>
      <c r="I204" s="114" t="n"/>
      <c r="J204" s="115" t="n"/>
      <c r="K204" s="115" t="n"/>
      <c r="L204" s="114" t="n"/>
      <c r="M204" s="115" t="n"/>
      <c r="N204" s="116" t="inlineStr">
        <is>
          <t>if(${stud_level_num} != null, '1', '0')</t>
        </is>
      </c>
      <c r="O204" s="115" t="n"/>
      <c r="P204" s="115" t="n"/>
      <c r="Q204" s="115" t="n"/>
      <c r="R204" s="115" t="n"/>
      <c r="S204" s="114" t="n"/>
      <c r="T204" s="115" t="n"/>
      <c r="U204" s="114" t="n"/>
      <c r="V204" s="114" t="n"/>
      <c r="W204" s="115" t="n"/>
      <c r="X204" s="115" t="n"/>
    </row>
    <row r="205" ht="102" customHeight="1">
      <c r="A205" s="113" t="inlineStr">
        <is>
          <t>note</t>
        </is>
      </c>
      <c r="B205" s="113" t="inlineStr">
        <is>
          <t>warning_status_completed</t>
        </is>
      </c>
      <c r="C205" s="118" t="inlineStr">
        <is>
          <t>&lt;p&gt;&lt;span style="color: #ff0000;"&gt;&lt;strong&gt;WARNING!&lt;/strong&gt;&lt;/span&gt;&lt;br /&gt; &lt;br /&gt;&lt;span style="color: #ff0000;"&gt;&lt;/p&gt;
&lt;p&gt;&lt;span style="color: #ff0000;"&gt;There is no indication that the survey is complete (i.e., caregiver is interviewed and student is levelled). Please go back and change your response accordingly.&lt;/span&gt;&lt;br /&gt; &lt;br /&gt;&lt;span style="color: #ff0000;"&gt;&lt;/p&gt;</t>
        </is>
      </c>
      <c r="D205" s="114" t="n"/>
      <c r="E205" s="115" t="n"/>
      <c r="F205" s="115" t="n"/>
      <c r="G205" s="114" t="n"/>
      <c r="H205" s="114" t="n"/>
      <c r="I205" s="116" t="inlineStr">
        <is>
          <t>selected(${call_status_e}, '1') and (${caregiver_interviewed_e} != 1 or ${stud_level_num} = null)</t>
        </is>
      </c>
      <c r="J205" s="115" t="n"/>
      <c r="K205" s="113" t="inlineStr">
        <is>
          <t>yes</t>
        </is>
      </c>
      <c r="L205" s="114" t="n"/>
      <c r="M205" s="115" t="n"/>
      <c r="N205" s="116" t="n"/>
      <c r="O205" s="115" t="n"/>
      <c r="P205" s="115" t="n"/>
      <c r="Q205" s="115" t="n"/>
      <c r="R205" s="115" t="n"/>
      <c r="S205" s="114" t="n"/>
      <c r="T205" s="115" t="n"/>
      <c r="U205" s="114" t="n"/>
      <c r="V205" s="114" t="n"/>
      <c r="W205" s="115" t="n"/>
      <c r="X205" s="115" t="n"/>
    </row>
    <row r="206" ht="102" customHeight="1">
      <c r="A206" s="113" t="inlineStr">
        <is>
          <t>note</t>
        </is>
      </c>
      <c r="B206" s="113" t="inlineStr">
        <is>
          <t>warning_status_onlycaregiver</t>
        </is>
      </c>
      <c r="C206" s="118" t="inlineStr">
        <is>
          <t>&lt;p&gt;&lt;span style="color: #ff0000;"&gt;&lt;strong&gt;WARNING!&lt;/strong&gt;&lt;/span&gt;&lt;br /&gt; &lt;br /&gt;&lt;span style="color: #ff0000;"&gt;&lt;/p&gt;
&lt;p&gt;&lt;span style="color: #ff0000;"&gt;It does not seem that only the caregiver is interviewed at this time. Please go back and change your response accordingly.&lt;/span&gt;&lt;br /&gt; &lt;br /&gt;&lt;span style="color: #ff0000;"&gt;&lt;/p&gt;</t>
        </is>
      </c>
      <c r="D206" s="114" t="n"/>
      <c r="E206" s="115" t="n"/>
      <c r="F206" s="115" t="n"/>
      <c r="G206" s="114" t="n"/>
      <c r="H206" s="114" t="n"/>
      <c r="I206" s="116" t="inlineStr">
        <is>
          <t>selected(${call_status_e}, '2') 
and 
((${caregiver_interviewed_e} = 1 and ${stud_level_num} != null) 
or (${caregiver_interviewed_e} != 1))</t>
        </is>
      </c>
      <c r="J206" s="115" t="n"/>
      <c r="K206" s="113" t="inlineStr">
        <is>
          <t>yes</t>
        </is>
      </c>
      <c r="L206" s="114" t="n"/>
      <c r="M206" s="115" t="n"/>
      <c r="N206" s="116" t="n"/>
      <c r="O206" s="115" t="n"/>
      <c r="P206" s="115" t="n"/>
      <c r="Q206" s="115" t="n"/>
      <c r="R206" s="115" t="n"/>
      <c r="S206" s="114" t="n"/>
      <c r="T206" s="115" t="n"/>
      <c r="U206" s="114" t="n"/>
      <c r="V206" s="114" t="n"/>
      <c r="W206" s="115" t="n"/>
      <c r="X206" s="115" t="n"/>
    </row>
    <row r="207" ht="102" customHeight="1">
      <c r="A207" s="113" t="inlineStr">
        <is>
          <t>note</t>
        </is>
      </c>
      <c r="B207" s="113" t="inlineStr">
        <is>
          <t>warning_status_onlystudent</t>
        </is>
      </c>
      <c r="C207" s="118" t="inlineStr">
        <is>
          <t>&lt;p&gt;&lt;span style="color: #ff0000;"&gt;&lt;strong&gt;WARNING!&lt;/strong&gt;&lt;/span&gt;&lt;br /&gt; &lt;br /&gt;&lt;span style="color: #ff0000;"&gt;&lt;/p&gt;
&lt;p&gt;&lt;span style="color: #ff0000;"&gt;It does not seem that only the student is assessed/levelled at this time. Please go back and change your response accordingly.&lt;/span&gt;&lt;br /&gt; &lt;br /&gt;&lt;span style="color: #ff0000;"&gt;&lt;/p&gt;</t>
        </is>
      </c>
      <c r="D207" s="114" t="n"/>
      <c r="E207" s="115" t="n"/>
      <c r="F207" s="115" t="n"/>
      <c r="G207" s="114" t="n"/>
      <c r="H207" s="114" t="n"/>
      <c r="I207" s="116" t="inlineStr">
        <is>
          <t>selected(${call_status_e}, '0') 
and ((${caregiver_interviewed_prev} = 1 and ${confirm_stud_avail} != 1)
or (${caregiver_interviewed_prev} != 1))</t>
        </is>
      </c>
      <c r="J207" s="115" t="n"/>
      <c r="K207" s="113" t="inlineStr">
        <is>
          <t>yes</t>
        </is>
      </c>
      <c r="L207" s="114" t="n"/>
      <c r="M207" s="115" t="n"/>
      <c r="N207" s="116" t="n"/>
      <c r="O207" s="115" t="n"/>
      <c r="P207" s="115" t="n"/>
      <c r="Q207" s="115" t="n"/>
      <c r="R207" s="115" t="n"/>
      <c r="S207" s="114" t="n"/>
      <c r="T207" s="115" t="n"/>
      <c r="U207" s="114" t="n"/>
      <c r="V207" s="114" t="n"/>
      <c r="W207" s="115" t="n"/>
      <c r="X207" s="115" t="n"/>
    </row>
    <row r="208" ht="102" customHeight="1">
      <c r="A208" s="113" t="inlineStr">
        <is>
          <t>note</t>
        </is>
      </c>
      <c r="B208" s="113" t="inlineStr">
        <is>
          <t>warning_status_care_int_resched</t>
        </is>
      </c>
      <c r="C208" s="118" t="inlineStr">
        <is>
          <t>&lt;p&gt;&lt;span style="color: #ff0000;"&gt;&lt;strong&gt;WARNING!&lt;/strong&gt;&lt;/span&gt;&lt;br /&gt; &lt;br /&gt;&lt;span style="color: #ff0000;"&gt;&lt;/p&gt;
&lt;p&gt;&lt;span style="color: #ff0000;"&gt;It's correct that you re-scheduled the call. However, we would like to ask you to report the status of the call as "Only caregiver interviewed".&lt;/span&gt;&lt;br /&gt; &lt;br /&gt;&lt;span style="color: #ff0000;"&gt;&lt;/p&gt;</t>
        </is>
      </c>
      <c r="D208" s="114" t="n"/>
      <c r="E208" s="115" t="n"/>
      <c r="F208" s="115" t="n"/>
      <c r="G208" s="114" t="n"/>
      <c r="H208" s="114" t="n"/>
      <c r="I208" s="116" t="inlineStr">
        <is>
          <t>selected(${call_status_e}, '3') and ${caregiver_interviewed_e} = 1 and ${stud_level_num} = null</t>
        </is>
      </c>
      <c r="J208" s="115" t="n"/>
      <c r="K208" s="113" t="inlineStr">
        <is>
          <t>yes</t>
        </is>
      </c>
      <c r="L208" s="114" t="n"/>
      <c r="M208" s="115" t="n"/>
      <c r="N208" s="116" t="n"/>
      <c r="O208" s="115" t="n"/>
      <c r="P208" s="115" t="n"/>
      <c r="Q208" s="115" t="n"/>
      <c r="R208" s="115" t="n"/>
      <c r="S208" s="114" t="n"/>
      <c r="T208" s="115" t="n"/>
      <c r="U208" s="114" t="n"/>
      <c r="V208" s="114" t="n"/>
      <c r="W208" s="115" t="n"/>
      <c r="X208" s="115" t="n"/>
    </row>
    <row r="209" ht="102" customHeight="1">
      <c r="A209" s="113" t="inlineStr">
        <is>
          <t>note</t>
        </is>
      </c>
      <c r="B209" s="113" t="inlineStr">
        <is>
          <t>warning_status_resched</t>
        </is>
      </c>
      <c r="C209" s="118" t="inlineStr">
        <is>
          <t>&lt;p&gt;&lt;span style="color: #ff0000;"&gt;&lt;strong&gt;WARNING!&lt;/strong&gt;&lt;/span&gt;&lt;br /&gt; &lt;br /&gt;&lt;span style="color: #ff0000;"&gt;&lt;/p&gt;
&lt;p&gt;&lt;span style="color: #ff0000;"&gt;There is no indication that the caregiver/call recipient re-scheduled the call. Please go back and change your response accordingly.&lt;/span&gt;&lt;br /&gt; &lt;br /&gt;&lt;span style="color: #ff0000;"&gt;&lt;/p&gt;</t>
        </is>
      </c>
      <c r="D209" s="114" t="n"/>
      <c r="E209" s="115" t="n"/>
      <c r="F209" s="115" t="n"/>
      <c r="G209" s="114" t="n"/>
      <c r="H209" s="114" t="n"/>
      <c r="I209" s="116" t="inlineStr">
        <is>
          <t>selected(${call_status_e}, '3') and ${callback_time} = null</t>
        </is>
      </c>
      <c r="J209" s="115" t="n"/>
      <c r="K209" s="113" t="inlineStr">
        <is>
          <t>yes</t>
        </is>
      </c>
      <c r="L209" s="114" t="n"/>
      <c r="M209" s="115" t="n"/>
      <c r="N209" s="116" t="n"/>
      <c r="O209" s="115" t="n"/>
      <c r="P209" s="115" t="n"/>
      <c r="Q209" s="115" t="n"/>
      <c r="R209" s="115" t="n"/>
      <c r="S209" s="114" t="n"/>
      <c r="T209" s="115" t="n"/>
      <c r="U209" s="114" t="n"/>
      <c r="V209" s="114" t="n"/>
      <c r="W209" s="115" t="n"/>
      <c r="X209" s="115" t="n"/>
    </row>
    <row r="210" ht="85" customHeight="1">
      <c r="A210" s="113" t="inlineStr">
        <is>
          <t>note</t>
        </is>
      </c>
      <c r="B210" s="113" t="inlineStr">
        <is>
          <t>warning_status_noanswer</t>
        </is>
      </c>
      <c r="C210" s="118" t="inlineStr">
        <is>
          <t>&lt;p&gt;&lt;span style="color: #ff0000;"&gt;&lt;strong&gt;WARNING!&lt;/strong&gt;&lt;/span&gt;&lt;br /&gt; &lt;br /&gt;&lt;span style="color: #ff0000;"&gt;&lt;/p&gt;
&lt;p&gt;&lt;span style="color: #ff0000;"&gt;There is no indication that the call is not answered. Please go back and change your response accordingly.&lt;/span&gt;&lt;br /&gt; &lt;br /&gt;&lt;span style="color: #ff0000;"&gt;&lt;/p&gt;</t>
        </is>
      </c>
      <c r="D210" s="114" t="n"/>
      <c r="E210" s="115" t="n"/>
      <c r="F210" s="115" t="n"/>
      <c r="G210" s="114" t="n"/>
      <c r="H210" s="114" t="n"/>
      <c r="I210" s="116" t="inlineStr">
        <is>
          <t>selected(${call_status_e}, '4') and not(selected(${phone_call_response}, '3'))</t>
        </is>
      </c>
      <c r="J210" s="115" t="n"/>
      <c r="K210" s="113" t="inlineStr">
        <is>
          <t>yes</t>
        </is>
      </c>
      <c r="L210" s="114" t="n"/>
      <c r="M210" s="115" t="n"/>
      <c r="N210" s="116" t="n"/>
      <c r="O210" s="115" t="n"/>
      <c r="P210" s="115" t="n"/>
      <c r="Q210" s="115" t="n"/>
      <c r="R210" s="115" t="n"/>
      <c r="S210" s="114" t="n"/>
      <c r="T210" s="115" t="n"/>
      <c r="U210" s="114" t="n"/>
      <c r="V210" s="114" t="n"/>
      <c r="W210" s="115" t="n"/>
      <c r="X210" s="115" t="n"/>
    </row>
    <row r="211" ht="102" customHeight="1">
      <c r="A211" s="113" t="inlineStr">
        <is>
          <t>note</t>
        </is>
      </c>
      <c r="B211" s="113" t="inlineStr">
        <is>
          <t>warning_status_refusal</t>
        </is>
      </c>
      <c r="C211" s="118" t="inlineStr">
        <is>
          <t>&lt;p&gt;&lt;span style="color: #ff0000;"&gt;&lt;strong&gt;WARNING!&lt;/strong&gt;&lt;/span&gt;&lt;br /&gt; &lt;br /&gt;&lt;span style="color: #ff0000;"&gt;&lt;/p&gt;
&lt;p&gt;&lt;span style="color: #ff0000;"&gt;There is no indication that the caregiver did not consent to the survey. Please go back and change your response accordingly.&lt;/span&gt;&lt;br /&gt; &lt;br /&gt;&lt;span style="color: #ff0000;"&gt;&lt;/p&gt;</t>
        </is>
      </c>
      <c r="D211" s="114" t="n"/>
      <c r="E211" s="115" t="n"/>
      <c r="F211" s="115" t="n"/>
      <c r="G211" s="114" t="n"/>
      <c r="H211" s="114" t="n"/>
      <c r="I211" s="116" t="inlineStr">
        <is>
          <t>selected(${call_status_e}, '5') and ${consent_e} != 0</t>
        </is>
      </c>
      <c r="J211" s="115" t="n"/>
      <c r="K211" s="113" t="inlineStr">
        <is>
          <t>yes</t>
        </is>
      </c>
      <c r="L211" s="114" t="n"/>
      <c r="M211" s="115" t="n"/>
      <c r="N211" s="116" t="n"/>
      <c r="O211" s="115" t="n"/>
      <c r="P211" s="115" t="n"/>
      <c r="Q211" s="115" t="n"/>
      <c r="R211" s="115" t="n"/>
      <c r="S211" s="114" t="n"/>
      <c r="T211" s="115" t="n"/>
      <c r="U211" s="114" t="n"/>
      <c r="V211" s="114" t="n"/>
      <c r="W211" s="115" t="n"/>
      <c r="X211" s="115" t="n"/>
    </row>
    <row r="212" ht="85" customHeight="1">
      <c r="A212" s="113" t="inlineStr">
        <is>
          <t>note</t>
        </is>
      </c>
      <c r="B212" s="113" t="inlineStr">
        <is>
          <t>warning_status_wrongno</t>
        </is>
      </c>
      <c r="C212" s="118" t="inlineStr">
        <is>
          <t>&lt;p&gt;&lt;span style="color: #ff0000;"&gt;&lt;strong&gt;WARNING!&lt;/strong&gt;&lt;/span&gt;&lt;br /&gt; &lt;br /&gt;&lt;span style="color: #ff0000;"&gt;&lt;/p&gt;
&lt;p&gt;&lt;span style="color: #ff0000;"&gt;There is no indication that the phone number is wrong or invalid. Please go back and change your response accordingly.&lt;/span&gt;&lt;br /&gt; &lt;br /&gt;&lt;span style="color: #ff0000;"&gt;&lt;/p&gt;</t>
        </is>
      </c>
      <c r="D212" s="114" t="n"/>
      <c r="E212" s="115" t="n"/>
      <c r="F212" s="115" t="n"/>
      <c r="G212" s="114" t="n"/>
      <c r="H212" s="114" t="n"/>
      <c r="I212" s="116" t="inlineStr">
        <is>
          <t>selected(${call_status_e}, '6') and not(selected(${phone_call_response}, '4'))</t>
        </is>
      </c>
      <c r="J212" s="115" t="n"/>
      <c r="K212" s="113" t="inlineStr">
        <is>
          <t>yes</t>
        </is>
      </c>
      <c r="L212" s="114" t="n"/>
      <c r="M212" s="115" t="n"/>
      <c r="N212" s="116" t="n"/>
      <c r="O212" s="115" t="n"/>
      <c r="P212" s="115" t="n"/>
      <c r="Q212" s="115" t="n"/>
      <c r="R212" s="115" t="n"/>
      <c r="S212" s="114" t="n"/>
      <c r="T212" s="115" t="n"/>
      <c r="U212" s="114" t="n"/>
      <c r="V212" s="114" t="n"/>
      <c r="W212" s="115" t="n"/>
      <c r="X212" s="115" t="n"/>
    </row>
    <row r="213">
      <c r="A213" s="113" t="inlineStr">
        <is>
          <t>end group</t>
        </is>
      </c>
      <c r="B213" s="113" t="inlineStr">
        <is>
          <t>end_call</t>
        </is>
      </c>
      <c r="C213" s="114" t="n"/>
      <c r="D213" s="114" t="n"/>
      <c r="E213" s="115" t="n"/>
      <c r="F213" s="115" t="n"/>
      <c r="G213" s="114" t="n"/>
      <c r="H213" s="114" t="n"/>
      <c r="I213" s="114" t="n"/>
      <c r="J213" s="115" t="n"/>
      <c r="K213" s="115" t="n"/>
      <c r="L213" s="114" t="n"/>
      <c r="M213" s="115" t="n"/>
      <c r="N213" s="114" t="n"/>
      <c r="O213" s="115" t="n"/>
      <c r="P213" s="115" t="n"/>
      <c r="Q213" s="115" t="n"/>
      <c r="R213" s="115" t="n"/>
      <c r="S213" s="114" t="n"/>
      <c r="T213" s="115" t="n"/>
      <c r="U213" s="114" t="n"/>
      <c r="V213" s="114" t="n"/>
      <c r="W213" s="115" t="n"/>
      <c r="X213" s="115" t="n"/>
    </row>
    <row r="214">
      <c r="A214" s="115" t="n"/>
      <c r="B214" s="115" t="n"/>
      <c r="C214" s="114" t="n"/>
      <c r="D214" s="114" t="n"/>
      <c r="E214" s="115" t="n"/>
      <c r="F214" s="115" t="n"/>
      <c r="G214" s="114" t="n"/>
      <c r="H214" s="114" t="n"/>
      <c r="I214" s="114" t="n"/>
      <c r="J214" s="115" t="n"/>
      <c r="K214" s="115" t="n"/>
      <c r="L214" s="114" t="n"/>
      <c r="M214" s="115" t="n"/>
      <c r="N214" s="114" t="n"/>
      <c r="O214" s="115" t="n"/>
      <c r="P214" s="115" t="n"/>
      <c r="Q214" s="115" t="n"/>
      <c r="R214" s="115" t="n"/>
      <c r="S214" s="114" t="n"/>
      <c r="T214" s="115" t="n"/>
      <c r="U214" s="114" t="n"/>
      <c r="V214" s="114" t="n"/>
      <c r="W214" s="115" t="n"/>
      <c r="X214" s="115" t="n"/>
    </row>
    <row r="215" ht="17" customHeight="1">
      <c r="A215" s="113" t="inlineStr">
        <is>
          <t>calculate_here</t>
        </is>
      </c>
      <c r="B215" s="113" t="inlineStr">
        <is>
          <t>survey_end_ts</t>
        </is>
      </c>
      <c r="C215" s="117" t="inlineStr">
        <is>
          <t>Calculates actual end time of survey (after call status is inputted)</t>
        </is>
      </c>
      <c r="D215" s="114" t="n"/>
      <c r="E215" s="115" t="n"/>
      <c r="F215" s="115" t="n"/>
      <c r="G215" s="114" t="n"/>
      <c r="H215" s="114" t="n"/>
      <c r="I215" s="114" t="n"/>
      <c r="J215" s="115" t="n"/>
      <c r="K215" s="115" t="n"/>
      <c r="L215" s="114" t="n"/>
      <c r="M215" s="115" t="n"/>
      <c r="N215" s="116" t="inlineStr">
        <is>
          <t>once(duration())</t>
        </is>
      </c>
      <c r="O215" s="115" t="n"/>
      <c r="P215" s="115" t="n"/>
      <c r="Q215" s="115" t="n"/>
      <c r="R215" s="115" t="n"/>
      <c r="S215" s="114" t="n"/>
      <c r="T215" s="115" t="n"/>
      <c r="U215" s="114" t="n"/>
      <c r="V215" s="114" t="n"/>
      <c r="W215" s="115" t="n"/>
      <c r="X215" s="115" t="n"/>
    </row>
    <row r="216">
      <c r="A216" s="115" t="n"/>
      <c r="B216" s="115" t="n"/>
      <c r="C216" s="114" t="n"/>
      <c r="D216" s="114" t="n"/>
      <c r="E216" s="115" t="n"/>
      <c r="F216" s="115" t="n"/>
      <c r="G216" s="114" t="n"/>
      <c r="H216" s="114" t="n"/>
      <c r="I216" s="114" t="n"/>
      <c r="J216" s="115" t="n"/>
      <c r="K216" s="115" t="n"/>
      <c r="L216" s="114" t="n"/>
      <c r="M216" s="115" t="n"/>
      <c r="N216" s="114" t="n"/>
      <c r="O216" s="115" t="n"/>
      <c r="P216" s="115" t="n"/>
      <c r="Q216" s="115" t="n"/>
      <c r="R216" s="115" t="n"/>
      <c r="S216" s="114" t="n"/>
      <c r="T216" s="115" t="n"/>
      <c r="U216" s="114" t="n"/>
      <c r="V216" s="114" t="n"/>
      <c r="W216" s="115" t="n"/>
      <c r="X216" s="115" t="n"/>
    </row>
    <row r="217" ht="17" customHeight="1">
      <c r="A217" s="113" t="inlineStr">
        <is>
          <t>text</t>
        </is>
      </c>
      <c r="B217" s="113" t="inlineStr">
        <is>
          <t>fac_comments</t>
        </is>
      </c>
      <c r="C217" s="117" t="inlineStr">
        <is>
          <t>Do you have any comments you would like to record?</t>
        </is>
      </c>
      <c r="D217" s="114" t="n"/>
      <c r="E217" s="115" t="n"/>
      <c r="F217" s="115" t="n"/>
      <c r="G217" s="114" t="n"/>
      <c r="H217" s="114" t="n"/>
      <c r="I217" s="114" t="n"/>
      <c r="J217" s="115" t="n"/>
      <c r="K217" s="115" t="n"/>
      <c r="L217" s="114" t="n"/>
      <c r="M217" s="115" t="n"/>
      <c r="N217" s="114" t="n"/>
      <c r="O217" s="115" t="n"/>
      <c r="P217" s="115" t="n"/>
      <c r="Q217" s="115" t="n"/>
      <c r="R217" s="115" t="n"/>
      <c r="S217" s="114" t="n"/>
      <c r="T217" s="115" t="n"/>
      <c r="U217" s="114" t="n"/>
      <c r="V217" s="114" t="n"/>
      <c r="W217" s="115" t="n"/>
      <c r="X217" s="115" t="n"/>
    </row>
    <row r="218" ht="109.25" customHeight="1">
      <c r="A218" s="113" t="inlineStr">
        <is>
          <t>note</t>
        </is>
      </c>
      <c r="B218" s="113" t="inlineStr">
        <is>
          <t>thankyou</t>
        </is>
      </c>
      <c r="C218" s="117" t="inlineStr">
        <is>
          <t>Thank you for completing this form and for being a part of mEducation!</t>
        </is>
      </c>
      <c r="D218" s="114" t="n"/>
      <c r="E218" s="115" t="n"/>
      <c r="F218" s="113" t="inlineStr">
        <is>
          <t>thankyou</t>
        </is>
      </c>
      <c r="G218" s="114" t="n"/>
      <c r="H218" s="114" t="n"/>
      <c r="I218" s="114" t="n"/>
      <c r="J218" s="115" t="n"/>
      <c r="K218" s="115" t="n"/>
      <c r="L218" s="114" t="n"/>
      <c r="M218" s="115" t="n"/>
      <c r="N218" s="114" t="n"/>
      <c r="O218" s="115" t="n"/>
      <c r="P218" s="115" t="n"/>
      <c r="Q218" s="115" t="n"/>
      <c r="R218" s="115" t="n"/>
      <c r="S218" s="114" t="n"/>
      <c r="T218" s="115" t="n"/>
      <c r="U218" s="114" t="n"/>
      <c r="V218" s="114" t="n"/>
      <c r="W218" s="115" t="n"/>
      <c r="X218" s="115" t="n"/>
    </row>
    <row r="219">
      <c r="A219" s="115" t="n"/>
      <c r="B219" s="115" t="n"/>
      <c r="C219" s="114" t="n"/>
      <c r="D219" s="114" t="n"/>
      <c r="E219" s="115" t="n"/>
      <c r="F219" s="115" t="n"/>
      <c r="G219" s="114" t="n"/>
      <c r="H219" s="114" t="n"/>
      <c r="I219" s="114" t="n"/>
      <c r="J219" s="115" t="n"/>
      <c r="K219" s="115" t="n"/>
      <c r="L219" s="114" t="n"/>
      <c r="M219" s="115" t="n"/>
      <c r="N219" s="114" t="n"/>
      <c r="O219" s="115" t="n"/>
      <c r="P219" s="115" t="n"/>
      <c r="Q219" s="115" t="n"/>
      <c r="R219" s="115" t="n"/>
      <c r="S219" s="114" t="n"/>
      <c r="T219" s="115" t="n"/>
      <c r="U219" s="114" t="n"/>
      <c r="V219" s="114" t="n"/>
      <c r="W219" s="115" t="n"/>
      <c r="X219" s="115" t="n"/>
    </row>
    <row r="220" ht="17" customHeight="1">
      <c r="A220" s="113" t="inlineStr">
        <is>
          <t>calculate</t>
        </is>
      </c>
      <c r="B220" s="113" t="inlineStr">
        <is>
          <t>add_call</t>
        </is>
      </c>
      <c r="C220" s="117" t="inlineStr">
        <is>
          <t>Used for "Add" publishing to add to 'num_calls' in the server/cases dataset</t>
        </is>
      </c>
      <c r="D220" s="114" t="n"/>
      <c r="E220" s="115" t="n"/>
      <c r="F220" s="115" t="n"/>
      <c r="G220" s="114" t="n"/>
      <c r="H220" s="114" t="n"/>
      <c r="I220" s="114" t="n"/>
      <c r="J220" s="115" t="n"/>
      <c r="K220" s="115" t="n"/>
      <c r="L220" s="114" t="n"/>
      <c r="M220" s="115" t="n"/>
      <c r="N220" s="116" t="n">
        <v>1</v>
      </c>
      <c r="O220" s="115" t="n"/>
      <c r="P220" s="115" t="n"/>
      <c r="Q220" s="115" t="n"/>
      <c r="R220" s="115" t="n"/>
      <c r="S220" s="114" t="n"/>
      <c r="T220" s="115" t="n"/>
      <c r="U220" s="114" t="n"/>
      <c r="V220" s="114" t="n"/>
      <c r="W220" s="115" t="n"/>
      <c r="X220" s="115" t="n"/>
    </row>
  </sheetData>
  <conditionalFormatting sqref="A1:X12 A15:X15 A16:B17 A20:X22 A25:B27 A28:X28 A30:X34 A35:B35 A37:X75 A82:X83 A85:X85 A86:B86 A87:X99 A100 A101:X104 A109:X114 A117:X118 A120:X144 A151:X161 A162:B162 A163:X204 A205:B212 A213:X218 A222:X1048576 C100:X100 D16:X17 D25:X27 D35:M35 D86:X86 D162:X162 D205:X212 O35:X35">
    <cfRule type="expression" priority="3267" dxfId="115" stopIfTrue="1">
      <formula>$A1="enumerator"</formula>
    </cfRule>
    <cfRule type="expression" priority="6880" dxfId="117" stopIfTrue="1">
      <formula>$A1="file"</formula>
    </cfRule>
  </conditionalFormatting>
  <conditionalFormatting sqref="A108:C108">
    <cfRule type="expression" priority="509" dxfId="115" stopIfTrue="1">
      <formula>$A108="enumerator"</formula>
    </cfRule>
    <cfRule type="expression" priority="513" dxfId="117" stopIfTrue="1">
      <formula>$A108="file"</formula>
    </cfRule>
    <cfRule type="expression" priority="518" dxfId="25" stopIfTrue="1">
      <formula>$A108="comments"</formula>
    </cfRule>
    <cfRule type="expression" priority="520" dxfId="24" stopIfTrue="1">
      <formula>OR($A108="audio", $A108="video")</formula>
    </cfRule>
    <cfRule type="expression" priority="522" dxfId="23" stopIfTrue="1">
      <formula>$A108="image"</formula>
    </cfRule>
    <cfRule type="expression" priority="524" dxfId="22" stopIfTrue="1">
      <formula>OR($A108="date", $A108="datetime", $A108="time")</formula>
    </cfRule>
    <cfRule type="expression" priority="526" dxfId="13" stopIfTrue="1">
      <formula>$A108="note"</formula>
    </cfRule>
    <cfRule type="expression" priority="527" dxfId="12" stopIfTrue="1">
      <formula>$A108="barcode"</formula>
    </cfRule>
    <cfRule type="expression" priority="528" dxfId="11" stopIfTrue="1">
      <formula>OR($A108="geopoint", $A108="geoshape", $A108="geotrace")</formula>
    </cfRule>
    <cfRule type="expression" priority="531" dxfId="9" stopIfTrue="1">
      <formula>OR($A108="username", $A108="phonenumber", $A108="start", $A108="end", $A108="deviceid", $A108="subscriberid", $A108="simserial", $A108="caseid")</formula>
    </cfRule>
    <cfRule type="expression" priority="533" dxfId="8" stopIfTrue="1">
      <formula>OR(AND(LEFT($A108, 16)="select_multiple ", LEN($A108)&gt;16, NOT(ISNUMBER(SEARCH(" ", $A108, 17)))), AND(LEFT($A108, 11)="select_one ", LEN($A108)&gt;11, NOT(ISNUMBER(SEARCH(" ", $A108, 12)))))</formula>
    </cfRule>
    <cfRule type="expression" priority="534" dxfId="7" stopIfTrue="1">
      <formula>$A108="decimal"</formula>
    </cfRule>
    <cfRule type="expression" priority="535" dxfId="6" stopIfTrue="1">
      <formula>$A108="integer"</formula>
    </cfRule>
    <cfRule type="expression" priority="536" dxfId="5" stopIfTrue="1">
      <formula>$A108="text"</formula>
    </cfRule>
    <cfRule type="expression" priority="537" dxfId="3" stopIfTrue="1">
      <formula>$A108="end repeat"</formula>
    </cfRule>
    <cfRule type="expression" priority="538" dxfId="3" stopIfTrue="1">
      <formula>$A108="begin repeat"</formula>
    </cfRule>
    <cfRule type="expression" priority="539" dxfId="1" stopIfTrue="1">
      <formula>$A108="end group"</formula>
    </cfRule>
    <cfRule type="expression" priority="540" dxfId="1" stopIfTrue="1">
      <formula>$A108="begin group"</formula>
    </cfRule>
  </conditionalFormatting>
  <conditionalFormatting sqref="A105:F106 I105:X106">
    <cfRule type="expression" priority="42" dxfId="14" stopIfTrue="1">
      <formula>OR($A105="calculate", $A105="calculate_here")</formula>
    </cfRule>
    <cfRule type="expression" priority="48" dxfId="115" stopIfTrue="1">
      <formula>$A105="enumerator"</formula>
    </cfRule>
    <cfRule type="expression" priority="52" dxfId="117" stopIfTrue="1">
      <formula>$A105="file"</formula>
    </cfRule>
    <cfRule type="expression" priority="55" dxfId="114" stopIfTrue="1">
      <formula>OR(AND(LEFT($A105, 14)="sensor_stream ", LEN($A105)&gt;14, NOT(ISNUMBER(SEARCH(" ", $A105, 15)))), AND(LEFT($A105, 17)="sensor_statistic ", LEN($A105)&gt;17, NOT(ISNUMBER(SEARCH(" ", $A105, 18)))))</formula>
    </cfRule>
    <cfRule type="expression" priority="57" dxfId="25" stopIfTrue="1">
      <formula>$A105="comments"</formula>
    </cfRule>
    <cfRule type="expression" priority="59" dxfId="24" stopIfTrue="1">
      <formula>OR($A105="audio", $A105="video")</formula>
    </cfRule>
    <cfRule type="expression" priority="61" dxfId="23" stopIfTrue="1">
      <formula>$A105="image"</formula>
    </cfRule>
    <cfRule type="expression" priority="63" dxfId="22" stopIfTrue="1">
      <formula>OR($A105="date", $A105="datetime", $A105="time")</formula>
    </cfRule>
    <cfRule type="expression" priority="65" dxfId="13" stopIfTrue="1">
      <formula>$A105="note"</formula>
    </cfRule>
    <cfRule type="expression" priority="66" dxfId="12" stopIfTrue="1">
      <formula>$A105="barcode"</formula>
    </cfRule>
    <cfRule type="expression" priority="67" dxfId="11" stopIfTrue="1">
      <formula>OR($A105="geopoint", $A105="geoshape", $A105="geotrace")</formula>
    </cfRule>
    <cfRule type="expression" priority="69" dxfId="10" stopIfTrue="1">
      <formula>OR($A105="audio audit", $A105="text audit", $A105="speed violations count", $A105="speed violations list", $A105="speed violations audit")</formula>
    </cfRule>
    <cfRule type="expression" priority="70" dxfId="9" stopIfTrue="1">
      <formula>OR($A105="username", $A105="phonenumber", $A105="start", $A105="end", $A105="deviceid", $A105="subscriberid", $A105="simserial", $A105="caseid")</formula>
    </cfRule>
    <cfRule type="expression" priority="72" dxfId="8" stopIfTrue="1">
      <formula>OR(AND(LEFT($A105, 16)="select_multiple ", LEN($A105)&gt;16, NOT(ISNUMBER(SEARCH(" ", $A105, 17)))), AND(LEFT($A105, 11)="select_one ", LEN($A105)&gt;11, NOT(ISNUMBER(SEARCH(" ", $A105, 12)))))</formula>
    </cfRule>
    <cfRule type="expression" priority="73" dxfId="7" stopIfTrue="1">
      <formula>$A105="decimal"</formula>
    </cfRule>
    <cfRule type="expression" priority="74" dxfId="6" stopIfTrue="1">
      <formula>$A105="integer"</formula>
    </cfRule>
    <cfRule type="expression" priority="75" dxfId="5" stopIfTrue="1">
      <formula>$A105="text"</formula>
    </cfRule>
    <cfRule type="expression" priority="76" dxfId="3" stopIfTrue="1">
      <formula>$A105="end repeat"</formula>
    </cfRule>
    <cfRule type="expression" priority="77" dxfId="3" stopIfTrue="1">
      <formula>$A105="begin repeat"</formula>
    </cfRule>
    <cfRule type="expression" priority="78" dxfId="1" stopIfTrue="1">
      <formula>$A105="end group"</formula>
    </cfRule>
    <cfRule type="expression" priority="79" dxfId="1" stopIfTrue="1">
      <formula>$A105="begin group"</formula>
    </cfRule>
  </conditionalFormatting>
  <conditionalFormatting sqref="A119:I119 L119:X119">
    <cfRule type="expression" priority="1175" dxfId="25" stopIfTrue="1">
      <formula>$A119="comments"</formula>
    </cfRule>
    <cfRule type="expression" priority="1183" dxfId="114" stopIfTrue="1">
      <formula>OR(AND(LEFT($A119, 14)="sensor_stream ", LEN($A119)&gt;14, NOT(ISNUMBER(SEARCH(" ", $A119, 15)))), AND(LEFT($A119, 17)="sensor_statistic ", LEN($A119)&gt;17, NOT(ISNUMBER(SEARCH(" ", $A119, 18)))))</formula>
    </cfRule>
    <cfRule type="expression" priority="1186" dxfId="24" stopIfTrue="1">
      <formula>OR($A119="audio", $A119="video")</formula>
    </cfRule>
    <cfRule type="expression" priority="1188" dxfId="23" stopIfTrue="1">
      <formula>$A119="image"</formula>
    </cfRule>
    <cfRule type="expression" priority="1190" dxfId="22" stopIfTrue="1">
      <formula>OR($A119="date", $A119="datetime", $A119="time")</formula>
    </cfRule>
    <cfRule type="expression" priority="1194" dxfId="12" stopIfTrue="1">
      <formula>$A119="barcode"</formula>
    </cfRule>
    <cfRule type="expression" priority="1195" dxfId="11" stopIfTrue="1">
      <formula>OR($A119="geopoint", $A119="geoshape", $A119="geotrace")</formula>
    </cfRule>
    <cfRule type="expression" priority="1197" dxfId="10" stopIfTrue="1">
      <formula>OR($A119="audio audit", $A119="text audit", $A119="speed violations count", $A119="speed violations list", $A119="speed violations audit")</formula>
    </cfRule>
    <cfRule type="expression" priority="1198" dxfId="9" stopIfTrue="1">
      <formula>OR($A119="username", $A119="phonenumber", $A119="start", $A119="end", $A119="deviceid", $A119="subscriberid", $A119="simserial", $A119="caseid")</formula>
    </cfRule>
    <cfRule type="expression" priority="1200" dxfId="8" stopIfTrue="1">
      <formula>OR(AND(LEFT($A119, 16)="select_multiple ", LEN($A119)&gt;16, NOT(ISNUMBER(SEARCH(" ", $A119, 17)))), AND(LEFT($A119, 11)="select_one ", LEN($A119)&gt;11, NOT(ISNUMBER(SEARCH(" ", $A119, 12)))))</formula>
    </cfRule>
    <cfRule type="expression" priority="1201" dxfId="7" stopIfTrue="1">
      <formula>$A119="decimal"</formula>
    </cfRule>
    <cfRule type="expression" priority="1202" dxfId="6" stopIfTrue="1">
      <formula>$A119="integer"</formula>
    </cfRule>
    <cfRule type="expression" priority="1204" dxfId="5" stopIfTrue="1">
      <formula>$A119="text"</formula>
    </cfRule>
    <cfRule type="expression" priority="1205" dxfId="3" stopIfTrue="1">
      <formula>$A119="end repeat"</formula>
    </cfRule>
    <cfRule type="expression" priority="1206" dxfId="3" stopIfTrue="1">
      <formula>$A119="begin repeat"</formula>
    </cfRule>
    <cfRule type="expression" priority="1207" dxfId="1" stopIfTrue="1">
      <formula>$A119="end group"</formula>
    </cfRule>
    <cfRule type="expression" priority="1208" dxfId="1" stopIfTrue="1">
      <formula>$A119="begin group"</formula>
    </cfRule>
    <cfRule type="expression" priority="1193" dxfId="13" stopIfTrue="1">
      <formula>$A119="note"</formula>
    </cfRule>
  </conditionalFormatting>
  <conditionalFormatting sqref="A13:W14 A18:W19 A29:W29">
    <cfRule type="expression" priority="1330" dxfId="115" stopIfTrue="1">
      <formula>$A13="enumerator"</formula>
    </cfRule>
    <cfRule type="expression" priority="1332" dxfId="114" stopIfTrue="1">
      <formula>OR(AND(LEFT($A13, 14)="sensor_stream ", LEN($A13)&gt;14, NOT(ISNUMBER(SEARCH(" ", $A13, 15)))), AND(LEFT($A13, 17)="sensor_statistic ", LEN($A13)&gt;17, NOT(ISNUMBER(SEARCH(" ", $A13, 18)))))</formula>
    </cfRule>
    <cfRule type="expression" priority="1334" dxfId="25" stopIfTrue="1">
      <formula>$A13="comments"</formula>
    </cfRule>
    <cfRule type="expression" priority="1336" dxfId="24" stopIfTrue="1">
      <formula>OR($A13="audio", $A13="video")</formula>
    </cfRule>
    <cfRule type="expression" priority="1338" dxfId="23" stopIfTrue="1">
      <formula>$A13="image"</formula>
    </cfRule>
    <cfRule type="expression" priority="1340" dxfId="22" stopIfTrue="1">
      <formula>OR($A13="date", $A13="datetime", $A13="time")</formula>
    </cfRule>
    <cfRule type="expression" priority="1342" dxfId="14" stopIfTrue="1">
      <formula>OR($A13="calculate", $A13="calculate_here")</formula>
    </cfRule>
    <cfRule type="expression" priority="1344" dxfId="13" stopIfTrue="1">
      <formula>$A13="note"</formula>
    </cfRule>
    <cfRule type="expression" priority="1346" dxfId="12" stopIfTrue="1">
      <formula>$A13="barcode"</formula>
    </cfRule>
    <cfRule type="expression" priority="1348" dxfId="11" stopIfTrue="1">
      <formula>OR($A13="geopoint", $A13="geoshape", $A13="geotrace")</formula>
    </cfRule>
    <cfRule type="expression" priority="1350" dxfId="10" stopIfTrue="1">
      <formula>OR($A13="audio audit", $A13="text audit", $A13="speed violations count", $A13="speed violations list", $A13="speed violations audit")</formula>
    </cfRule>
    <cfRule type="expression" priority="1351" dxfId="9" stopIfTrue="1">
      <formula>OR($A13="username", $A13="phonenumber", $A13="start", $A13="end", $A13="deviceid", $A13="subscriberid", $A13="simserial", $A13="caseid")</formula>
    </cfRule>
    <cfRule type="expression" priority="1353" dxfId="8" stopIfTrue="1">
      <formula>OR(AND(LEFT($A13, 16)="select_multiple ", LEN($A13)&gt;16, NOT(ISNUMBER(SEARCH(" ", $A13, 17)))), AND(LEFT($A13, 11)="select_one ", LEN($A13)&gt;11, NOT(ISNUMBER(SEARCH(" ", $A13, 12)))))</formula>
    </cfRule>
    <cfRule type="expression" priority="1355" dxfId="7" stopIfTrue="1">
      <formula>$A13="decimal"</formula>
    </cfRule>
    <cfRule type="expression" priority="1357" dxfId="6" stopIfTrue="1">
      <formula>$A13="integer"</formula>
    </cfRule>
    <cfRule type="expression" priority="1359" dxfId="5" stopIfTrue="1">
      <formula>$A13="text"</formula>
    </cfRule>
    <cfRule type="expression" priority="1360" dxfId="3" stopIfTrue="1">
      <formula>$A13="end repeat"</formula>
    </cfRule>
    <cfRule type="expression" priority="1362" dxfId="3" stopIfTrue="1">
      <formula>$A13="begin repeat"</formula>
    </cfRule>
    <cfRule type="expression" priority="1363" dxfId="1" stopIfTrue="1">
      <formula>$A13="end group"</formula>
    </cfRule>
    <cfRule type="expression" priority="1365" dxfId="1" stopIfTrue="1">
      <formula>$A13="begin group"</formula>
    </cfRule>
    <cfRule type="expression" priority="1328" dxfId="117" stopIfTrue="1">
      <formula>$A13="file"</formula>
    </cfRule>
  </conditionalFormatting>
  <conditionalFormatting sqref="A1:X12 A15:X15 A16:B17 A20:X22 A25:B27 A28:X28 A30:X34 A35:B35 A37:X75 A82:X83 A85:X85 A86:B86 A87:X99 A100 A101:X104 A109:X114 A117:X118 A120:X144 A151:X161 A162:B162 A163:X204 A205:B212 A213:X218 A222:X1048576 C100:X100 D16:X17 D25:X27 D35:M35 D86:X86 D162:X162 D205:X212 J119:K119 O35:X35">
    <cfRule type="expression" priority="6895" dxfId="24" stopIfTrue="1">
      <formula>OR($A1="audio", $A1="video")</formula>
    </cfRule>
    <cfRule type="expression" priority="6921" dxfId="8" stopIfTrue="1">
      <formula>OR(AND(LEFT($A1, 16)="select_multiple ", LEN($A1)&gt;16, NOT(ISNUMBER(SEARCH(" ", $A1, 17)))), AND(LEFT($A1, 11)="select_one ", LEN($A1)&gt;11, NOT(ISNUMBER(SEARCH(" ", $A1, 12)))))</formula>
    </cfRule>
    <cfRule type="expression" priority="6926" dxfId="7" stopIfTrue="1">
      <formula>$A1="decimal"</formula>
    </cfRule>
    <cfRule type="expression" priority="6928" dxfId="6" stopIfTrue="1">
      <formula>$A1="integer"</formula>
    </cfRule>
    <cfRule type="expression" priority="6931" dxfId="3" stopIfTrue="1">
      <formula>$A1="end repeat"</formula>
    </cfRule>
    <cfRule type="expression" priority="6933" dxfId="3" stopIfTrue="1">
      <formula>$A1="begin repeat"</formula>
    </cfRule>
    <cfRule type="expression" priority="6934" dxfId="1" stopIfTrue="1">
      <formula>$A1="end group"</formula>
    </cfRule>
    <cfRule type="expression" priority="6936" dxfId="1" stopIfTrue="1">
      <formula>$A1="begin group"</formula>
    </cfRule>
    <cfRule type="expression" priority="6914" dxfId="9" stopIfTrue="1">
      <formula>OR($A1="username", $A1="phonenumber", $A1="start", $A1="end", $A1="deviceid", $A1="subscriberid", $A1="simserial", $A1="caseid")</formula>
    </cfRule>
    <cfRule type="expression" priority="6905" dxfId="13" stopIfTrue="1">
      <formula>$A1="note"</formula>
    </cfRule>
    <cfRule type="expression" priority="6907" dxfId="12" stopIfTrue="1">
      <formula>$A1="barcode"</formula>
    </cfRule>
    <cfRule type="expression" priority="6909" dxfId="11" stopIfTrue="1">
      <formula>OR($A1="geopoint", $A1="geoshape", $A1="geotrace")</formula>
    </cfRule>
    <cfRule type="expression" priority="6930" dxfId="5" stopIfTrue="1">
      <formula>$A1="text"</formula>
    </cfRule>
  </conditionalFormatting>
  <conditionalFormatting sqref="A1:X12 A15:X15 A16:B17 A20:X22 A25:B27 A28:X28 A30:X34 A35:B35 A100 A101:X104 A163:X204 A205:B212 A213:X218 C100:X100 D16:X17 D25:X27 D35:M35 D205:X212 O35:X35">
    <cfRule type="expression" priority="6897" dxfId="23" stopIfTrue="1">
      <formula>$A1="image"</formula>
    </cfRule>
    <cfRule type="expression" priority="6901" dxfId="22" stopIfTrue="1">
      <formula>OR($A1="date", $A1="datetime", $A1="time")</formula>
    </cfRule>
  </conditionalFormatting>
  <conditionalFormatting sqref="A1:X12 A15:X15 A16:B17 D16:X17">
    <cfRule type="expression" priority="3271" dxfId="25" stopIfTrue="1">
      <formula>$A1="comments"</formula>
    </cfRule>
    <cfRule type="expression" priority="6903" dxfId="14" stopIfTrue="1">
      <formula>OR($A1="calculate", $A1="calculate_here")</formula>
    </cfRule>
  </conditionalFormatting>
  <conditionalFormatting sqref="A1:X12 A109:X114 A117:X118 J119:K119">
    <cfRule type="expression" priority="744" dxfId="10" stopIfTrue="1">
      <formula>OR($A1="audio audit", $A1="text audit", $A1="speed violations count", $A1="speed violations list", $A1="speed violations audit")</formula>
    </cfRule>
  </conditionalFormatting>
  <conditionalFormatting sqref="A15:X15 A16:B17 A20:X22 A24:X24 A25:B27 A28:X28 A30:X34 A35:B35 A37:X75 A100 A101:X104 A120:X161 A162:B162 A163:X204 A205:B212 A213:X218 A222:X1048576 C100:X100 D16:X17 D25:X27 D35:M35 D162:X162 D205:X212 O35:X35">
    <cfRule type="expression" priority="6888" dxfId="114" stopIfTrue="1">
      <formula>OR(AND(LEFT($A15, 14)="sensor_stream ", LEN($A15)&gt;14, NOT(ISNUMBER(SEARCH(" ", $A15, 15)))), AND(LEFT($A15, 17)="sensor_statistic ", LEN($A15)&gt;17, NOT(ISNUMBER(SEARCH(" ", $A15, 18)))))</formula>
    </cfRule>
    <cfRule type="expression" priority="6911" dxfId="10" stopIfTrue="1">
      <formula>OR($A15="audio audit", $A15="text audit", $A15="speed violations count", $A15="speed violations list", $A15="speed violations audit")</formula>
    </cfRule>
  </conditionalFormatting>
  <conditionalFormatting sqref="A20:X22 A25:B27 A28:X28 A30:X34 A35:B35 A37:X75 A82:X83 A85:X85 A86:B86 A87:X99 A100 A101:X104 A109:X114 A117:X118 A120:X144 A151:X161 A162:B162 A163:X204 A205:B212 A213:X218 A222:X1048576 C100:X100 D25:X27 D35:M35 D86:X86 D162:X162 D205:X212 J119:K119 O35:X35">
    <cfRule type="expression" priority="6891" dxfId="25" stopIfTrue="1">
      <formula>$A20="comments"</formula>
    </cfRule>
  </conditionalFormatting>
  <conditionalFormatting sqref="A20:X22 A25:B27 A28:X28 A30:X34 A35:B35 A100 A101:X104 A109:X114 A117:X118 A123:X161 A162:B162 A163:X204 A222:X1048576 C100:X100 D25:X27 D35:M35 D162:X162">
    <cfRule type="expression" priority="1606" dxfId="14" stopIfTrue="1">
      <formula>OR($A20="calculate", $A20="calculate_here")</formula>
    </cfRule>
  </conditionalFormatting>
  <conditionalFormatting sqref="A24:X24">
    <cfRule type="expression" priority="252" dxfId="14" stopIfTrue="1">
      <formula>OR($A24="calculate", $A24="calculate_here")</formula>
    </cfRule>
    <cfRule type="expression" priority="261" dxfId="115" stopIfTrue="1">
      <formula>$A24="enumerator"</formula>
    </cfRule>
    <cfRule type="expression" priority="265" dxfId="117" stopIfTrue="1">
      <formula>$A24="file"</formula>
    </cfRule>
    <cfRule type="expression" priority="268" dxfId="25" stopIfTrue="1">
      <formula>$A24="comments"</formula>
    </cfRule>
    <cfRule type="expression" priority="270" dxfId="24" stopIfTrue="1">
      <formula>OR($A24="audio", $A24="video")</formula>
    </cfRule>
    <cfRule type="expression" priority="272" dxfId="23" stopIfTrue="1">
      <formula>$A24="image"</formula>
    </cfRule>
    <cfRule type="expression" priority="274" dxfId="22" stopIfTrue="1">
      <formula>OR($A24="date", $A24="datetime", $A24="time")</formula>
    </cfRule>
    <cfRule type="expression" priority="276" dxfId="13" stopIfTrue="1">
      <formula>$A24="note"</formula>
    </cfRule>
    <cfRule type="expression" priority="277" dxfId="12" stopIfTrue="1">
      <formula>$A24="barcode"</formula>
    </cfRule>
    <cfRule type="expression" priority="278" dxfId="11" stopIfTrue="1">
      <formula>OR($A24="geopoint", $A24="geoshape", $A24="geotrace")</formula>
    </cfRule>
    <cfRule type="expression" priority="280" dxfId="9" stopIfTrue="1">
      <formula>OR($A24="username", $A24="phonenumber", $A24="start", $A24="end", $A24="deviceid", $A24="subscriberid", $A24="simserial", $A24="caseid")</formula>
    </cfRule>
    <cfRule type="expression" priority="282" dxfId="8" stopIfTrue="1">
      <formula>OR(AND(LEFT($A24, 16)="select_multiple ", LEN($A24)&gt;16, NOT(ISNUMBER(SEARCH(" ", $A24, 17)))), AND(LEFT($A24, 11)="select_one ", LEN($A24)&gt;11, NOT(ISNUMBER(SEARCH(" ", $A24, 12)))))</formula>
    </cfRule>
    <cfRule type="expression" priority="283" dxfId="7" stopIfTrue="1">
      <formula>$A24="decimal"</formula>
    </cfRule>
    <cfRule type="expression" priority="284" dxfId="6" stopIfTrue="1">
      <formula>$A24="integer"</formula>
    </cfRule>
    <cfRule type="expression" priority="285" dxfId="5" stopIfTrue="1">
      <formula>$A24="text"</formula>
    </cfRule>
    <cfRule type="expression" priority="286" dxfId="3" stopIfTrue="1">
      <formula>$A24="end repeat"</formula>
    </cfRule>
    <cfRule type="expression" priority="287" dxfId="3" stopIfTrue="1">
      <formula>$A24="begin repeat"</formula>
    </cfRule>
    <cfRule type="expression" priority="288" dxfId="1" stopIfTrue="1">
      <formula>$A24="end group"</formula>
    </cfRule>
    <cfRule type="expression" priority="289" dxfId="1" stopIfTrue="1">
      <formula>$A24="begin group"</formula>
    </cfRule>
  </conditionalFormatting>
  <conditionalFormatting sqref="A37:X75 A82:X83 A85:X85 A86:B86 A87:X91 A93:X99 A119:I122 A205:B212 A213:X218 D86:X86 D205:X212 J119:K119 J120:X122">
    <cfRule type="expression" priority="1003" dxfId="14" stopIfTrue="1">
      <formula>OR($A37="calculate", $A37="calculate_here")</formula>
    </cfRule>
  </conditionalFormatting>
  <conditionalFormatting sqref="A37:X75 A82:X83 A85:X85 A86:B86 A87:X99 A109:X114 A117:X118 A222:X1048576 D86:X86 J119:K119">
    <cfRule type="expression" priority="1002" dxfId="22" stopIfTrue="1">
      <formula>OR($A37="date", $A37="datetime", $A37="time")</formula>
    </cfRule>
    <cfRule type="expression" priority="1001" dxfId="23" stopIfTrue="1">
      <formula>$A37="image"</formula>
    </cfRule>
  </conditionalFormatting>
  <conditionalFormatting sqref="A76:X76">
    <cfRule type="expression" priority="1253" dxfId="115" stopIfTrue="1">
      <formula>$A76="enumerator"</formula>
    </cfRule>
    <cfRule type="expression" priority="1254" dxfId="25" stopIfTrue="1">
      <formula>$A76="comments"</formula>
    </cfRule>
    <cfRule type="expression" priority="1259" dxfId="117" stopIfTrue="1">
      <formula>$A76="file"</formula>
    </cfRule>
    <cfRule type="expression" priority="1262" dxfId="114" stopIfTrue="1">
      <formula>OR(AND(LEFT($A76, 14)="sensor_stream ", LEN($A76)&gt;14, NOT(ISNUMBER(SEARCH(" ", $A76, 15)))), AND(LEFT($A76, 17)="sensor_statistic ", LEN($A76)&gt;17, NOT(ISNUMBER(SEARCH(" ", $A76, 18)))))</formula>
    </cfRule>
    <cfRule type="expression" priority="1265" dxfId="24" stopIfTrue="1">
      <formula>OR($A76="audio", $A76="video")</formula>
    </cfRule>
    <cfRule type="expression" priority="1267" dxfId="23" stopIfTrue="1">
      <formula>$A76="image"</formula>
    </cfRule>
    <cfRule type="expression" priority="1269" dxfId="22" stopIfTrue="1">
      <formula>OR($A76="date", $A76="datetime", $A76="time")</formula>
    </cfRule>
    <cfRule type="expression" priority="1271" dxfId="14" stopIfTrue="1">
      <formula>OR($A76="calculate", $A76="calculate_here")</formula>
    </cfRule>
    <cfRule type="expression" priority="1272" dxfId="13" stopIfTrue="1">
      <formula>$A76="note"</formula>
    </cfRule>
    <cfRule type="expression" priority="1273" dxfId="12" stopIfTrue="1">
      <formula>$A76="barcode"</formula>
    </cfRule>
    <cfRule type="expression" priority="1274" dxfId="11" stopIfTrue="1">
      <formula>OR($A76="geopoint", $A76="geoshape", $A76="geotrace")</formula>
    </cfRule>
    <cfRule type="expression" priority="1276" dxfId="10" stopIfTrue="1">
      <formula>OR($A76="audio audit", $A76="text audit", $A76="speed violations count", $A76="speed violations list", $A76="speed violations audit")</formula>
    </cfRule>
    <cfRule type="expression" priority="1277" dxfId="9" stopIfTrue="1">
      <formula>OR($A76="username", $A76="phonenumber", $A76="start", $A76="end", $A76="deviceid", $A76="subscriberid", $A76="simserial", $A76="caseid")</formula>
    </cfRule>
    <cfRule type="expression" priority="1279" dxfId="8" stopIfTrue="1">
      <formula>OR(AND(LEFT($A76, 16)="select_multiple ", LEN($A76)&gt;16, NOT(ISNUMBER(SEARCH(" ", $A76, 17)))), AND(LEFT($A76, 11)="select_one ", LEN($A76)&gt;11, NOT(ISNUMBER(SEARCH(" ", $A76, 12)))))</formula>
    </cfRule>
    <cfRule type="expression" priority="1280" dxfId="7" stopIfTrue="1">
      <formula>$A76="decimal"</formula>
    </cfRule>
    <cfRule type="expression" priority="1281" dxfId="6" stopIfTrue="1">
      <formula>$A76="integer"</formula>
    </cfRule>
    <cfRule type="expression" priority="1283" dxfId="5" stopIfTrue="1">
      <formula>$A76="text"</formula>
    </cfRule>
    <cfRule type="expression" priority="1284" dxfId="3" stopIfTrue="1">
      <formula>$A76="end repeat"</formula>
    </cfRule>
    <cfRule type="expression" priority="1285" dxfId="3" stopIfTrue="1">
      <formula>$A76="begin repeat"</formula>
    </cfRule>
    <cfRule type="expression" priority="1286" dxfId="1" stopIfTrue="1">
      <formula>$A76="end group"</formula>
    </cfRule>
    <cfRule type="expression" priority="1287" dxfId="1" stopIfTrue="1">
      <formula>$A76="begin group"</formula>
    </cfRule>
  </conditionalFormatting>
  <conditionalFormatting sqref="A77:X77">
    <cfRule type="expression" priority="453" dxfId="115" stopIfTrue="1">
      <formula>$A77="enumerator"</formula>
    </cfRule>
    <cfRule type="expression" priority="454" dxfId="25" stopIfTrue="1">
      <formula>$A77="comments"</formula>
    </cfRule>
    <cfRule type="expression" priority="459" dxfId="117" stopIfTrue="1">
      <formula>$A77="file"</formula>
    </cfRule>
    <cfRule type="expression" priority="462" dxfId="114" stopIfTrue="1">
      <formula>OR(AND(LEFT($A77, 14)="sensor_stream ", LEN($A77)&gt;14, NOT(ISNUMBER(SEARCH(" ", $A77, 15)))), AND(LEFT($A77, 17)="sensor_statistic ", LEN($A77)&gt;17, NOT(ISNUMBER(SEARCH(" ", $A77, 18)))))</formula>
    </cfRule>
    <cfRule type="expression" priority="465" dxfId="24" stopIfTrue="1">
      <formula>OR($A77="audio", $A77="video")</formula>
    </cfRule>
    <cfRule type="expression" priority="467" dxfId="23" stopIfTrue="1">
      <formula>$A77="image"</formula>
    </cfRule>
    <cfRule type="expression" priority="469" dxfId="22" stopIfTrue="1">
      <formula>OR($A77="date", $A77="datetime", $A77="time")</formula>
    </cfRule>
    <cfRule type="expression" priority="472" dxfId="13" stopIfTrue="1">
      <formula>$A77="note"</formula>
    </cfRule>
    <cfRule type="expression" priority="473" dxfId="12" stopIfTrue="1">
      <formula>$A77="barcode"</formula>
    </cfRule>
    <cfRule type="expression" priority="474" dxfId="11" stopIfTrue="1">
      <formula>OR($A77="geopoint", $A77="geoshape", $A77="geotrace")</formula>
    </cfRule>
    <cfRule type="expression" priority="476" dxfId="10" stopIfTrue="1">
      <formula>OR($A77="audio audit", $A77="text audit", $A77="speed violations count", $A77="speed violations list", $A77="speed violations audit")</formula>
    </cfRule>
    <cfRule type="expression" priority="477" dxfId="9" stopIfTrue="1">
      <formula>OR($A77="username", $A77="phonenumber", $A77="start", $A77="end", $A77="deviceid", $A77="subscriberid", $A77="simserial", $A77="caseid")</formula>
    </cfRule>
    <cfRule type="expression" priority="479" dxfId="8" stopIfTrue="1">
      <formula>OR(AND(LEFT($A77, 16)="select_multiple ", LEN($A77)&gt;16, NOT(ISNUMBER(SEARCH(" ", $A77, 17)))), AND(LEFT($A77, 11)="select_one ", LEN($A77)&gt;11, NOT(ISNUMBER(SEARCH(" ", $A77, 12)))))</formula>
    </cfRule>
    <cfRule type="expression" priority="480" dxfId="7" stopIfTrue="1">
      <formula>$A77="decimal"</formula>
    </cfRule>
    <cfRule type="expression" priority="481" dxfId="6" stopIfTrue="1">
      <formula>$A77="integer"</formula>
    </cfRule>
    <cfRule type="expression" priority="483" dxfId="5" stopIfTrue="1">
      <formula>$A77="text"</formula>
    </cfRule>
    <cfRule type="expression" priority="484" dxfId="3" stopIfTrue="1">
      <formula>$A77="end repeat"</formula>
    </cfRule>
    <cfRule type="expression" priority="485" dxfId="3" stopIfTrue="1">
      <formula>$A77="begin repeat"</formula>
    </cfRule>
    <cfRule type="expression" priority="486" dxfId="1" stopIfTrue="1">
      <formula>$A77="end group"</formula>
    </cfRule>
    <cfRule type="expression" priority="487" dxfId="1" stopIfTrue="1">
      <formula>$A77="begin group"</formula>
    </cfRule>
  </conditionalFormatting>
  <conditionalFormatting sqref="A77:X81">
    <cfRule type="expression" priority="471" dxfId="14" stopIfTrue="1">
      <formula>OR($A77="calculate", $A77="calculate_here")</formula>
    </cfRule>
  </conditionalFormatting>
  <conditionalFormatting sqref="A78:X81">
    <cfRule type="expression" priority="429" dxfId="115" stopIfTrue="1">
      <formula>$A78="enumerator"</formula>
    </cfRule>
    <cfRule type="expression" priority="430" dxfId="117" stopIfTrue="1">
      <formula>$A78="file"</formula>
    </cfRule>
    <cfRule type="expression" priority="432" dxfId="25" stopIfTrue="1">
      <formula>$A78="comments"</formula>
    </cfRule>
    <cfRule type="expression" priority="433" dxfId="24" stopIfTrue="1">
      <formula>OR($A78="audio", $A78="video")</formula>
    </cfRule>
    <cfRule type="expression" priority="434" dxfId="23" stopIfTrue="1">
      <formula>$A78="image"</formula>
    </cfRule>
    <cfRule type="expression" priority="435" dxfId="22" stopIfTrue="1">
      <formula>OR($A78="date", $A78="datetime", $A78="time")</formula>
    </cfRule>
    <cfRule type="expression" priority="436" dxfId="13" stopIfTrue="1">
      <formula>$A78="note"</formula>
    </cfRule>
    <cfRule type="expression" priority="437" dxfId="12" stopIfTrue="1">
      <formula>$A78="barcode"</formula>
    </cfRule>
    <cfRule type="expression" priority="438" dxfId="11" stopIfTrue="1">
      <formula>OR($A78="geopoint", $A78="geoshape", $A78="geotrace")</formula>
    </cfRule>
    <cfRule type="expression" priority="440" dxfId="9" stopIfTrue="1">
      <formula>OR($A78="username", $A78="phonenumber", $A78="start", $A78="end", $A78="deviceid", $A78="subscriberid", $A78="simserial", $A78="caseid")</formula>
    </cfRule>
    <cfRule type="expression" priority="441" dxfId="8" stopIfTrue="1">
      <formula>OR(AND(LEFT($A78, 16)="select_multiple ", LEN($A78)&gt;16, NOT(ISNUMBER(SEARCH(" ", $A78, 17)))), AND(LEFT($A78, 11)="select_one ", LEN($A78)&gt;11, NOT(ISNUMBER(SEARCH(" ", $A78, 12)))))</formula>
    </cfRule>
    <cfRule type="expression" priority="442" dxfId="7" stopIfTrue="1">
      <formula>$A78="decimal"</formula>
    </cfRule>
    <cfRule type="expression" priority="443" dxfId="6" stopIfTrue="1">
      <formula>$A78="integer"</formula>
    </cfRule>
    <cfRule type="expression" priority="444" dxfId="5" stopIfTrue="1">
      <formula>$A78="text"</formula>
    </cfRule>
    <cfRule type="expression" priority="445" dxfId="3" stopIfTrue="1">
      <formula>$A78="end repeat"</formula>
    </cfRule>
    <cfRule type="expression" priority="446" dxfId="3" stopIfTrue="1">
      <formula>$A78="begin repeat"</formula>
    </cfRule>
    <cfRule type="expression" priority="447" dxfId="1" stopIfTrue="1">
      <formula>$A78="end group"</formula>
    </cfRule>
    <cfRule type="expression" priority="448" dxfId="1" stopIfTrue="1">
      <formula>$A78="begin group"</formula>
    </cfRule>
  </conditionalFormatting>
  <conditionalFormatting sqref="A78:X83">
    <cfRule type="expression" priority="431" dxfId="114" stopIfTrue="1">
      <formula>OR(AND(LEFT($A78, 14)="sensor_stream ", LEN($A78)&gt;14, NOT(ISNUMBER(SEARCH(" ", $A78, 15)))), AND(LEFT($A78, 17)="sensor_statistic ", LEN($A78)&gt;17, NOT(ISNUMBER(SEARCH(" ", $A78, 18)))))</formula>
    </cfRule>
    <cfRule type="expression" priority="439" dxfId="10" stopIfTrue="1">
      <formula>OR($A78="audio audit", $A78="text audit", $A78="speed violations count", $A78="speed violations list", $A78="speed violations audit")</formula>
    </cfRule>
  </conditionalFormatting>
  <conditionalFormatting sqref="A84:X84">
    <cfRule type="expression" priority="389" dxfId="14" stopIfTrue="1">
      <formula>OR($A84="calculate", $A84="calculate_here")</formula>
    </cfRule>
    <cfRule type="expression" priority="395" dxfId="115" stopIfTrue="1">
      <formula>$A84="enumerator"</formula>
    </cfRule>
    <cfRule type="expression" priority="399" dxfId="117" stopIfTrue="1">
      <formula>$A84="file"</formula>
    </cfRule>
    <cfRule type="expression" priority="404" dxfId="25" stopIfTrue="1">
      <formula>$A84="comments"</formula>
    </cfRule>
    <cfRule type="expression" priority="406" dxfId="24" stopIfTrue="1">
      <formula>OR($A84="audio", $A84="video")</formula>
    </cfRule>
    <cfRule type="expression" priority="408" dxfId="23" stopIfTrue="1">
      <formula>$A84="image"</formula>
    </cfRule>
    <cfRule type="expression" priority="410" dxfId="22" stopIfTrue="1">
      <formula>OR($A84="date", $A84="datetime", $A84="time")</formula>
    </cfRule>
    <cfRule type="expression" priority="412" dxfId="13" stopIfTrue="1">
      <formula>$A84="note"</formula>
    </cfRule>
    <cfRule type="expression" priority="413" dxfId="12" stopIfTrue="1">
      <formula>$A84="barcode"</formula>
    </cfRule>
    <cfRule type="expression" priority="414" dxfId="11" stopIfTrue="1">
      <formula>OR($A84="geopoint", $A84="geoshape", $A84="geotrace")</formula>
    </cfRule>
    <cfRule type="expression" priority="417" dxfId="9" stopIfTrue="1">
      <formula>OR($A84="username", $A84="phonenumber", $A84="start", $A84="end", $A84="deviceid", $A84="subscriberid", $A84="simserial", $A84="caseid")</formula>
    </cfRule>
    <cfRule type="expression" priority="419" dxfId="8" stopIfTrue="1">
      <formula>OR(AND(LEFT($A84, 16)="select_multiple ", LEN($A84)&gt;16, NOT(ISNUMBER(SEARCH(" ", $A84, 17)))), AND(LEFT($A84, 11)="select_one ", LEN($A84)&gt;11, NOT(ISNUMBER(SEARCH(" ", $A84, 12)))))</formula>
    </cfRule>
    <cfRule type="expression" priority="420" dxfId="7" stopIfTrue="1">
      <formula>$A84="decimal"</formula>
    </cfRule>
    <cfRule type="expression" priority="421" dxfId="6" stopIfTrue="1">
      <formula>$A84="integer"</formula>
    </cfRule>
    <cfRule type="expression" priority="422" dxfId="5" stopIfTrue="1">
      <formula>$A84="text"</formula>
    </cfRule>
    <cfRule type="expression" priority="423" dxfId="3" stopIfTrue="1">
      <formula>$A84="end repeat"</formula>
    </cfRule>
    <cfRule type="expression" priority="424" dxfId="3" stopIfTrue="1">
      <formula>$A84="begin repeat"</formula>
    </cfRule>
    <cfRule type="expression" priority="425" dxfId="1" stopIfTrue="1">
      <formula>$A84="end group"</formula>
    </cfRule>
    <cfRule type="expression" priority="426" dxfId="1" stopIfTrue="1">
      <formula>$A84="begin group"</formula>
    </cfRule>
  </conditionalFormatting>
  <conditionalFormatting sqref="A84:X85">
    <cfRule type="expression" priority="402" dxfId="114" stopIfTrue="1">
      <formula>OR(AND(LEFT($A84, 14)="sensor_stream ", LEN($A84)&gt;14, NOT(ISNUMBER(SEARCH(" ", $A84, 15)))), AND(LEFT($A84, 17)="sensor_statistic ", LEN($A84)&gt;17, NOT(ISNUMBER(SEARCH(" ", $A84, 18)))))</formula>
    </cfRule>
    <cfRule type="expression" priority="416" dxfId="10" stopIfTrue="1">
      <formula>OR($A84="audio audit", $A84="text audit", $A84="speed violations count", $A84="speed violations list", $A84="speed violations audit")</formula>
    </cfRule>
  </conditionalFormatting>
  <conditionalFormatting sqref="A86:X99">
    <cfRule type="expression" priority="370" dxfId="114" stopIfTrue="1">
      <formula>OR(AND(LEFT($A86, 14)="sensor_stream ", LEN($A86)&gt;14, NOT(ISNUMBER(SEARCH(" ", $A86, 15)))), AND(LEFT($A86, 17)="sensor_statistic ", LEN($A86)&gt;17, NOT(ISNUMBER(SEARCH(" ", $A86, 18)))))</formula>
    </cfRule>
    <cfRule type="expression" priority="378" dxfId="10" stopIfTrue="1">
      <formula>OR($A86="audio audit", $A86="text audit", $A86="speed violations count", $A86="speed violations list", $A86="speed violations audit")</formula>
    </cfRule>
  </conditionalFormatting>
  <conditionalFormatting sqref="A92:X92">
    <cfRule type="expression" priority="816" dxfId="14" stopIfTrue="1">
      <formula>OR($A92="calculate", $A92="calculate_here")</formula>
    </cfRule>
  </conditionalFormatting>
  <conditionalFormatting sqref="A107:X107 D108:X108">
    <cfRule type="expression" priority="549" dxfId="115" stopIfTrue="1">
      <formula>$A107="enumerator"</formula>
    </cfRule>
    <cfRule type="expression" priority="554" dxfId="117" stopIfTrue="1">
      <formula>$A107="file"</formula>
    </cfRule>
    <cfRule type="expression" priority="557" dxfId="25" stopIfTrue="1">
      <formula>$A107="comments"</formula>
    </cfRule>
    <cfRule type="expression" priority="559" dxfId="24" stopIfTrue="1">
      <formula>OR($A107="audio", $A107="video")</formula>
    </cfRule>
    <cfRule type="expression" priority="561" dxfId="23" stopIfTrue="1">
      <formula>$A107="image"</formula>
    </cfRule>
    <cfRule type="expression" priority="563" dxfId="22" stopIfTrue="1">
      <formula>OR($A107="date", $A107="datetime", $A107="time")</formula>
    </cfRule>
    <cfRule type="expression" priority="565" dxfId="13" stopIfTrue="1">
      <formula>$A107="note"</formula>
    </cfRule>
    <cfRule type="expression" priority="566" dxfId="12" stopIfTrue="1">
      <formula>$A107="barcode"</formula>
    </cfRule>
    <cfRule type="expression" priority="567" dxfId="11" stopIfTrue="1">
      <formula>OR($A107="geopoint", $A107="geoshape", $A107="geotrace")</formula>
    </cfRule>
    <cfRule type="expression" priority="569" dxfId="9" stopIfTrue="1">
      <formula>OR($A107="username", $A107="phonenumber", $A107="start", $A107="end", $A107="deviceid", $A107="subscriberid", $A107="simserial", $A107="caseid")</formula>
    </cfRule>
    <cfRule type="expression" priority="571" dxfId="8" stopIfTrue="1">
      <formula>OR(AND(LEFT($A107, 16)="select_multiple ", LEN($A107)&gt;16, NOT(ISNUMBER(SEARCH(" ", $A107, 17)))), AND(LEFT($A107, 11)="select_one ", LEN($A107)&gt;11, NOT(ISNUMBER(SEARCH(" ", $A107, 12)))))</formula>
    </cfRule>
    <cfRule type="expression" priority="572" dxfId="7" stopIfTrue="1">
      <formula>$A107="decimal"</formula>
    </cfRule>
    <cfRule type="expression" priority="573" dxfId="6" stopIfTrue="1">
      <formula>$A107="integer"</formula>
    </cfRule>
    <cfRule type="expression" priority="574" dxfId="5" stopIfTrue="1">
      <formula>$A107="text"</formula>
    </cfRule>
    <cfRule type="expression" priority="575" dxfId="3" stopIfTrue="1">
      <formula>$A107="end repeat"</formula>
    </cfRule>
    <cfRule type="expression" priority="576" dxfId="3" stopIfTrue="1">
      <formula>$A107="begin repeat"</formula>
    </cfRule>
    <cfRule type="expression" priority="577" dxfId="1" stopIfTrue="1">
      <formula>$A107="end group"</formula>
    </cfRule>
    <cfRule type="expression" priority="578" dxfId="1" stopIfTrue="1">
      <formula>$A107="begin group"</formula>
    </cfRule>
  </conditionalFormatting>
  <conditionalFormatting sqref="A107:X108">
    <cfRule type="expression" priority="503" dxfId="14" stopIfTrue="1">
      <formula>OR($A107="calculate", $A107="calculate_here")</formula>
    </cfRule>
    <cfRule type="expression" priority="530" dxfId="10" stopIfTrue="1">
      <formula>OR($A107="audio audit", $A107="text audit", $A107="speed violations count", $A107="speed violations list", $A107="speed violations audit")</formula>
    </cfRule>
  </conditionalFormatting>
  <conditionalFormatting sqref="A1:X12 A107:X114 A117:X118 J119:K119">
    <cfRule type="expression" priority="743" dxfId="114" stopIfTrue="1">
      <formula>OR(AND(LEFT($A1, 14)="sensor_stream ", LEN($A1)&gt;14, NOT(ISNUMBER(SEARCH(" ", $A1, 15)))), AND(LEFT($A1, 17)="sensor_statistic ", LEN($A1)&gt;17, NOT(ISNUMBER(SEARCH(" ", $A1, 18)))))</formula>
    </cfRule>
  </conditionalFormatting>
  <conditionalFormatting sqref="A115:X116">
    <cfRule type="expression" priority="82" dxfId="114" stopIfTrue="1">
      <formula>OR(AND(LEFT($A115, 14)="sensor_stream ", LEN($A115)&gt;14, NOT(ISNUMBER(SEARCH(" ", $A115, 15)))), AND(LEFT($A115, 17)="sensor_statistic ", LEN($A115)&gt;17, NOT(ISNUMBER(SEARCH(" ", $A115, 18)))))</formula>
    </cfRule>
    <cfRule type="expression" priority="83" dxfId="14" stopIfTrue="1">
      <formula>OR($A115="calculate", $A115="calculate_here")</formula>
    </cfRule>
    <cfRule type="expression" priority="84" dxfId="10" stopIfTrue="1">
      <formula>OR($A115="audio audit", $A115="text audit", $A115="speed violations count", $A115="speed violations list", $A115="speed violations audit")</formula>
    </cfRule>
    <cfRule type="expression" priority="91" dxfId="115" stopIfTrue="1">
      <formula>$A115="enumerator"</formula>
    </cfRule>
    <cfRule type="expression" priority="96" dxfId="117" stopIfTrue="1">
      <formula>$A115="file"</formula>
    </cfRule>
    <cfRule type="expression" priority="99" dxfId="25" stopIfTrue="1">
      <formula>$A115="comments"</formula>
    </cfRule>
    <cfRule type="expression" priority="101" dxfId="24" stopIfTrue="1">
      <formula>OR($A115="audio", $A115="video")</formula>
    </cfRule>
    <cfRule type="expression" priority="103" dxfId="23" stopIfTrue="1">
      <formula>$A115="image"</formula>
    </cfRule>
    <cfRule type="expression" priority="105" dxfId="22" stopIfTrue="1">
      <formula>OR($A115="date", $A115="datetime", $A115="time")</formula>
    </cfRule>
    <cfRule type="expression" priority="107" dxfId="13" stopIfTrue="1">
      <formula>$A115="note"</formula>
    </cfRule>
    <cfRule type="expression" priority="108" dxfId="12" stopIfTrue="1">
      <formula>$A115="barcode"</formula>
    </cfRule>
    <cfRule type="expression" priority="109" dxfId="11" stopIfTrue="1">
      <formula>OR($A115="geopoint", $A115="geoshape", $A115="geotrace")</formula>
    </cfRule>
    <cfRule type="expression" priority="111" dxfId="9" stopIfTrue="1">
      <formula>OR($A115="username", $A115="phonenumber", $A115="start", $A115="end", $A115="deviceid", $A115="subscriberid", $A115="simserial", $A115="caseid")</formula>
    </cfRule>
    <cfRule type="expression" priority="113" dxfId="8" stopIfTrue="1">
      <formula>OR(AND(LEFT($A115, 16)="select_multiple ", LEN($A115)&gt;16, NOT(ISNUMBER(SEARCH(" ", $A115, 17)))), AND(LEFT($A115, 11)="select_one ", LEN($A115)&gt;11, NOT(ISNUMBER(SEARCH(" ", $A115, 12)))))</formula>
    </cfRule>
    <cfRule type="expression" priority="114" dxfId="7" stopIfTrue="1">
      <formula>$A115="decimal"</formula>
    </cfRule>
    <cfRule type="expression" priority="115" dxfId="6" stopIfTrue="1">
      <formula>$A115="integer"</formula>
    </cfRule>
    <cfRule type="expression" priority="116" dxfId="5" stopIfTrue="1">
      <formula>$A115="text"</formula>
    </cfRule>
    <cfRule type="expression" priority="117" dxfId="3" stopIfTrue="1">
      <formula>$A115="end repeat"</formula>
    </cfRule>
    <cfRule type="expression" priority="118" dxfId="3" stopIfTrue="1">
      <formula>$A115="begin repeat"</formula>
    </cfRule>
    <cfRule type="expression" priority="119" dxfId="1" stopIfTrue="1">
      <formula>$A115="end group"</formula>
    </cfRule>
    <cfRule type="expression" priority="120" dxfId="1" stopIfTrue="1">
      <formula>$A115="begin group"</formula>
    </cfRule>
  </conditionalFormatting>
  <conditionalFormatting sqref="A119:X119">
    <cfRule type="expression" priority="1174" dxfId="115" stopIfTrue="1">
      <formula>$A119="enumerator"</formula>
    </cfRule>
    <cfRule type="expression" priority="1180" dxfId="117" stopIfTrue="1">
      <formula>$A119="file"</formula>
    </cfRule>
  </conditionalFormatting>
  <conditionalFormatting sqref="A120:X161">
    <cfRule type="expression" priority="685" dxfId="23" stopIfTrue="1">
      <formula>$A120="image"</formula>
    </cfRule>
    <cfRule type="expression" priority="687" dxfId="22" stopIfTrue="1">
      <formula>OR($A120="date", $A120="datetime", $A120="time")</formula>
    </cfRule>
  </conditionalFormatting>
  <conditionalFormatting sqref="A145:X150">
    <cfRule type="expression" priority="671" dxfId="115" stopIfTrue="1">
      <formula>$A145="enumerator"</formula>
    </cfRule>
    <cfRule type="expression" priority="676" dxfId="117" stopIfTrue="1">
      <formula>$A145="file"</formula>
    </cfRule>
    <cfRule type="expression" priority="681" dxfId="25" stopIfTrue="1">
      <formula>$A145="comments"</formula>
    </cfRule>
    <cfRule type="expression" priority="683" dxfId="24" stopIfTrue="1">
      <formula>OR($A145="audio", $A145="video")</formula>
    </cfRule>
    <cfRule type="expression" priority="689" dxfId="13" stopIfTrue="1">
      <formula>$A145="note"</formula>
    </cfRule>
    <cfRule type="expression" priority="690" dxfId="12" stopIfTrue="1">
      <formula>$A145="barcode"</formula>
    </cfRule>
    <cfRule type="expression" priority="691" dxfId="11" stopIfTrue="1">
      <formula>OR($A145="geopoint", $A145="geoshape", $A145="geotrace")</formula>
    </cfRule>
    <cfRule type="expression" priority="694" dxfId="9" stopIfTrue="1">
      <formula>OR($A145="username", $A145="phonenumber", $A145="start", $A145="end", $A145="deviceid", $A145="subscriberid", $A145="simserial", $A145="caseid")</formula>
    </cfRule>
    <cfRule type="expression" priority="696" dxfId="8" stopIfTrue="1">
      <formula>OR(AND(LEFT($A145, 16)="select_multiple ", LEN($A145)&gt;16, NOT(ISNUMBER(SEARCH(" ", $A145, 17)))), AND(LEFT($A145, 11)="select_one ", LEN($A145)&gt;11, NOT(ISNUMBER(SEARCH(" ", $A145, 12)))))</formula>
    </cfRule>
    <cfRule type="expression" priority="697" dxfId="7" stopIfTrue="1">
      <formula>$A145="decimal"</formula>
    </cfRule>
    <cfRule type="expression" priority="698" dxfId="6" stopIfTrue="1">
      <formula>$A145="integer"</formula>
    </cfRule>
    <cfRule type="expression" priority="699" dxfId="5" stopIfTrue="1">
      <formula>$A145="text"</formula>
    </cfRule>
    <cfRule type="expression" priority="700" dxfId="3" stopIfTrue="1">
      <formula>$A145="end repeat"</formula>
    </cfRule>
    <cfRule type="expression" priority="701" dxfId="3" stopIfTrue="1">
      <formula>$A145="begin repeat"</formula>
    </cfRule>
    <cfRule type="expression" priority="702" dxfId="1" stopIfTrue="1">
      <formula>$A145="end group"</formula>
    </cfRule>
    <cfRule type="expression" priority="703" dxfId="1" stopIfTrue="1">
      <formula>$A145="begin group"</formula>
    </cfRule>
  </conditionalFormatting>
  <conditionalFormatting sqref="A162:X162">
    <cfRule type="expression" priority="343" dxfId="23" stopIfTrue="1">
      <formula>$A162="image"</formula>
    </cfRule>
    <cfRule type="expression" priority="344" dxfId="22" stopIfTrue="1">
      <formula>OR($A162="date", $A162="datetime", $A162="time")</formula>
    </cfRule>
  </conditionalFormatting>
  <conditionalFormatting sqref="A220:X220">
    <cfRule type="expression" priority="704" dxfId="114" stopIfTrue="1">
      <formula>OR(AND(LEFT($A220, 14)="sensor_stream ", LEN($A220)&gt;14, NOT(ISNUMBER(SEARCH(" ", $A220, 15)))), AND(LEFT($A220, 17)="sensor_statistic ", LEN($A220)&gt;17, NOT(ISNUMBER(SEARCH(" ", $A220, 18)))))</formula>
    </cfRule>
    <cfRule type="expression" priority="705" dxfId="14" stopIfTrue="1">
      <formula>OR($A220="calculate", $A220="calculate_here")</formula>
    </cfRule>
    <cfRule type="expression" priority="706" dxfId="10" stopIfTrue="1">
      <formula>OR($A220="audio audit", $A220="text audit", $A220="speed violations count", $A220="speed violations list", $A220="speed violations audit")</formula>
    </cfRule>
    <cfRule type="expression" priority="716" dxfId="115" stopIfTrue="1">
      <formula>$A220="enumerator"</formula>
    </cfRule>
    <cfRule type="expression" priority="721" dxfId="117" stopIfTrue="1">
      <formula>$A220="file"</formula>
    </cfRule>
    <cfRule type="expression" priority="724" dxfId="25" stopIfTrue="1">
      <formula>$A220="comments"</formula>
    </cfRule>
    <cfRule type="expression" priority="726" dxfId="24" stopIfTrue="1">
      <formula>OR($A220="audio", $A220="video")</formula>
    </cfRule>
    <cfRule type="expression" priority="727" dxfId="23" stopIfTrue="1">
      <formula>$A220="image"</formula>
    </cfRule>
    <cfRule type="expression" priority="728" dxfId="22" stopIfTrue="1">
      <formula>OR($A220="date", $A220="datetime", $A220="time")</formula>
    </cfRule>
    <cfRule type="expression" priority="730" dxfId="13" stopIfTrue="1">
      <formula>$A220="note"</formula>
    </cfRule>
    <cfRule type="expression" priority="731" dxfId="12" stopIfTrue="1">
      <formula>$A220="barcode"</formula>
    </cfRule>
    <cfRule type="expression" priority="732" dxfId="11" stopIfTrue="1">
      <formula>OR($A220="geopoint", $A220="geoshape", $A220="geotrace")</formula>
    </cfRule>
    <cfRule type="expression" priority="734" dxfId="9" stopIfTrue="1">
      <formula>OR($A220="username", $A220="phonenumber", $A220="start", $A220="end", $A220="deviceid", $A220="subscriberid", $A220="simserial", $A220="caseid")</formula>
    </cfRule>
    <cfRule type="expression" priority="735" dxfId="8" stopIfTrue="1">
      <formula>OR(AND(LEFT($A220, 16)="select_multiple ", LEN($A220)&gt;16, NOT(ISNUMBER(SEARCH(" ", $A220, 17)))), AND(LEFT($A220, 11)="select_one ", LEN($A220)&gt;11, NOT(ISNUMBER(SEARCH(" ", $A220, 12)))))</formula>
    </cfRule>
    <cfRule type="expression" priority="736" dxfId="7" stopIfTrue="1">
      <formula>$A220="decimal"</formula>
    </cfRule>
    <cfRule type="expression" priority="737" dxfId="6" stopIfTrue="1">
      <formula>$A220="integer"</formula>
    </cfRule>
    <cfRule type="expression" priority="738" dxfId="5" stopIfTrue="1">
      <formula>$A220="text"</formula>
    </cfRule>
    <cfRule type="expression" priority="739" dxfId="3" stopIfTrue="1">
      <formula>$A220="end repeat"</formula>
    </cfRule>
    <cfRule type="expression" priority="740" dxfId="3" stopIfTrue="1">
      <formula>$A220="begin repeat"</formula>
    </cfRule>
    <cfRule type="expression" priority="741" dxfId="1" stopIfTrue="1">
      <formula>$A220="end group"</formula>
    </cfRule>
    <cfRule type="expression" priority="742" dxfId="1" stopIfTrue="1">
      <formula>$A220="begin group"</formula>
    </cfRule>
  </conditionalFormatting>
  <conditionalFormatting sqref="B1:B12 B15:B22 B25:B35 B37:B75 B82:B83 B85:B99 B101:B104 B109:B114 B117:B118 B120:B144 B151:B218 B222:B1048576 F1:F12 F15:F22 F25:F35 F37:F75 F82:F83 F85:F104 F109:F114 F117:F118 F120:F144 F151:F218 F222:F1048576">
    <cfRule type="expression" priority="6887" dxfId="141" stopIfTrue="1">
      <formula>OR(AND(LEFT($A1, 14)="sensor_stream ", LEN($A1)&gt;14, NOT(ISNUMBER(SEARCH(" ", $A1, 15)))), AND(LEFT($A1, 17)="sensor_statistic ", LEN($A1)&gt;17, NOT(ISNUMBER(SEARCH(" ", $A1, 18)))))</formula>
    </cfRule>
    <cfRule type="expression" priority="6910" dxfId="65" stopIfTrue="1">
      <formula>OR($A1="audio audit", $A1="text audit", $A1="speed violations count", $A1="speed violations list", $A1="speed violations audit")</formula>
    </cfRule>
  </conditionalFormatting>
  <conditionalFormatting sqref="B1:B12 B15:B22 B25:B35 B37:B75 B82:B83 B85:B99 B101:B104 B109:B114 B117:B118 B120:B144 B151:B218 B222:B1048576 N1:N12 N15:N22 N25:N34 N37:N75 N82:N83 N85:N104 N109:N114 N117:N118 N120:N144 N151:N218 N222:N1048576">
    <cfRule type="expression" priority="6902" dxfId="64" stopIfTrue="1">
      <formula>OR($A1="calculate", $A1="calculate_here")</formula>
    </cfRule>
  </conditionalFormatting>
  <conditionalFormatting sqref="B13:B14 B37:B75 B82:B83 B85:B99 B109:B114 B151:B218 B222:B1048576">
    <cfRule type="expression" priority="1333" dxfId="63" stopIfTrue="1">
      <formula>$A13="comments"</formula>
    </cfRule>
  </conditionalFormatting>
  <conditionalFormatting sqref="B13:B14 F13:F14">
    <cfRule type="expression" priority="1331" dxfId="141" stopIfTrue="1">
      <formula>OR(AND(LEFT($A13, 14)="sensor_stream ", LEN($A13)&gt;14, NOT(ISNUMBER(SEARCH(" ", $A13, 15)))), AND(LEFT($A13, 17)="sensor_statistic ", LEN($A13)&gt;17, NOT(ISNUMBER(SEARCH(" ", $A13, 18)))))</formula>
    </cfRule>
    <cfRule type="expression" priority="1349" dxfId="65" stopIfTrue="1">
      <formula>OR($A13="audio audit", $A13="text audit", $A13="speed violations count", $A13="speed violations list", $A13="speed violations audit")</formula>
    </cfRule>
  </conditionalFormatting>
  <conditionalFormatting sqref="B13:B14 N13:N14">
    <cfRule type="expression" priority="1341" dxfId="64" stopIfTrue="1">
      <formula>OR($A13="calculate", $A13="calculate_here")</formula>
    </cfRule>
  </conditionalFormatting>
  <conditionalFormatting sqref="B1:B12 B15:B22 B25:B35 B101:B104">
    <cfRule type="expression" priority="6889" dxfId="63" stopIfTrue="1">
      <formula>$A1="comments"</formula>
    </cfRule>
  </conditionalFormatting>
  <conditionalFormatting sqref="B16:B17 B20:B22 B25:B28 B30:B35 B37:B75 B82:B83 B85:B99 B101:B104 B109:B114 B117:B118 B120:B124 B125:C144 B151:B153 B154:C161 B162 B163:C204 B205:B212 B213:C218 B222:C1048576">
    <cfRule type="expression" priority="3538" dxfId="46" stopIfTrue="1">
      <formula>$A16="barcode"</formula>
    </cfRule>
    <cfRule type="expression" priority="3540" dxfId="45" stopIfTrue="1">
      <formula>OR($A16="geopoint", $A16="geoshape", $A16="geotrace")</formula>
    </cfRule>
    <cfRule type="expression" priority="3536" dxfId="47" stopIfTrue="1">
      <formula>$A16="note"</formula>
    </cfRule>
  </conditionalFormatting>
  <conditionalFormatting sqref="B16:B17 B20:D22 B25:B27 B28:D28 B30:D34 B35 B37:D75 B82:D83 B85:D85 B86 B87:D99 B101:D104 B109:D114 B117:D118 B120:D144 B151:D161 B162 B163:D204 B205:B212 B213:D218 B222:D1048576 C100:D100 D16:D17 D25:D27 D35 D86 D162 D205:D212 G20:H22 G25:H28 G30:H35 G82:H83 G85:H104 G109:H114 G117:H144 G151:H218 G222:H1048576">
    <cfRule type="expression" priority="3252" dxfId="41" stopIfTrue="1">
      <formula>$A16="decimal"</formula>
    </cfRule>
    <cfRule type="expression" priority="3254" dxfId="40" stopIfTrue="1">
      <formula>$A16="integer"</formula>
    </cfRule>
  </conditionalFormatting>
  <conditionalFormatting sqref="B16:B17">
    <cfRule type="expression" priority="3262" dxfId="42" stopIfTrue="1">
      <formula>$A16="begin group"</formula>
    </cfRule>
    <cfRule type="expression" priority="3337" dxfId="43" stopIfTrue="1">
      <formula>$A16="begin repeat"</formula>
    </cfRule>
  </conditionalFormatting>
  <conditionalFormatting sqref="B1:C12 B15:C15 B16:B17 B20:B22 B25:B28 B30:B35 B37:B75 B82:B83 B85:B99 B101:B104 B109:B114 B117:B118 B120:B124 B125:C144 B151:B153 B154:C161 B162 B163:C204 B205:B212 B213:C218 B222:C1048576">
    <cfRule type="expression" priority="6894" dxfId="50" stopIfTrue="1">
      <formula>OR($A1="audio", $A1="video")</formula>
    </cfRule>
  </conditionalFormatting>
  <conditionalFormatting sqref="B1:C12 B18:C19 B20:B22 B25:B28 B29:C29 B30:B35 B37:B75 B82:B83 B85:B99 B101:B104 B109:B114 B117:B118 B120:B124 B125:C144 B151:B153 B154:C161 B162 B163:C204 B205:B212 B213:C218 B222:C1048576 I18:I22 I24:I35 I37:I75 I82:I83 I85:I104 I109:I114 I117:I144 I151:I218 I222:I1048576 O18:O22 O25:O35 O82:O83 O85:O104 O109:O114 O117:O144 O151:O218 O222:O1048576">
    <cfRule type="expression" priority="3259" dxfId="43" stopIfTrue="1">
      <formula>$A1="begin repeat"</formula>
    </cfRule>
  </conditionalFormatting>
  <conditionalFormatting sqref="B1:C10 B16:B17 B20:B22 B25:B28 B30:B35 B37:B75 B82:B83 B85:B99 B101:B104 B109:B114 B117:B118 B120:B124 B125:C144 B154:C161 B162 B163:C204 B205:B212 B213:C218 B222:C1048576">
    <cfRule type="expression" priority="2991" dxfId="118" stopIfTrue="1">
      <formula>$A1="file"</formula>
    </cfRule>
  </conditionalFormatting>
  <conditionalFormatting sqref="B20:B22 B24:B28 B163:C204 B222:C1048576 F24 F222:F1048576 I24 I222:I1048576">
    <cfRule type="expression" priority="254" dxfId="42" stopIfTrue="1">
      <formula>$A20="begin group"</formula>
    </cfRule>
  </conditionalFormatting>
  <conditionalFormatting sqref="B24 F24">
    <cfRule type="expression" priority="271" dxfId="49" stopIfTrue="1">
      <formula>$A24="image"</formula>
    </cfRule>
    <cfRule type="expression" priority="273" dxfId="48" stopIfTrue="1">
      <formula>OR($A24="date", $A24="datetime", $A24="time")</formula>
    </cfRule>
    <cfRule type="expression" priority="281" dxfId="44" stopIfTrue="1">
      <formula>OR(AND(LEFT($A24, 16)="select_multiple ", LEN($A24)&gt;16, NOT(ISNUMBER(SEARCH(" ", $A24, 17)))), AND(LEFT($A24, 11)="select_one ", LEN($A24)&gt;11, NOT(ISNUMBER(SEARCH(" ", $A24, 12)))))</formula>
    </cfRule>
    <cfRule type="expression" priority="267" dxfId="141" stopIfTrue="1">
      <formula>OR(AND(LEFT($A24, 14)="sensor_stream ", LEN($A24)&gt;14, NOT(ISNUMBER(SEARCH(" ", $A24, 15)))), AND(LEFT($A24, 17)="sensor_statistic ", LEN($A24)&gt;17, NOT(ISNUMBER(SEARCH(" ", $A24, 18)))))</formula>
    </cfRule>
    <cfRule type="expression" priority="279" dxfId="65" stopIfTrue="1">
      <formula>OR($A24="audio audit", $A24="text audit", $A24="speed violations count", $A24="speed violations list", $A24="speed violations audit")</formula>
    </cfRule>
  </conditionalFormatting>
  <conditionalFormatting sqref="B24 I24 O24">
    <cfRule type="expression" priority="260" dxfId="43" stopIfTrue="1">
      <formula>$A24="begin repeat"</formula>
    </cfRule>
  </conditionalFormatting>
  <conditionalFormatting sqref="B24 N24">
    <cfRule type="expression" priority="275" dxfId="64" stopIfTrue="1">
      <formula>OR($A24="calculate", $A24="calculate_here")</formula>
    </cfRule>
  </conditionalFormatting>
  <conditionalFormatting sqref="B24">
    <cfRule type="expression" priority="255" dxfId="63" stopIfTrue="1">
      <formula>$A24="comments"</formula>
    </cfRule>
    <cfRule type="expression" priority="257" dxfId="118" stopIfTrue="1">
      <formula>$A24="file"</formula>
    </cfRule>
    <cfRule type="expression" priority="262" dxfId="47" stopIfTrue="1">
      <formula>$A24="note"</formula>
    </cfRule>
    <cfRule type="expression" priority="263" dxfId="46" stopIfTrue="1">
      <formula>$A24="barcode"</formula>
    </cfRule>
    <cfRule type="expression" priority="264" dxfId="45" stopIfTrue="1">
      <formula>OR($A24="geopoint", $A24="geoshape", $A24="geotrace")</formula>
    </cfRule>
    <cfRule type="expression" priority="269" dxfId="50" stopIfTrue="1">
      <formula>OR($A24="audio", $A24="video")</formula>
    </cfRule>
  </conditionalFormatting>
  <conditionalFormatting sqref="B37:B76 B154:C161 B162 B163:C204 B205:B212 B213:C218 B222:C1048576 F37:F76 F123:F144 F151:F218 F222:F1048576">
    <cfRule type="expression" priority="1266" dxfId="49" stopIfTrue="1">
      <formula>$A37="image"</formula>
    </cfRule>
    <cfRule type="expression" priority="1268" dxfId="48" stopIfTrue="1">
      <formula>OR($A37="date", $A37="datetime", $A37="time")</formula>
    </cfRule>
    <cfRule type="expression" priority="1278" dxfId="44" stopIfTrue="1">
      <formula>OR(AND(LEFT($A37, 16)="select_multiple ", LEN($A37)&gt;16, NOT(ISNUMBER(SEARCH(" ", $A37, 17)))), AND(LEFT($A37, 11)="select_one ", LEN($A37)&gt;11, NOT(ISNUMBER(SEARCH(" ", $A37, 12)))))</formula>
    </cfRule>
  </conditionalFormatting>
  <conditionalFormatting sqref="B1:C12 B37:B76 B82:B83 B85:B99 B154:C161 B162 B205:B212 B213:C218 F1:F12 F37:F76 F82:F83 F85:F104 I1:I12 I37:I76 I82:I83 I85:I104">
    <cfRule type="expression" priority="1252" dxfId="42" stopIfTrue="1">
      <formula>$A1="begin group"</formula>
    </cfRule>
  </conditionalFormatting>
  <conditionalFormatting sqref="B1:C10 B76">
    <cfRule type="expression" priority="1256" dxfId="47" stopIfTrue="1">
      <formula>$A1="note"</formula>
    </cfRule>
    <cfRule type="expression" priority="1257" dxfId="46" stopIfTrue="1">
      <formula>$A1="barcode"</formula>
    </cfRule>
    <cfRule type="expression" priority="1258" dxfId="45" stopIfTrue="1">
      <formula>OR($A1="geopoint", $A1="geoshape", $A1="geotrace")</formula>
    </cfRule>
  </conditionalFormatting>
  <conditionalFormatting sqref="B76 F76">
    <cfRule type="expression" priority="1261" dxfId="141" stopIfTrue="1">
      <formula>OR(AND(LEFT($A76, 14)="sensor_stream ", LEN($A76)&gt;14, NOT(ISNUMBER(SEARCH(" ", $A76, 15)))), AND(LEFT($A76, 17)="sensor_statistic ", LEN($A76)&gt;17, NOT(ISNUMBER(SEARCH(" ", $A76, 18)))))</formula>
    </cfRule>
    <cfRule type="expression" priority="1275" dxfId="65" stopIfTrue="1">
      <formula>OR($A76="audio audit", $A76="text audit", $A76="speed violations count", $A76="speed violations list", $A76="speed violations audit")</formula>
    </cfRule>
  </conditionalFormatting>
  <conditionalFormatting sqref="B76 N76">
    <cfRule type="expression" priority="1270" dxfId="64" stopIfTrue="1">
      <formula>OR($A76="calculate", $A76="calculate_here")</formula>
    </cfRule>
  </conditionalFormatting>
  <conditionalFormatting sqref="B76">
    <cfRule type="expression" priority="1263" dxfId="63" stopIfTrue="1">
      <formula>$A76="comments"</formula>
    </cfRule>
    <cfRule type="expression" priority="1264" dxfId="50" stopIfTrue="1">
      <formula>OR($A76="audio", $A76="video")</formula>
    </cfRule>
  </conditionalFormatting>
  <conditionalFormatting sqref="B76:B77 I76:I77">
    <cfRule type="expression" priority="451" dxfId="43" stopIfTrue="1">
      <formula>$A76="begin repeat"</formula>
    </cfRule>
  </conditionalFormatting>
  <conditionalFormatting sqref="B76:B77">
    <cfRule type="expression" priority="449" dxfId="118" stopIfTrue="1">
      <formula>$A76="file"</formula>
    </cfRule>
  </conditionalFormatting>
  <conditionalFormatting sqref="B77 F77">
    <cfRule type="expression" priority="461" dxfId="141" stopIfTrue="1">
      <formula>OR(AND(LEFT($A77, 14)="sensor_stream ", LEN($A77)&gt;14, NOT(ISNUMBER(SEARCH(" ", $A77, 15)))), AND(LEFT($A77, 17)="sensor_statistic ", LEN($A77)&gt;17, NOT(ISNUMBER(SEARCH(" ", $A77, 18)))))</formula>
    </cfRule>
    <cfRule type="expression" priority="466" dxfId="49" stopIfTrue="1">
      <formula>$A77="image"</formula>
    </cfRule>
    <cfRule type="expression" priority="468" dxfId="48" stopIfTrue="1">
      <formula>OR($A77="date", $A77="datetime", $A77="time")</formula>
    </cfRule>
    <cfRule type="expression" priority="475" dxfId="65" stopIfTrue="1">
      <formula>OR($A77="audio audit", $A77="text audit", $A77="speed violations count", $A77="speed violations list", $A77="speed violations audit")</formula>
    </cfRule>
    <cfRule type="expression" priority="478" dxfId="44" stopIfTrue="1">
      <formula>OR(AND(LEFT($A77, 16)="select_multiple ", LEN($A77)&gt;16, NOT(ISNUMBER(SEARCH(" ", $A77, 17)))), AND(LEFT($A77, 11)="select_one ", LEN($A77)&gt;11, NOT(ISNUMBER(SEARCH(" ", $A77, 12)))))</formula>
    </cfRule>
  </conditionalFormatting>
  <conditionalFormatting sqref="B77 N77">
    <cfRule type="expression" priority="470" dxfId="64" stopIfTrue="1">
      <formula>OR($A77="calculate", $A77="calculate_here")</formula>
    </cfRule>
  </conditionalFormatting>
  <conditionalFormatting sqref="B77">
    <cfRule type="expression" priority="456" dxfId="47" stopIfTrue="1">
      <formula>$A77="note"</formula>
    </cfRule>
    <cfRule type="expression" priority="457" dxfId="46" stopIfTrue="1">
      <formula>$A77="barcode"</formula>
    </cfRule>
    <cfRule type="expression" priority="458" dxfId="45" stopIfTrue="1">
      <formula>OR($A77="geopoint", $A77="geoshape", $A77="geotrace")</formula>
    </cfRule>
    <cfRule type="expression" priority="463" dxfId="63" stopIfTrue="1">
      <formula>$A77="comments"</formula>
    </cfRule>
    <cfRule type="expression" priority="464" dxfId="50" stopIfTrue="1">
      <formula>OR($A77="audio", $A77="video")</formula>
    </cfRule>
  </conditionalFormatting>
  <conditionalFormatting sqref="B77:B81 B125:C144 F77:F81 I77:I81">
    <cfRule type="expression" priority="452" dxfId="42" stopIfTrue="1">
      <formula>$A77="begin group"</formula>
    </cfRule>
  </conditionalFormatting>
  <conditionalFormatting sqref="B78:B81 F78:F81">
    <cfRule type="expression" priority="494" dxfId="141" stopIfTrue="1">
      <formula>OR(AND(LEFT($A78, 14)="sensor_stream ", LEN($A78)&gt;14, NOT(ISNUMBER(SEARCH(" ", $A78, 15)))), AND(LEFT($A78, 17)="sensor_statistic ", LEN($A78)&gt;17, NOT(ISNUMBER(SEARCH(" ", $A78, 18)))))</formula>
    </cfRule>
    <cfRule type="expression" priority="497" dxfId="49" stopIfTrue="1">
      <formula>$A78="image"</formula>
    </cfRule>
    <cfRule type="expression" priority="498" dxfId="48" stopIfTrue="1">
      <formula>OR($A78="date", $A78="datetime", $A78="time")</formula>
    </cfRule>
    <cfRule type="expression" priority="500" dxfId="65" stopIfTrue="1">
      <formula>OR($A78="audio audit", $A78="text audit", $A78="speed violations count", $A78="speed violations list", $A78="speed violations audit")</formula>
    </cfRule>
    <cfRule type="expression" priority="501" dxfId="44" stopIfTrue="1">
      <formula>OR(AND(LEFT($A78, 16)="select_multiple ", LEN($A78)&gt;16, NOT(ISNUMBER(SEARCH(" ", $A78, 17)))), AND(LEFT($A78, 11)="select_one ", LEN($A78)&gt;11, NOT(ISNUMBER(SEARCH(" ", $A78, 12)))))</formula>
    </cfRule>
  </conditionalFormatting>
  <conditionalFormatting sqref="B78:B81 I78:I81 O78:O81">
    <cfRule type="expression" priority="489" dxfId="43" stopIfTrue="1">
      <formula>$A78="begin repeat"</formula>
    </cfRule>
  </conditionalFormatting>
  <conditionalFormatting sqref="B78:B81 N78:N81">
    <cfRule type="expression" priority="499" dxfId="64" stopIfTrue="1">
      <formula>OR($A78="calculate", $A78="calculate_here")</formula>
    </cfRule>
  </conditionalFormatting>
  <conditionalFormatting sqref="B78:B81">
    <cfRule type="expression" priority="488" dxfId="118" stopIfTrue="1">
      <formula>$A78="file"</formula>
    </cfRule>
    <cfRule type="expression" priority="490" dxfId="47" stopIfTrue="1">
      <formula>$A78="note"</formula>
    </cfRule>
    <cfRule type="expression" priority="491" dxfId="46" stopIfTrue="1">
      <formula>$A78="barcode"</formula>
    </cfRule>
    <cfRule type="expression" priority="492" dxfId="45" stopIfTrue="1">
      <formula>OR($A78="geopoint", $A78="geoshape", $A78="geotrace")</formula>
    </cfRule>
    <cfRule type="expression" priority="495" dxfId="63" stopIfTrue="1">
      <formula>$A78="comments"</formula>
    </cfRule>
    <cfRule type="expression" priority="496" dxfId="50" stopIfTrue="1">
      <formula>OR($A78="audio", $A78="video")</formula>
    </cfRule>
  </conditionalFormatting>
  <conditionalFormatting sqref="B84 F84 I84">
    <cfRule type="expression" priority="388" dxfId="42" stopIfTrue="1">
      <formula>$A84="begin group"</formula>
    </cfRule>
  </conditionalFormatting>
  <conditionalFormatting sqref="B84 F84">
    <cfRule type="expression" priority="401" dxfId="141" stopIfTrue="1">
      <formula>OR(AND(LEFT($A84, 14)="sensor_stream ", LEN($A84)&gt;14, NOT(ISNUMBER(SEARCH(" ", $A84, 15)))), AND(LEFT($A84, 17)="sensor_statistic ", LEN($A84)&gt;17, NOT(ISNUMBER(SEARCH(" ", $A84, 18)))))</formula>
    </cfRule>
    <cfRule type="expression" priority="407" dxfId="49" stopIfTrue="1">
      <formula>$A84="image"</formula>
    </cfRule>
    <cfRule type="expression" priority="409" dxfId="48" stopIfTrue="1">
      <formula>OR($A84="date", $A84="datetime", $A84="time")</formula>
    </cfRule>
    <cfRule type="expression" priority="415" dxfId="65" stopIfTrue="1">
      <formula>OR($A84="audio audit", $A84="text audit", $A84="speed violations count", $A84="speed violations list", $A84="speed violations audit")</formula>
    </cfRule>
    <cfRule type="expression" priority="418" dxfId="44" stopIfTrue="1">
      <formula>OR(AND(LEFT($A84, 16)="select_multiple ", LEN($A84)&gt;16, NOT(ISNUMBER(SEARCH(" ", $A84, 17)))), AND(LEFT($A84, 11)="select_one ", LEN($A84)&gt;11, NOT(ISNUMBER(SEARCH(" ", $A84, 12)))))</formula>
    </cfRule>
  </conditionalFormatting>
  <conditionalFormatting sqref="B84 I84 O84">
    <cfRule type="expression" priority="394" dxfId="43" stopIfTrue="1">
      <formula>$A84="begin repeat"</formula>
    </cfRule>
  </conditionalFormatting>
  <conditionalFormatting sqref="B84 N84">
    <cfRule type="expression" priority="411" dxfId="64" stopIfTrue="1">
      <formula>OR($A84="calculate", $A84="calculate_here")</formula>
    </cfRule>
  </conditionalFormatting>
  <conditionalFormatting sqref="B84">
    <cfRule type="expression" priority="391" dxfId="118" stopIfTrue="1">
      <formula>$A84="file"</formula>
    </cfRule>
    <cfRule type="expression" priority="396" dxfId="47" stopIfTrue="1">
      <formula>$A84="note"</formula>
    </cfRule>
    <cfRule type="expression" priority="397" dxfId="46" stopIfTrue="1">
      <formula>$A84="barcode"</formula>
    </cfRule>
    <cfRule type="expression" priority="398" dxfId="45" stopIfTrue="1">
      <formula>OR($A84="geopoint", $A84="geoshape", $A84="geotrace")</formula>
    </cfRule>
    <cfRule type="expression" priority="403" dxfId="63" stopIfTrue="1">
      <formula>$A84="comments"</formula>
    </cfRule>
    <cfRule type="expression" priority="405" dxfId="50" stopIfTrue="1">
      <formula>OR($A84="audio", $A84="video")</formula>
    </cfRule>
  </conditionalFormatting>
  <conditionalFormatting sqref="B100">
    <cfRule type="expression" priority="1209" dxfId="386" stopIfTrue="1">
      <formula>$A100="begin repeat"</formula>
    </cfRule>
    <cfRule type="expression" priority="1210" dxfId="384" stopIfTrue="1">
      <formula>$A100="text"</formula>
    </cfRule>
    <cfRule type="expression" priority="1211" dxfId="383" stopIfTrue="1">
      <formula>$A100="integer"</formula>
    </cfRule>
    <cfRule type="expression" priority="1212" dxfId="382" stopIfTrue="1">
      <formula>$A100="decimal"</formula>
    </cfRule>
    <cfRule type="expression" priority="1213" dxfId="594" stopIfTrue="1">
      <formula>OR($A100="audio audit", $A100="text audit", $A100="speed violations count", $A100="speed violations list", $A100="speed violations audit")</formula>
    </cfRule>
    <cfRule type="expression" priority="1214" dxfId="380" stopIfTrue="1">
      <formula>$A100="file"</formula>
    </cfRule>
    <cfRule type="expression" priority="1215" dxfId="592" stopIfTrue="1">
      <formula>OR($A100="calculate", $A100="calculate_here")</formula>
    </cfRule>
    <cfRule type="expression" priority="1216" dxfId="376" stopIfTrue="1">
      <formula>OR($A100="date", $A100="datetime", $A100="time")</formula>
    </cfRule>
    <cfRule type="expression" priority="1217" dxfId="387" stopIfTrue="1">
      <formula>$A100="begin group"</formula>
    </cfRule>
    <cfRule type="expression" priority="1218" dxfId="385" stopIfTrue="1">
      <formula>$A100="enumerator"</formula>
    </cfRule>
    <cfRule type="expression" priority="1219" dxfId="381" stopIfTrue="1">
      <formula>OR(AND(LEFT($A100, 16)="select_multiple ", LEN($A100)&gt;16, NOT(ISNUMBER(SEARCH(" ", $A100, 17)))), AND(LEFT($A100, 11)="select_one ", LEN($A100)&gt;11, NOT(ISNUMBER(SEARCH(" ", $A100, 12)))))</formula>
    </cfRule>
    <cfRule type="expression" priority="1220" dxfId="379" stopIfTrue="1">
      <formula>$A100="note"</formula>
    </cfRule>
    <cfRule type="expression" priority="1221" dxfId="378" stopIfTrue="1">
      <formula>$A100="barcode"</formula>
    </cfRule>
    <cfRule type="expression" priority="1222" dxfId="377" stopIfTrue="1">
      <formula>OR($A100="geopoint", $A100="geoshape", $A100="geotrace")</formula>
    </cfRule>
    <cfRule type="expression" priority="1223" dxfId="375" stopIfTrue="1">
      <formula>$A100="image"</formula>
    </cfRule>
    <cfRule type="expression" priority="1224" dxfId="374" stopIfTrue="1">
      <formula>OR($A100="audio", $A100="video")</formula>
    </cfRule>
    <cfRule type="expression" priority="1225" dxfId="373" stopIfTrue="1">
      <formula>$A100="file"</formula>
    </cfRule>
    <cfRule type="expression" priority="1226" dxfId="372" stopIfTrue="1">
      <formula>$A100="enumerator"</formula>
    </cfRule>
    <cfRule type="expression" priority="1227" dxfId="371" stopIfTrue="1">
      <formula>OR(AND(LEFT($A100, 14)="sensor_stream ", LEN($A100)&gt;14, NOT(ISNUMBER(SEARCH(" ", $A100, 15)))), AND(LEFT($A100, 17)="sensor_statistic ", LEN($A100)&gt;17, NOT(ISNUMBER(SEARCH(" ", $A100, 18)))))</formula>
    </cfRule>
    <cfRule type="expression" priority="1228" dxfId="370" stopIfTrue="1">
      <formula>$A100="comments"</formula>
    </cfRule>
    <cfRule type="expression" priority="1229" dxfId="369" stopIfTrue="1">
      <formula>OR($A100="audio", $A100="video")</formula>
    </cfRule>
    <cfRule type="expression" priority="1230" dxfId="368" stopIfTrue="1">
      <formula>$A100="image"</formula>
    </cfRule>
    <cfRule type="expression" priority="1231" dxfId="367" stopIfTrue="1">
      <formula>OR($A100="date", $A100="datetime", $A100="time")</formula>
    </cfRule>
    <cfRule type="expression" priority="1232" dxfId="366" stopIfTrue="1">
      <formula>OR($A100="calculate", $A100="calculate_here")</formula>
    </cfRule>
    <cfRule type="expression" priority="1233" dxfId="365" stopIfTrue="1">
      <formula>$A100="note"</formula>
    </cfRule>
    <cfRule type="expression" priority="1234" dxfId="364" stopIfTrue="1">
      <formula>$A100="barcode"</formula>
    </cfRule>
    <cfRule type="expression" priority="1235" dxfId="363" stopIfTrue="1">
      <formula>OR($A100="geopoint", $A100="geoshape", $A100="geotrace")</formula>
    </cfRule>
    <cfRule type="expression" priority="1236" dxfId="362" stopIfTrue="1">
      <formula>OR($A100="audio audit", $A100="text audit", $A100="speed violations count", $A100="speed violations list", $A100="speed violations audit")</formula>
    </cfRule>
    <cfRule type="expression" priority="1237" dxfId="361" stopIfTrue="1">
      <formula>OR($A100="username", $A100="phonenumber", $A100="start", $A100="end", $A100="deviceid", $A100="subscriberid", $A100="simserial", $A100="caseid")</formula>
    </cfRule>
    <cfRule type="expression" priority="1238" dxfId="360" stopIfTrue="1">
      <formula>OR(AND(LEFT($A100, 16)="select_multiple ", LEN($A100)&gt;16, NOT(ISNUMBER(SEARCH(" ", $A100, 17)))), AND(LEFT($A100, 11)="select_one ", LEN($A100)&gt;11, NOT(ISNUMBER(SEARCH(" ", $A100, 12)))))</formula>
    </cfRule>
    <cfRule type="expression" priority="1239" dxfId="359" stopIfTrue="1">
      <formula>$A100="decimal"</formula>
    </cfRule>
    <cfRule type="expression" priority="1240" dxfId="358" stopIfTrue="1">
      <formula>$A100="integer"</formula>
    </cfRule>
    <cfRule type="expression" priority="1241" dxfId="357" stopIfTrue="1">
      <formula>$A100="text"</formula>
    </cfRule>
    <cfRule type="expression" priority="1242" dxfId="355" stopIfTrue="1">
      <formula>$A100="end repeat"</formula>
    </cfRule>
    <cfRule type="expression" priority="1243" dxfId="355" stopIfTrue="1">
      <formula>$A100="begin repeat"</formula>
    </cfRule>
    <cfRule type="expression" priority="1244" dxfId="353" stopIfTrue="1">
      <formula>$A100="end group"</formula>
    </cfRule>
    <cfRule type="expression" priority="1245" dxfId="353" stopIfTrue="1">
      <formula>$A100="begin group"</formula>
    </cfRule>
    <cfRule type="expression" priority="1246" dxfId="561" stopIfTrue="1">
      <formula>$A100="comments"</formula>
    </cfRule>
    <cfRule type="expression" priority="1247" dxfId="560" stopIfTrue="1">
      <formula>OR(AND(LEFT($A100, 14)="sensor_stream ", LEN($A100)&gt;14, NOT(ISNUMBER(SEARCH(" ", $A100, 15)))), AND(LEFT($A100, 17)="sensor_statistic ", LEN($A100)&gt;17, NOT(ISNUMBER(SEARCH(" ", $A100, 18)))))</formula>
    </cfRule>
  </conditionalFormatting>
  <conditionalFormatting sqref="B101:B106 F105:F106 I105:I106">
    <cfRule type="expression" priority="41" dxfId="42" stopIfTrue="1">
      <formula>$A101="begin group"</formula>
    </cfRule>
  </conditionalFormatting>
  <conditionalFormatting sqref="B105:B106 F105:F106">
    <cfRule type="expression" priority="54" dxfId="141" stopIfTrue="1">
      <formula>OR(AND(LEFT($A105, 14)="sensor_stream ", LEN($A105)&gt;14, NOT(ISNUMBER(SEARCH(" ", $A105, 15)))), AND(LEFT($A105, 17)="sensor_statistic ", LEN($A105)&gt;17, NOT(ISNUMBER(SEARCH(" ", $A105, 18)))))</formula>
    </cfRule>
    <cfRule type="expression" priority="60" dxfId="49" stopIfTrue="1">
      <formula>$A105="image"</formula>
    </cfRule>
    <cfRule type="expression" priority="62" dxfId="48" stopIfTrue="1">
      <formula>OR($A105="date", $A105="datetime", $A105="time")</formula>
    </cfRule>
    <cfRule type="expression" priority="68" dxfId="65" stopIfTrue="1">
      <formula>OR($A105="audio audit", $A105="text audit", $A105="speed violations count", $A105="speed violations list", $A105="speed violations audit")</formula>
    </cfRule>
    <cfRule type="expression" priority="71" dxfId="44" stopIfTrue="1">
      <formula>OR(AND(LEFT($A105, 16)="select_multiple ", LEN($A105)&gt;16, NOT(ISNUMBER(SEARCH(" ", $A105, 17)))), AND(LEFT($A105, 11)="select_one ", LEN($A105)&gt;11, NOT(ISNUMBER(SEARCH(" ", $A105, 12)))))</formula>
    </cfRule>
  </conditionalFormatting>
  <conditionalFormatting sqref="B105:B106 I105:I106 O105:O106">
    <cfRule type="expression" priority="47" dxfId="43" stopIfTrue="1">
      <formula>$A105="begin repeat"</formula>
    </cfRule>
  </conditionalFormatting>
  <conditionalFormatting sqref="B105:B106 N105:N106">
    <cfRule type="expression" priority="64" dxfId="64" stopIfTrue="1">
      <formula>OR($A105="calculate", $A105="calculate_here")</formula>
    </cfRule>
  </conditionalFormatting>
  <conditionalFormatting sqref="B105:B106">
    <cfRule type="expression" priority="44" dxfId="118" stopIfTrue="1">
      <formula>$A105="file"</formula>
    </cfRule>
    <cfRule type="expression" priority="49" dxfId="47" stopIfTrue="1">
      <formula>$A105="note"</formula>
    </cfRule>
    <cfRule type="expression" priority="50" dxfId="46" stopIfTrue="1">
      <formula>$A105="barcode"</formula>
    </cfRule>
    <cfRule type="expression" priority="51" dxfId="45" stopIfTrue="1">
      <formula>OR($A105="geopoint", $A105="geoshape", $A105="geotrace")</formula>
    </cfRule>
    <cfRule type="expression" priority="56" dxfId="63" stopIfTrue="1">
      <formula>$A105="comments"</formula>
    </cfRule>
    <cfRule type="expression" priority="58" dxfId="50" stopIfTrue="1">
      <formula>OR($A105="audio", $A105="video")</formula>
    </cfRule>
  </conditionalFormatting>
  <conditionalFormatting sqref="B107 F107:F108 I107:I108">
    <cfRule type="expression" priority="543" dxfId="42" stopIfTrue="1">
      <formula>$A107="begin group"</formula>
    </cfRule>
  </conditionalFormatting>
  <conditionalFormatting sqref="B107 F107:F108">
    <cfRule type="expression" priority="556" dxfId="141" stopIfTrue="1">
      <formula>OR(AND(LEFT($A107, 14)="sensor_stream ", LEN($A107)&gt;14, NOT(ISNUMBER(SEARCH(" ", $A107, 15)))), AND(LEFT($A107, 17)="sensor_statistic ", LEN($A107)&gt;17, NOT(ISNUMBER(SEARCH(" ", $A107, 18)))))</formula>
    </cfRule>
    <cfRule type="expression" priority="560" dxfId="49" stopIfTrue="1">
      <formula>$A107="image"</formula>
    </cfRule>
    <cfRule type="expression" priority="562" dxfId="48" stopIfTrue="1">
      <formula>OR($A107="date", $A107="datetime", $A107="time")</formula>
    </cfRule>
    <cfRule type="expression" priority="568" dxfId="65" stopIfTrue="1">
      <formula>OR($A107="audio audit", $A107="text audit", $A107="speed violations count", $A107="speed violations list", $A107="speed violations audit")</formula>
    </cfRule>
    <cfRule type="expression" priority="570" dxfId="44" stopIfTrue="1">
      <formula>OR(AND(LEFT($A107, 16)="select_multiple ", LEN($A107)&gt;16, NOT(ISNUMBER(SEARCH(" ", $A107, 17)))), AND(LEFT($A107, 11)="select_one ", LEN($A107)&gt;11, NOT(ISNUMBER(SEARCH(" ", $A107, 12)))))</formula>
    </cfRule>
  </conditionalFormatting>
  <conditionalFormatting sqref="B107 I107:I108 O107:O108">
    <cfRule type="expression" priority="548" dxfId="43" stopIfTrue="1">
      <formula>$A107="begin repeat"</formula>
    </cfRule>
  </conditionalFormatting>
  <conditionalFormatting sqref="B107 N107:N108">
    <cfRule type="expression" priority="564" dxfId="64" stopIfTrue="1">
      <formula>OR($A107="calculate", $A107="calculate_here")</formula>
    </cfRule>
  </conditionalFormatting>
  <conditionalFormatting sqref="B107">
    <cfRule type="expression" priority="544" dxfId="63" stopIfTrue="1">
      <formula>$A107="comments"</formula>
    </cfRule>
    <cfRule type="expression" priority="545" dxfId="118" stopIfTrue="1">
      <formula>$A107="file"</formula>
    </cfRule>
    <cfRule type="expression" priority="551" dxfId="47" stopIfTrue="1">
      <formula>$A107="note"</formula>
    </cfRule>
    <cfRule type="expression" priority="552" dxfId="46" stopIfTrue="1">
      <formula>$A107="barcode"</formula>
    </cfRule>
    <cfRule type="expression" priority="553" dxfId="45" stopIfTrue="1">
      <formula>OR($A107="geopoint", $A107="geoshape", $A107="geotrace")</formula>
    </cfRule>
    <cfRule type="expression" priority="558" dxfId="50" stopIfTrue="1">
      <formula>OR($A107="audio", $A107="video")</formula>
    </cfRule>
  </conditionalFormatting>
  <conditionalFormatting sqref="B108">
    <cfRule type="expression" priority="505" dxfId="118" stopIfTrue="1">
      <formula>$A108="file"</formula>
    </cfRule>
    <cfRule type="expression" priority="508" dxfId="43" stopIfTrue="1">
      <formula>$A108="begin repeat"</formula>
    </cfRule>
    <cfRule type="expression" priority="510" dxfId="47" stopIfTrue="1">
      <formula>$A108="note"</formula>
    </cfRule>
    <cfRule type="expression" priority="511" dxfId="46" stopIfTrue="1">
      <formula>$A108="barcode"</formula>
    </cfRule>
    <cfRule type="expression" priority="512" dxfId="45" stopIfTrue="1">
      <formula>OR($A108="geopoint", $A108="geoshape", $A108="geotrace")</formula>
    </cfRule>
    <cfRule type="expression" priority="515" dxfId="141" stopIfTrue="1">
      <formula>OR(AND(LEFT($A108, 14)="sensor_stream ", LEN($A108)&gt;14, NOT(ISNUMBER(SEARCH(" ", $A108, 15)))), AND(LEFT($A108, 17)="sensor_statistic ", LEN($A108)&gt;17, NOT(ISNUMBER(SEARCH(" ", $A108, 18)))))</formula>
    </cfRule>
    <cfRule type="expression" priority="517" dxfId="63" stopIfTrue="1">
      <formula>$A108="comments"</formula>
    </cfRule>
    <cfRule type="expression" priority="519" dxfId="50" stopIfTrue="1">
      <formula>OR($A108="audio", $A108="video")</formula>
    </cfRule>
    <cfRule type="expression" priority="521" dxfId="49" stopIfTrue="1">
      <formula>$A108="image"</formula>
    </cfRule>
    <cfRule type="expression" priority="523" dxfId="48" stopIfTrue="1">
      <formula>OR($A108="date", $A108="datetime", $A108="time")</formula>
    </cfRule>
    <cfRule type="expression" priority="525" dxfId="64" stopIfTrue="1">
      <formula>OR($A108="calculate", $A108="calculate_here")</formula>
    </cfRule>
    <cfRule type="expression" priority="529" dxfId="65" stopIfTrue="1">
      <formula>OR($A108="audio audit", $A108="text audit", $A108="speed violations count", $A108="speed violations list", $A108="speed violations audit")</formula>
    </cfRule>
    <cfRule type="expression" priority="532" dxfId="44" stopIfTrue="1">
      <formula>OR(AND(LEFT($A108, 16)="select_multiple ", LEN($A108)&gt;16, NOT(ISNUMBER(SEARCH(" ", $A108, 17)))), AND(LEFT($A108, 11)="select_one ", LEN($A108)&gt;11, NOT(ISNUMBER(SEARCH(" ", $A108, 12)))))</formula>
    </cfRule>
  </conditionalFormatting>
  <conditionalFormatting sqref="B108:B124 F109:F218 I109:I218">
    <cfRule type="expression" priority="85" dxfId="42" stopIfTrue="1">
      <formula>$A108="begin group"</formula>
    </cfRule>
  </conditionalFormatting>
  <conditionalFormatting sqref="B115:B116 F115:F116">
    <cfRule type="expression" priority="98" dxfId="141" stopIfTrue="1">
      <formula>OR(AND(LEFT($A115, 14)="sensor_stream ", LEN($A115)&gt;14, NOT(ISNUMBER(SEARCH(" ", $A115, 15)))), AND(LEFT($A115, 17)="sensor_statistic ", LEN($A115)&gt;17, NOT(ISNUMBER(SEARCH(" ", $A115, 18)))))</formula>
    </cfRule>
    <cfRule type="expression" priority="102" dxfId="49" stopIfTrue="1">
      <formula>$A115="image"</formula>
    </cfRule>
    <cfRule type="expression" priority="104" dxfId="48" stopIfTrue="1">
      <formula>OR($A115="date", $A115="datetime", $A115="time")</formula>
    </cfRule>
    <cfRule type="expression" priority="110" dxfId="65" stopIfTrue="1">
      <formula>OR($A115="audio audit", $A115="text audit", $A115="speed violations count", $A115="speed violations list", $A115="speed violations audit")</formula>
    </cfRule>
    <cfRule type="expression" priority="112" dxfId="44" stopIfTrue="1">
      <formula>OR(AND(LEFT($A115, 16)="select_multiple ", LEN($A115)&gt;16, NOT(ISNUMBER(SEARCH(" ", $A115, 17)))), AND(LEFT($A115, 11)="select_one ", LEN($A115)&gt;11, NOT(ISNUMBER(SEARCH(" ", $A115, 12)))))</formula>
    </cfRule>
  </conditionalFormatting>
  <conditionalFormatting sqref="B115:B116 I115:I116 O115:O116">
    <cfRule type="expression" priority="90" dxfId="43" stopIfTrue="1">
      <formula>$A115="begin repeat"</formula>
    </cfRule>
  </conditionalFormatting>
  <conditionalFormatting sqref="B115:B116 N115:N116">
    <cfRule type="expression" priority="106" dxfId="64" stopIfTrue="1">
      <formula>OR($A115="calculate", $A115="calculate_here")</formula>
    </cfRule>
  </conditionalFormatting>
  <conditionalFormatting sqref="B115:B116">
    <cfRule type="expression" priority="86" dxfId="63" stopIfTrue="1">
      <formula>$A115="comments"</formula>
    </cfRule>
    <cfRule type="expression" priority="87" dxfId="118" stopIfTrue="1">
      <formula>$A115="file"</formula>
    </cfRule>
    <cfRule type="expression" priority="93" dxfId="47" stopIfTrue="1">
      <formula>$A115="note"</formula>
    </cfRule>
    <cfRule type="expression" priority="94" dxfId="46" stopIfTrue="1">
      <formula>$A115="barcode"</formula>
    </cfRule>
    <cfRule type="expression" priority="95" dxfId="45" stopIfTrue="1">
      <formula>OR($A115="geopoint", $A115="geoshape", $A115="geotrace")</formula>
    </cfRule>
    <cfRule type="expression" priority="100" dxfId="50" stopIfTrue="1">
      <formula>OR($A115="audio", $A115="video")</formula>
    </cfRule>
  </conditionalFormatting>
  <conditionalFormatting sqref="B117:B144">
    <cfRule type="expression" priority="1184" dxfId="63" stopIfTrue="1">
      <formula>$A117="comments"</formula>
    </cfRule>
  </conditionalFormatting>
  <conditionalFormatting sqref="B119 F119">
    <cfRule type="expression" priority="1182" dxfId="141" stopIfTrue="1">
      <formula>OR(AND(LEFT($A119, 14)="sensor_stream ", LEN($A119)&gt;14, NOT(ISNUMBER(SEARCH(" ", $A119, 15)))), AND(LEFT($A119, 17)="sensor_statistic ", LEN($A119)&gt;17, NOT(ISNUMBER(SEARCH(" ", $A119, 18)))))</formula>
    </cfRule>
    <cfRule type="expression" priority="1187" dxfId="49" stopIfTrue="1">
      <formula>$A119="image"</formula>
    </cfRule>
    <cfRule type="expression" priority="1189" dxfId="48" stopIfTrue="1">
      <formula>OR($A119="date", $A119="datetime", $A119="time")</formula>
    </cfRule>
    <cfRule type="expression" priority="1196" dxfId="65" stopIfTrue="1">
      <formula>OR($A119="audio audit", $A119="text audit", $A119="speed violations count", $A119="speed violations list", $A119="speed violations audit")</formula>
    </cfRule>
    <cfRule type="expression" priority="1199" dxfId="44" stopIfTrue="1">
      <formula>OR(AND(LEFT($A119, 16)="select_multiple ", LEN($A119)&gt;16, NOT(ISNUMBER(SEARCH(" ", $A119, 17)))), AND(LEFT($A119, 11)="select_one ", LEN($A119)&gt;11, NOT(ISNUMBER(SEARCH(" ", $A119, 12)))))</formula>
    </cfRule>
  </conditionalFormatting>
  <conditionalFormatting sqref="B119">
    <cfRule type="expression" priority="1170" dxfId="118" stopIfTrue="1">
      <formula>$A119="file"</formula>
    </cfRule>
    <cfRule type="expression" priority="1172" dxfId="43" stopIfTrue="1">
      <formula>$A119="begin repeat"</formula>
    </cfRule>
    <cfRule type="expression" priority="1177" dxfId="47" stopIfTrue="1">
      <formula>$A119="note"</formula>
    </cfRule>
    <cfRule type="expression" priority="1178" dxfId="46" stopIfTrue="1">
      <formula>$A119="barcode"</formula>
    </cfRule>
    <cfRule type="expression" priority="1179" dxfId="45" stopIfTrue="1">
      <formula>OR($A119="geopoint", $A119="geoshape", $A119="geotrace")</formula>
    </cfRule>
    <cfRule type="expression" priority="1185" dxfId="50" stopIfTrue="1">
      <formula>OR($A119="audio", $A119="video")</formula>
    </cfRule>
    <cfRule type="expression" priority="1191" dxfId="64" stopIfTrue="1">
      <formula>OR($A119="calculate", $A119="calculate_here")</formula>
    </cfRule>
  </conditionalFormatting>
  <conditionalFormatting sqref="B145:B150 F145:F150">
    <cfRule type="expression" priority="678" dxfId="141" stopIfTrue="1">
      <formula>OR(AND(LEFT($A145, 14)="sensor_stream ", LEN($A145)&gt;14, NOT(ISNUMBER(SEARCH(" ", $A145, 15)))), AND(LEFT($A145, 17)="sensor_statistic ", LEN($A145)&gt;17, NOT(ISNUMBER(SEARCH(" ", $A145, 18)))))</formula>
    </cfRule>
    <cfRule type="expression" priority="692" dxfId="65" stopIfTrue="1">
      <formula>OR($A145="audio audit", $A145="text audit", $A145="speed violations count", $A145="speed violations list", $A145="speed violations audit")</formula>
    </cfRule>
  </conditionalFormatting>
  <conditionalFormatting sqref="B145:B150 I145:I150 O145:O150">
    <cfRule type="expression" priority="670" dxfId="43" stopIfTrue="1">
      <formula>$A145="begin repeat"</formula>
    </cfRule>
  </conditionalFormatting>
  <conditionalFormatting sqref="B145:B150 N145:N150">
    <cfRule type="expression" priority="688" dxfId="64" stopIfTrue="1">
      <formula>OR($A145="calculate", $A145="calculate_here")</formula>
    </cfRule>
  </conditionalFormatting>
  <conditionalFormatting sqref="B145:B150">
    <cfRule type="expression" priority="673" dxfId="47" stopIfTrue="1">
      <formula>$A145="note"</formula>
    </cfRule>
    <cfRule type="expression" priority="674" dxfId="46" stopIfTrue="1">
      <formula>$A145="barcode"</formula>
    </cfRule>
    <cfRule type="expression" priority="675" dxfId="45" stopIfTrue="1">
      <formula>OR($A145="geopoint", $A145="geoshape", $A145="geotrace")</formula>
    </cfRule>
    <cfRule type="expression" priority="680" dxfId="63" stopIfTrue="1">
      <formula>$A145="comments"</formula>
    </cfRule>
    <cfRule type="expression" priority="682" dxfId="50" stopIfTrue="1">
      <formula>OR($A145="audio", $A145="video")</formula>
    </cfRule>
    <cfRule type="expression" priority="684" dxfId="49" stopIfTrue="1">
      <formula>$A145="image"</formula>
    </cfRule>
    <cfRule type="expression" priority="686" dxfId="48" stopIfTrue="1">
      <formula>OR($A145="date", $A145="datetime", $A145="time")</formula>
    </cfRule>
    <cfRule type="expression" priority="695" dxfId="44" stopIfTrue="1">
      <formula>OR(AND(LEFT($A145, 16)="select_multiple ", LEN($A145)&gt;16, NOT(ISNUMBER(SEARCH(" ", $A145, 17)))), AND(LEFT($A145, 11)="select_one ", LEN($A145)&gt;11, NOT(ISNUMBER(SEARCH(" ", $A145, 12)))))</formula>
    </cfRule>
  </conditionalFormatting>
  <conditionalFormatting sqref="B145:B153">
    <cfRule type="expression" priority="666" dxfId="42" stopIfTrue="1">
      <formula>$A145="begin group"</formula>
    </cfRule>
    <cfRule type="expression" priority="667" dxfId="118" stopIfTrue="1">
      <formula>$A145="file"</formula>
    </cfRule>
  </conditionalFormatting>
  <conditionalFormatting sqref="B220 F220">
    <cfRule type="expression" priority="723" dxfId="141" stopIfTrue="1">
      <formula>OR(AND(LEFT($A220, 14)="sensor_stream ", LEN($A220)&gt;14, NOT(ISNUMBER(SEARCH(" ", $A220, 15)))), AND(LEFT($A220, 17)="sensor_statistic ", LEN($A220)&gt;17, NOT(ISNUMBER(SEARCH(" ", $A220, 18)))))</formula>
    </cfRule>
    <cfRule type="expression" priority="733" dxfId="65" stopIfTrue="1">
      <formula>OR($A220="audio audit", $A220="text audit", $A220="speed violations count", $A220="speed violations list", $A220="speed violations audit")</formula>
    </cfRule>
  </conditionalFormatting>
  <conditionalFormatting sqref="B220 N220">
    <cfRule type="expression" priority="729" dxfId="64" stopIfTrue="1">
      <formula>OR($A220="calculate", $A220="calculate_here")</formula>
    </cfRule>
  </conditionalFormatting>
  <conditionalFormatting sqref="B220">
    <cfRule type="expression" priority="711" dxfId="63" stopIfTrue="1">
      <formula>$A220="comments"</formula>
    </cfRule>
  </conditionalFormatting>
  <conditionalFormatting sqref="B1:C12 B15:C15 B16:B17 B18:C19 B20:B22 B25:B28 B29:C29 B30:B35 B82:B83 B85:B99 B101:B104 B109:B114 B117:B118 B120:B124 B125:C144 B151:B153 F1:F12 F15:F22 F25:F35 F82:F83 F85:F91 F93:F104 F109:F114 F117:F118 F120:F122">
    <cfRule type="expression" priority="6896" dxfId="49" stopIfTrue="1">
      <formula>$A1="image"</formula>
    </cfRule>
    <cfRule type="expression" priority="6920" dxfId="44" stopIfTrue="1">
      <formula>OR(AND(LEFT($A1, 16)="select_multiple ", LEN($A1)&gt;16, NOT(ISNUMBER(SEARCH(" ", $A1, 17)))), AND(LEFT($A1, 11)="select_one ", LEN($A1)&gt;11, NOT(ISNUMBER(SEARCH(" ", $A1, 12)))))</formula>
    </cfRule>
    <cfRule type="expression" priority="6900" dxfId="48" stopIfTrue="1">
      <formula>OR($A1="date", $A1="datetime", $A1="time")</formula>
    </cfRule>
  </conditionalFormatting>
  <conditionalFormatting sqref="B11:C12">
    <cfRule type="expression" priority="745" dxfId="47" stopIfTrue="1">
      <formula>$A11="note"</formula>
    </cfRule>
    <cfRule type="expression" priority="746" dxfId="46" stopIfTrue="1">
      <formula>$A11="barcode"</formula>
    </cfRule>
    <cfRule type="expression" priority="747" dxfId="45" stopIfTrue="1">
      <formula>OR($A11="geopoint", $A11="geoshape", $A11="geotrace")</formula>
    </cfRule>
  </conditionalFormatting>
  <conditionalFormatting sqref="B11:C15">
    <cfRule type="expression" priority="748" dxfId="118" stopIfTrue="1">
      <formula>$A11="file"</formula>
    </cfRule>
  </conditionalFormatting>
  <conditionalFormatting sqref="B13:C14 F13:F14">
    <cfRule type="expression" priority="1337" dxfId="49" stopIfTrue="1">
      <formula>$A13="image"</formula>
    </cfRule>
    <cfRule type="expression" priority="1339" dxfId="48" stopIfTrue="1">
      <formula>OR($A13="date", $A13="datetime", $A13="time")</formula>
    </cfRule>
    <cfRule type="expression" priority="1352" dxfId="44" stopIfTrue="1">
      <formula>OR(AND(LEFT($A13, 16)="select_multiple ", LEN($A13)&gt;16, NOT(ISNUMBER(SEARCH(" ", $A13, 17)))), AND(LEFT($A13, 11)="select_one ", LEN($A13)&gt;11, NOT(ISNUMBER(SEARCH(" ", $A13, 12)))))</formula>
    </cfRule>
  </conditionalFormatting>
  <conditionalFormatting sqref="B13:C14">
    <cfRule type="expression" priority="1335" dxfId="50" stopIfTrue="1">
      <formula>OR($A13="audio", $A13="video")</formula>
    </cfRule>
    <cfRule type="expression" priority="1343" dxfId="47" stopIfTrue="1">
      <formula>$A13="note"</formula>
    </cfRule>
    <cfRule type="expression" priority="1345" dxfId="46" stopIfTrue="1">
      <formula>$A13="barcode"</formula>
    </cfRule>
    <cfRule type="expression" priority="1347" dxfId="45" stopIfTrue="1">
      <formula>OR($A13="geopoint", $A13="geoshape", $A13="geotrace")</formula>
    </cfRule>
  </conditionalFormatting>
  <conditionalFormatting sqref="B13:C15 F13:F17 I13:I17">
    <cfRule type="expression" priority="1364" dxfId="42" stopIfTrue="1">
      <formula>$A13="begin group"</formula>
    </cfRule>
  </conditionalFormatting>
  <conditionalFormatting sqref="B15:C15">
    <cfRule type="expression" priority="6904" dxfId="47" stopIfTrue="1">
      <formula>$A15="note"</formula>
    </cfRule>
    <cfRule type="expression" priority="6906" dxfId="46" stopIfTrue="1">
      <formula>$A15="barcode"</formula>
    </cfRule>
    <cfRule type="expression" priority="6908" dxfId="45" stopIfTrue="1">
      <formula>OR($A15="geopoint", $A15="geoshape", $A15="geotrace")</formula>
    </cfRule>
  </conditionalFormatting>
  <conditionalFormatting sqref="B18:C19 B29:C29">
    <cfRule type="expression" priority="1288" dxfId="118" stopIfTrue="1">
      <formula>$A18="file"</formula>
    </cfRule>
    <cfRule type="expression" priority="1296" dxfId="50" stopIfTrue="1">
      <formula>OR($A18="audio", $A18="video")</formula>
    </cfRule>
    <cfRule type="expression" priority="1304" dxfId="47" stopIfTrue="1">
      <formula>$A18="note"</formula>
    </cfRule>
    <cfRule type="expression" priority="1306" dxfId="46" stopIfTrue="1">
      <formula>$A18="barcode"</formula>
    </cfRule>
    <cfRule type="expression" priority="1308" dxfId="45" stopIfTrue="1">
      <formula>OR($A18="geopoint", $A18="geoshape", $A18="geotrace")</formula>
    </cfRule>
  </conditionalFormatting>
  <conditionalFormatting sqref="B18:C19 B29:C29 B30:B35 F18:F22 F25:F35 I18:I22 I25:I35">
    <cfRule type="expression" priority="1556" dxfId="42" stopIfTrue="1">
      <formula>$A18="begin group"</formula>
    </cfRule>
  </conditionalFormatting>
  <conditionalFormatting sqref="B108:C108">
    <cfRule type="expression" priority="504" dxfId="53" stopIfTrue="1">
      <formula>$A108="text"</formula>
    </cfRule>
    <cfRule type="expression" priority="506" dxfId="41" stopIfTrue="1">
      <formula>$A108="decimal"</formula>
    </cfRule>
    <cfRule type="expression" priority="507" dxfId="40" stopIfTrue="1">
      <formula>$A108="integer"</formula>
    </cfRule>
    <cfRule type="expression" priority="514" dxfId="116" stopIfTrue="1">
      <formula>$A108="enumerator"</formula>
    </cfRule>
  </conditionalFormatting>
  <conditionalFormatting sqref="B220:C220 F220 I220">
    <cfRule type="expression" priority="707" dxfId="42" stopIfTrue="1">
      <formula>$A220="begin group"</formula>
    </cfRule>
  </conditionalFormatting>
  <conditionalFormatting sqref="B220:C220 F220">
    <cfRule type="expression" priority="708" dxfId="49" stopIfTrue="1">
      <formula>$A220="image"</formula>
    </cfRule>
    <cfRule type="expression" priority="709" dxfId="48" stopIfTrue="1">
      <formula>OR($A220="date", $A220="datetime", $A220="time")</formula>
    </cfRule>
    <cfRule type="expression" priority="710" dxfId="44" stopIfTrue="1">
      <formula>OR(AND(LEFT($A220, 16)="select_multiple ", LEN($A220)&gt;16, NOT(ISNUMBER(SEARCH(" ", $A220, 17)))), AND(LEFT($A220, 11)="select_one ", LEN($A220)&gt;11, NOT(ISNUMBER(SEARCH(" ", $A220, 12)))))</formula>
    </cfRule>
  </conditionalFormatting>
  <conditionalFormatting sqref="B220:C220 I220 O220">
    <cfRule type="expression" priority="715" dxfId="43" stopIfTrue="1">
      <formula>$A220="begin repeat"</formula>
    </cfRule>
  </conditionalFormatting>
  <conditionalFormatting sqref="B220:C220">
    <cfRule type="expression" priority="712" dxfId="118" stopIfTrue="1">
      <formula>$A220="file"</formula>
    </cfRule>
    <cfRule type="expression" priority="718" dxfId="47" stopIfTrue="1">
      <formula>$A220="note"</formula>
    </cfRule>
    <cfRule type="expression" priority="719" dxfId="46" stopIfTrue="1">
      <formula>$A220="barcode"</formula>
    </cfRule>
    <cfRule type="expression" priority="720" dxfId="45" stopIfTrue="1">
      <formula>OR($A220="geopoint", $A220="geoshape", $A220="geotrace")</formula>
    </cfRule>
    <cfRule type="expression" priority="725" dxfId="50" stopIfTrue="1">
      <formula>OR($A220="audio", $A220="video")</formula>
    </cfRule>
  </conditionalFormatting>
  <conditionalFormatting sqref="B1:D12 B15:D15 B16:B17 B37:D75 B82:D83 B85:D85 B86 B87:D91 B93:D99 B109:D114 B117:D118 B120:D144 B151:D161 B162 B163:D204 B205:B212 B213:D218 B222:D1048576 D16:D17 D86 D162 D205:D212 F1:F12 F37:F75 F82:F83 F85:F91 F93:F104 F109:F114 F117:F118 F120:F144 F151:F218 F222:F1048576">
    <cfRule type="expression" priority="3295" dxfId="53" stopIfTrue="1">
      <formula>$A1="text"</formula>
    </cfRule>
  </conditionalFormatting>
  <conditionalFormatting sqref="B1:D12 B15:D15 B16:B17 B20:D22 B25:B27 B28:D28 B30:D34 B35 B37:D75 B82:D83 B85:D85 B86 B87:D99 B101:D104 B109:D114 B117:D118 B120:D144 B151:D161 B162 B163:D204 B205:B212 B213:D218 B222:D1048576 C100:D100 D16:D17 D25:D27 D35 D86 D162 D205:D212 F1:F12 F15:F17 F20:F22 F25:F28 F30:F35 F37:F75 F82:F83 F85:F104 F109:F114 F117:F118 F120:F144 F151:F218 F222:F1048576">
    <cfRule type="expression" priority="6883" dxfId="116" stopIfTrue="1">
      <formula>$A1="enumerator"</formula>
    </cfRule>
  </conditionalFormatting>
  <conditionalFormatting sqref="B1:D15 B18:D19 B29:D29 G1:H19 G29:H29">
    <cfRule type="expression" priority="1354" dxfId="41" stopIfTrue="1">
      <formula>$A1="decimal"</formula>
    </cfRule>
    <cfRule type="expression" priority="1356" dxfId="40" stopIfTrue="1">
      <formula>$A1="integer"</formula>
    </cfRule>
  </conditionalFormatting>
  <conditionalFormatting sqref="B13:D14 B18:D19 B29:D29 F13:F14 F18:F19 F29">
    <cfRule type="expression" priority="1329" dxfId="116" stopIfTrue="1">
      <formula>$A13="enumerator"</formula>
    </cfRule>
    <cfRule type="expression" priority="1358" dxfId="53" stopIfTrue="1">
      <formula>$A13="text"</formula>
    </cfRule>
  </conditionalFormatting>
  <conditionalFormatting sqref="B20:D22 B25:B27 B28:D28 B30:D34 B35 B101:D104 C100:D100 D25:D27 D35 F20:F22 F25:F28 F30:F35">
    <cfRule type="expression" priority="1617" dxfId="53" stopIfTrue="1">
      <formula>$A20="text"</formula>
    </cfRule>
  </conditionalFormatting>
  <conditionalFormatting sqref="B24:D24 F24">
    <cfRule type="expression" priority="256" dxfId="53" stopIfTrue="1">
      <formula>$A24="text"</formula>
    </cfRule>
    <cfRule type="expression" priority="266" dxfId="116" stopIfTrue="1">
      <formula>$A24="enumerator"</formula>
    </cfRule>
  </conditionalFormatting>
  <conditionalFormatting sqref="B24:D24 G24:H24">
    <cfRule type="expression" priority="258" dxfId="41" stopIfTrue="1">
      <formula>$A24="decimal"</formula>
    </cfRule>
    <cfRule type="expression" priority="259" dxfId="40" stopIfTrue="1">
      <formula>$A24="integer"</formula>
    </cfRule>
  </conditionalFormatting>
  <conditionalFormatting sqref="B76:D76 F76">
    <cfRule type="expression" priority="1260" dxfId="116" stopIfTrue="1">
      <formula>$A76="enumerator"</formula>
    </cfRule>
    <cfRule type="expression" priority="1282" dxfId="53" stopIfTrue="1">
      <formula>$A76="text"</formula>
    </cfRule>
  </conditionalFormatting>
  <conditionalFormatting sqref="B76:D77">
    <cfRule type="expression" priority="450" dxfId="40" stopIfTrue="1">
      <formula>$A76="integer"</formula>
    </cfRule>
  </conditionalFormatting>
  <conditionalFormatting sqref="B76:D81 G77:H81">
    <cfRule type="expression" priority="427" dxfId="41" stopIfTrue="1">
      <formula>$A76="decimal"</formula>
    </cfRule>
  </conditionalFormatting>
  <conditionalFormatting sqref="B77:D77 F77">
    <cfRule type="expression" priority="460" dxfId="116" stopIfTrue="1">
      <formula>$A77="enumerator"</formula>
    </cfRule>
  </conditionalFormatting>
  <conditionalFormatting sqref="B77:D81 F77:F81">
    <cfRule type="expression" priority="482" dxfId="53" stopIfTrue="1">
      <formula>$A77="text"</formula>
    </cfRule>
  </conditionalFormatting>
  <conditionalFormatting sqref="B78:D81 F78:F81">
    <cfRule type="expression" priority="493" dxfId="116" stopIfTrue="1">
      <formula>$A78="enumerator"</formula>
    </cfRule>
  </conditionalFormatting>
  <conditionalFormatting sqref="B84:D84 F84">
    <cfRule type="expression" priority="390" dxfId="53" stopIfTrue="1">
      <formula>$A84="text"</formula>
    </cfRule>
    <cfRule type="expression" priority="400" dxfId="116" stopIfTrue="1">
      <formula>$A84="enumerator"</formula>
    </cfRule>
  </conditionalFormatting>
  <conditionalFormatting sqref="B84:D84 G84:H84">
    <cfRule type="expression" priority="392" dxfId="41" stopIfTrue="1">
      <formula>$A84="decimal"</formula>
    </cfRule>
    <cfRule type="expression" priority="393" dxfId="40" stopIfTrue="1">
      <formula>$A84="integer"</formula>
    </cfRule>
  </conditionalFormatting>
  <conditionalFormatting sqref="B105:D106 F105:F106">
    <cfRule type="expression" priority="43" dxfId="53" stopIfTrue="1">
      <formula>$A105="text"</formula>
    </cfRule>
    <cfRule type="expression" priority="53" dxfId="116" stopIfTrue="1">
      <formula>$A105="enumerator"</formula>
    </cfRule>
  </conditionalFormatting>
  <conditionalFormatting sqref="B105:D106">
    <cfRule type="expression" priority="45" dxfId="41" stopIfTrue="1">
      <formula>$A105="decimal"</formula>
    </cfRule>
    <cfRule type="expression" priority="46" dxfId="40" stopIfTrue="1">
      <formula>$A105="integer"</formula>
    </cfRule>
  </conditionalFormatting>
  <conditionalFormatting sqref="B107:D107 D108 F107:F108">
    <cfRule type="expression" priority="550" dxfId="53" stopIfTrue="1">
      <formula>$A107="text"</formula>
    </cfRule>
    <cfRule type="expression" priority="555" dxfId="116" stopIfTrue="1">
      <formula>$A107="enumerator"</formula>
    </cfRule>
  </conditionalFormatting>
  <conditionalFormatting sqref="B107:D107 D108 G107:H108">
    <cfRule type="expression" priority="546" dxfId="41" stopIfTrue="1">
      <formula>$A107="decimal"</formula>
    </cfRule>
    <cfRule type="expression" priority="547" dxfId="40" stopIfTrue="1">
      <formula>$A107="integer"</formula>
    </cfRule>
  </conditionalFormatting>
  <conditionalFormatting sqref="B115:D116 F115:F116">
    <cfRule type="expression" priority="92" dxfId="53" stopIfTrue="1">
      <formula>$A115="text"</formula>
    </cfRule>
    <cfRule type="expression" priority="97" dxfId="116" stopIfTrue="1">
      <formula>$A115="enumerator"</formula>
    </cfRule>
  </conditionalFormatting>
  <conditionalFormatting sqref="B115:D116 G115:H116">
    <cfRule type="expression" priority="88" dxfId="41" stopIfTrue="1">
      <formula>$A115="decimal"</formula>
    </cfRule>
    <cfRule type="expression" priority="89" dxfId="40" stopIfTrue="1">
      <formula>$A115="integer"</formula>
    </cfRule>
  </conditionalFormatting>
  <conditionalFormatting sqref="B119:D119 F119">
    <cfRule type="expression" priority="1181" dxfId="116" stopIfTrue="1">
      <formula>$A119="enumerator"</formula>
    </cfRule>
  </conditionalFormatting>
  <conditionalFormatting sqref="B119:D119">
    <cfRule type="expression" priority="1168" dxfId="41" stopIfTrue="1">
      <formula>$A119="decimal"</formula>
    </cfRule>
    <cfRule type="expression" priority="1169" dxfId="40" stopIfTrue="1">
      <formula>$A119="integer"</formula>
    </cfRule>
    <cfRule type="expression" priority="1203" dxfId="53" stopIfTrue="1">
      <formula>$A119="text"</formula>
    </cfRule>
  </conditionalFormatting>
  <conditionalFormatting sqref="B145:D150 F145:F150">
    <cfRule type="expression" priority="672" dxfId="53" stopIfTrue="1">
      <formula>$A145="text"</formula>
    </cfRule>
    <cfRule type="expression" priority="677" dxfId="116" stopIfTrue="1">
      <formula>$A145="enumerator"</formula>
    </cfRule>
  </conditionalFormatting>
  <conditionalFormatting sqref="B145:D150 G145:H150">
    <cfRule type="expression" priority="668" dxfId="41" stopIfTrue="1">
      <formula>$A145="decimal"</formula>
    </cfRule>
    <cfRule type="expression" priority="669" dxfId="40" stopIfTrue="1">
      <formula>$A145="integer"</formula>
    </cfRule>
  </conditionalFormatting>
  <conditionalFormatting sqref="B220:D220 F220">
    <cfRule type="expression" priority="717" dxfId="53" stopIfTrue="1">
      <formula>$A220="text"</formula>
    </cfRule>
    <cfRule type="expression" priority="722" dxfId="116" stopIfTrue="1">
      <formula>$A220="enumerator"</formula>
    </cfRule>
  </conditionalFormatting>
  <conditionalFormatting sqref="B220:D220 G220:H220">
    <cfRule type="expression" priority="713" dxfId="41" stopIfTrue="1">
      <formula>$A220="decimal"</formula>
    </cfRule>
    <cfRule type="expression" priority="714" dxfId="40" stopIfTrue="1">
      <formula>$A220="integer"</formula>
    </cfRule>
  </conditionalFormatting>
  <conditionalFormatting sqref="C16:C17">
    <cfRule type="expression" priority="2405" dxfId="387" stopIfTrue="1">
      <formula>$A16="begin group"</formula>
    </cfRule>
    <cfRule type="expression" priority="2406" dxfId="386" stopIfTrue="1">
      <formula>$A16="begin repeat"</formula>
    </cfRule>
    <cfRule type="expression" priority="2407" dxfId="385" stopIfTrue="1">
      <formula>$A16="enumerator"</formula>
    </cfRule>
    <cfRule type="expression" priority="2408" dxfId="384" stopIfTrue="1">
      <formula>$A16="text"</formula>
    </cfRule>
    <cfRule type="expression" priority="2409" dxfId="383" stopIfTrue="1">
      <formula>$A16="integer"</formula>
    </cfRule>
    <cfRule type="expression" priority="2410" dxfId="382" stopIfTrue="1">
      <formula>$A16="decimal"</formula>
    </cfRule>
    <cfRule type="expression" priority="2411" dxfId="381" stopIfTrue="1">
      <formula>OR(AND(LEFT($A16, 16)="select_multiple ", LEN($A16)&gt;16, NOT(ISNUMBER(SEARCH(" ", $A16, 17)))), AND(LEFT($A16, 11)="select_one ", LEN($A16)&gt;11, NOT(ISNUMBER(SEARCH(" ", $A16, 12)))))</formula>
    </cfRule>
    <cfRule type="expression" priority="2412" dxfId="380" stopIfTrue="1">
      <formula>$A16="file"</formula>
    </cfRule>
    <cfRule type="expression" priority="2413" dxfId="379" stopIfTrue="1">
      <formula>$A16="note"</formula>
    </cfRule>
    <cfRule type="expression" priority="2414" dxfId="378" stopIfTrue="1">
      <formula>$A16="barcode"</formula>
    </cfRule>
    <cfRule type="expression" priority="2415" dxfId="377" stopIfTrue="1">
      <formula>OR($A16="geopoint", $A16="geoshape", $A16="geotrace")</formula>
    </cfRule>
    <cfRule type="expression" priority="2416" dxfId="376" stopIfTrue="1">
      <formula>OR($A16="date", $A16="datetime", $A16="time")</formula>
    </cfRule>
    <cfRule type="expression" priority="2417" dxfId="375" stopIfTrue="1">
      <formula>$A16="image"</formula>
    </cfRule>
    <cfRule type="expression" priority="2418" dxfId="374" stopIfTrue="1">
      <formula>OR($A16="audio", $A16="video")</formula>
    </cfRule>
    <cfRule type="expression" priority="2419" dxfId="373" stopIfTrue="1">
      <formula>$A16="file"</formula>
    </cfRule>
    <cfRule type="expression" priority="2420" dxfId="372" stopIfTrue="1">
      <formula>$A16="enumerator"</formula>
    </cfRule>
    <cfRule type="expression" priority="2421" dxfId="371" stopIfTrue="1">
      <formula>OR(AND(LEFT($A16, 14)="sensor_stream ", LEN($A16)&gt;14, NOT(ISNUMBER(SEARCH(" ", $A16, 15)))), AND(LEFT($A16, 17)="sensor_statistic ", LEN($A16)&gt;17, NOT(ISNUMBER(SEARCH(" ", $A16, 18)))))</formula>
    </cfRule>
    <cfRule type="expression" priority="2422" dxfId="370" stopIfTrue="1">
      <formula>$A16="comments"</formula>
    </cfRule>
    <cfRule type="expression" priority="2423" dxfId="369" stopIfTrue="1">
      <formula>OR($A16="audio", $A16="video")</formula>
    </cfRule>
    <cfRule type="expression" priority="2424" dxfId="368" stopIfTrue="1">
      <formula>$A16="image"</formula>
    </cfRule>
    <cfRule type="expression" priority="2425" dxfId="367" stopIfTrue="1">
      <formula>OR($A16="date", $A16="datetime", $A16="time")</formula>
    </cfRule>
    <cfRule type="expression" priority="2426" dxfId="366" stopIfTrue="1">
      <formula>OR($A16="calculate", $A16="calculate_here")</formula>
    </cfRule>
    <cfRule type="expression" priority="2427" dxfId="365" stopIfTrue="1">
      <formula>$A16="note"</formula>
    </cfRule>
    <cfRule type="expression" priority="2428" dxfId="364" stopIfTrue="1">
      <formula>$A16="barcode"</formula>
    </cfRule>
    <cfRule type="expression" priority="2429" dxfId="363" stopIfTrue="1">
      <formula>OR($A16="geopoint", $A16="geoshape", $A16="geotrace")</formula>
    </cfRule>
    <cfRule type="expression" priority="2430" dxfId="362" stopIfTrue="1">
      <formula>OR($A16="audio audit", $A16="text audit", $A16="speed violations count", $A16="speed violations list", $A16="speed violations audit")</formula>
    </cfRule>
    <cfRule type="expression" priority="2431" dxfId="361" stopIfTrue="1">
      <formula>OR($A16="username", $A16="phonenumber", $A16="start", $A16="end", $A16="deviceid", $A16="subscriberid", $A16="simserial", $A16="caseid")</formula>
    </cfRule>
    <cfRule type="expression" priority="2432" dxfId="360" stopIfTrue="1">
      <formula>OR(AND(LEFT($A16, 16)="select_multiple ", LEN($A16)&gt;16, NOT(ISNUMBER(SEARCH(" ", $A16, 17)))), AND(LEFT($A16, 11)="select_one ", LEN($A16)&gt;11, NOT(ISNUMBER(SEARCH(" ", $A16, 12)))))</formula>
    </cfRule>
    <cfRule type="expression" priority="2433" dxfId="359" stopIfTrue="1">
      <formula>$A16="decimal"</formula>
    </cfRule>
    <cfRule type="expression" priority="2434" dxfId="358" stopIfTrue="1">
      <formula>$A16="integer"</formula>
    </cfRule>
    <cfRule type="expression" priority="2435" dxfId="357" stopIfTrue="1">
      <formula>$A16="text"</formula>
    </cfRule>
    <cfRule type="expression" priority="2436" dxfId="355" stopIfTrue="1">
      <formula>$A16="end repeat"</formula>
    </cfRule>
    <cfRule type="expression" priority="2437" dxfId="355" stopIfTrue="1">
      <formula>$A16="begin repeat"</formula>
    </cfRule>
    <cfRule type="expression" priority="2438" dxfId="353" stopIfTrue="1">
      <formula>$A16="end group"</formula>
    </cfRule>
    <cfRule type="expression" priority="2439" dxfId="353" stopIfTrue="1">
      <formula>$A16="begin group"</formula>
    </cfRule>
  </conditionalFormatting>
  <conditionalFormatting sqref="C35">
    <cfRule type="expression" priority="160" dxfId="14" stopIfTrue="1">
      <formula>OR($A35="calculate", $A35="calculate_here")</formula>
    </cfRule>
    <cfRule type="expression" priority="161" dxfId="53" stopIfTrue="1">
      <formula>$A35="text"</formula>
    </cfRule>
    <cfRule type="expression" priority="162" dxfId="41" stopIfTrue="1">
      <formula>$A35="decimal"</formula>
    </cfRule>
    <cfRule type="expression" priority="163" dxfId="40" stopIfTrue="1">
      <formula>$A35="integer"</formula>
    </cfRule>
    <cfRule type="expression" priority="164" dxfId="115" stopIfTrue="1">
      <formula>$A35="enumerator"</formula>
    </cfRule>
    <cfRule type="expression" priority="165" dxfId="117" stopIfTrue="1">
      <formula>$A35="file"</formula>
    </cfRule>
    <cfRule type="expression" priority="166" dxfId="116" stopIfTrue="1">
      <formula>$A35="enumerator"</formula>
    </cfRule>
    <cfRule type="expression" priority="167" dxfId="114" stopIfTrue="1">
      <formula>OR(AND(LEFT($A35, 14)="sensor_stream ", LEN($A35)&gt;14, NOT(ISNUMBER(SEARCH(" ", $A35, 15)))), AND(LEFT($A35, 17)="sensor_statistic ", LEN($A35)&gt;17, NOT(ISNUMBER(SEARCH(" ", $A35, 18)))))</formula>
    </cfRule>
    <cfRule type="expression" priority="168" dxfId="25" stopIfTrue="1">
      <formula>$A35="comments"</formula>
    </cfRule>
    <cfRule type="expression" priority="169" dxfId="24" stopIfTrue="1">
      <formula>OR($A35="audio", $A35="video")</formula>
    </cfRule>
    <cfRule type="expression" priority="170" dxfId="23" stopIfTrue="1">
      <formula>$A35="image"</formula>
    </cfRule>
    <cfRule type="expression" priority="171" dxfId="22" stopIfTrue="1">
      <formula>OR($A35="date", $A35="datetime", $A35="time")</formula>
    </cfRule>
    <cfRule type="expression" priority="172" dxfId="13" stopIfTrue="1">
      <formula>$A35="note"</formula>
    </cfRule>
    <cfRule type="expression" priority="173" dxfId="12" stopIfTrue="1">
      <formula>$A35="barcode"</formula>
    </cfRule>
    <cfRule type="expression" priority="174" dxfId="11" stopIfTrue="1">
      <formula>OR($A35="geopoint", $A35="geoshape", $A35="geotrace")</formula>
    </cfRule>
    <cfRule type="expression" priority="175" dxfId="10" stopIfTrue="1">
      <formula>OR($A35="audio audit", $A35="text audit", $A35="speed violations count", $A35="speed violations list", $A35="speed violations audit")</formula>
    </cfRule>
    <cfRule type="expression" priority="176" dxfId="9" stopIfTrue="1">
      <formula>OR($A35="username", $A35="phonenumber", $A35="start", $A35="end", $A35="deviceid", $A35="subscriberid", $A35="simserial", $A35="caseid")</formula>
    </cfRule>
    <cfRule type="expression" priority="177" dxfId="8" stopIfTrue="1">
      <formula>OR(AND(LEFT($A35, 16)="select_multiple ", LEN($A35)&gt;16, NOT(ISNUMBER(SEARCH(" ", $A35, 17)))), AND(LEFT($A35, 11)="select_one ", LEN($A35)&gt;11, NOT(ISNUMBER(SEARCH(" ", $A35, 12)))))</formula>
    </cfRule>
    <cfRule type="expression" priority="178" dxfId="7" stopIfTrue="1">
      <formula>$A35="decimal"</formula>
    </cfRule>
    <cfRule type="expression" priority="179" dxfId="6" stopIfTrue="1">
      <formula>$A35="integer"</formula>
    </cfRule>
    <cfRule type="expression" priority="180" dxfId="5" stopIfTrue="1">
      <formula>$A35="text"</formula>
    </cfRule>
    <cfRule type="expression" priority="181" dxfId="3" stopIfTrue="1">
      <formula>$A35="end repeat"</formula>
    </cfRule>
    <cfRule type="expression" priority="182" dxfId="3" stopIfTrue="1">
      <formula>$A35="begin repeat"</formula>
    </cfRule>
    <cfRule type="expression" priority="183" dxfId="1" stopIfTrue="1">
      <formula>$A35="end group"</formula>
    </cfRule>
    <cfRule type="expression" priority="184" dxfId="1" stopIfTrue="1">
      <formula>$A35="begin group"</formula>
    </cfRule>
  </conditionalFormatting>
  <conditionalFormatting sqref="C86">
    <cfRule type="expression" priority="363" dxfId="14" stopIfTrue="1">
      <formula>OR($A86="calculate", $A86="calculate_here")</formula>
    </cfRule>
    <cfRule type="expression" priority="364" dxfId="53" stopIfTrue="1">
      <formula>$A86="text"</formula>
    </cfRule>
    <cfRule type="expression" priority="365" dxfId="41" stopIfTrue="1">
      <formula>$A86="decimal"</formula>
    </cfRule>
    <cfRule type="expression" priority="366" dxfId="40" stopIfTrue="1">
      <formula>$A86="integer"</formula>
    </cfRule>
    <cfRule type="expression" priority="367" dxfId="115" stopIfTrue="1">
      <formula>$A86="enumerator"</formula>
    </cfRule>
    <cfRule type="expression" priority="368" dxfId="117" stopIfTrue="1">
      <formula>$A86="file"</formula>
    </cfRule>
    <cfRule type="expression" priority="369" dxfId="116" stopIfTrue="1">
      <formula>$A86="enumerator"</formula>
    </cfRule>
    <cfRule type="expression" priority="371" dxfId="25" stopIfTrue="1">
      <formula>$A86="comments"</formula>
    </cfRule>
    <cfRule type="expression" priority="372" dxfId="24" stopIfTrue="1">
      <formula>OR($A86="audio", $A86="video")</formula>
    </cfRule>
    <cfRule type="expression" priority="373" dxfId="23" stopIfTrue="1">
      <formula>$A86="image"</formula>
    </cfRule>
    <cfRule type="expression" priority="374" dxfId="22" stopIfTrue="1">
      <formula>OR($A86="date", $A86="datetime", $A86="time")</formula>
    </cfRule>
    <cfRule type="expression" priority="375" dxfId="13" stopIfTrue="1">
      <formula>$A86="note"</formula>
    </cfRule>
    <cfRule type="expression" priority="376" dxfId="12" stopIfTrue="1">
      <formula>$A86="barcode"</formula>
    </cfRule>
    <cfRule type="expression" priority="377" dxfId="11" stopIfTrue="1">
      <formula>OR($A86="geopoint", $A86="geoshape", $A86="geotrace")</formula>
    </cfRule>
    <cfRule type="expression" priority="379" dxfId="9" stopIfTrue="1">
      <formula>OR($A86="username", $A86="phonenumber", $A86="start", $A86="end", $A86="deviceid", $A86="subscriberid", $A86="simserial", $A86="caseid")</formula>
    </cfRule>
    <cfRule type="expression" priority="380" dxfId="8" stopIfTrue="1">
      <formula>OR(AND(LEFT($A86, 16)="select_multiple ", LEN($A86)&gt;16, NOT(ISNUMBER(SEARCH(" ", $A86, 17)))), AND(LEFT($A86, 11)="select_one ", LEN($A86)&gt;11, NOT(ISNUMBER(SEARCH(" ", $A86, 12)))))</formula>
    </cfRule>
    <cfRule type="expression" priority="381" dxfId="7" stopIfTrue="1">
      <formula>$A86="decimal"</formula>
    </cfRule>
    <cfRule type="expression" priority="382" dxfId="6" stopIfTrue="1">
      <formula>$A86="integer"</formula>
    </cfRule>
    <cfRule type="expression" priority="383" dxfId="5" stopIfTrue="1">
      <formula>$A86="text"</formula>
    </cfRule>
    <cfRule type="expression" priority="384" dxfId="3" stopIfTrue="1">
      <formula>$A86="end repeat"</formula>
    </cfRule>
    <cfRule type="expression" priority="385" dxfId="3" stopIfTrue="1">
      <formula>$A86="begin repeat"</formula>
    </cfRule>
    <cfRule type="expression" priority="386" dxfId="1" stopIfTrue="1">
      <formula>$A86="end group"</formula>
    </cfRule>
    <cfRule type="expression" priority="387" dxfId="1" stopIfTrue="1">
      <formula>$A86="begin group"</formula>
    </cfRule>
  </conditionalFormatting>
  <conditionalFormatting sqref="C162">
    <cfRule type="expression" priority="323" dxfId="14" stopIfTrue="1">
      <formula>OR($A162="calculate", $A162="calculate_here")</formula>
    </cfRule>
    <cfRule type="expression" priority="324" dxfId="42" stopIfTrue="1">
      <formula>$A162="begin group"</formula>
    </cfRule>
    <cfRule type="expression" priority="325" dxfId="49" stopIfTrue="1">
      <formula>$A162="image"</formula>
    </cfRule>
    <cfRule type="expression" priority="326" dxfId="48" stopIfTrue="1">
      <formula>OR($A162="date", $A162="datetime", $A162="time")</formula>
    </cfRule>
    <cfRule type="expression" priority="327" dxfId="44" stopIfTrue="1">
      <formula>OR(AND(LEFT($A162, 16)="select_multiple ", LEN($A162)&gt;16, NOT(ISNUMBER(SEARCH(" ", $A162, 17)))), AND(LEFT($A162, 11)="select_one ", LEN($A162)&gt;11, NOT(ISNUMBER(SEARCH(" ", $A162, 12)))))</formula>
    </cfRule>
    <cfRule type="expression" priority="328" dxfId="118" stopIfTrue="1">
      <formula>$A162="file"</formula>
    </cfRule>
    <cfRule type="expression" priority="329" dxfId="41" stopIfTrue="1">
      <formula>$A162="decimal"</formula>
    </cfRule>
    <cfRule type="expression" priority="330" dxfId="40" stopIfTrue="1">
      <formula>$A162="integer"</formula>
    </cfRule>
    <cfRule type="expression" priority="331" dxfId="43" stopIfTrue="1">
      <formula>$A162="begin repeat"</formula>
    </cfRule>
    <cfRule type="expression" priority="332" dxfId="115" stopIfTrue="1">
      <formula>$A162="enumerator"</formula>
    </cfRule>
    <cfRule type="expression" priority="333" dxfId="53" stopIfTrue="1">
      <formula>$A162="text"</formula>
    </cfRule>
    <cfRule type="expression" priority="334" dxfId="47" stopIfTrue="1">
      <formula>$A162="note"</formula>
    </cfRule>
    <cfRule type="expression" priority="335" dxfId="46" stopIfTrue="1">
      <formula>$A162="barcode"</formula>
    </cfRule>
    <cfRule type="expression" priority="336" dxfId="45" stopIfTrue="1">
      <formula>OR($A162="geopoint", $A162="geoshape", $A162="geotrace")</formula>
    </cfRule>
    <cfRule type="expression" priority="337" dxfId="117" stopIfTrue="1">
      <formula>$A162="file"</formula>
    </cfRule>
    <cfRule type="expression" priority="338" dxfId="116" stopIfTrue="1">
      <formula>$A162="enumerator"</formula>
    </cfRule>
    <cfRule type="expression" priority="339" dxfId="114" stopIfTrue="1">
      <formula>OR(AND(LEFT($A162, 14)="sensor_stream ", LEN($A162)&gt;14, NOT(ISNUMBER(SEARCH(" ", $A162, 15)))), AND(LEFT($A162, 17)="sensor_statistic ", LEN($A162)&gt;17, NOT(ISNUMBER(SEARCH(" ", $A162, 18)))))</formula>
    </cfRule>
    <cfRule type="expression" priority="340" dxfId="25" stopIfTrue="1">
      <formula>$A162="comments"</formula>
    </cfRule>
    <cfRule type="expression" priority="341" dxfId="50" stopIfTrue="1">
      <formula>OR($A162="audio", $A162="video")</formula>
    </cfRule>
    <cfRule type="expression" priority="342" dxfId="24" stopIfTrue="1">
      <formula>OR($A162="audio", $A162="video")</formula>
    </cfRule>
    <cfRule type="expression" priority="345" dxfId="13" stopIfTrue="1">
      <formula>$A162="note"</formula>
    </cfRule>
    <cfRule type="expression" priority="346" dxfId="12" stopIfTrue="1">
      <formula>$A162="barcode"</formula>
    </cfRule>
    <cfRule type="expression" priority="347" dxfId="11" stopIfTrue="1">
      <formula>OR($A162="geopoint", $A162="geoshape", $A162="geotrace")</formula>
    </cfRule>
    <cfRule type="expression" priority="348" dxfId="10" stopIfTrue="1">
      <formula>OR($A162="audio audit", $A162="text audit", $A162="speed violations count", $A162="speed violations list", $A162="speed violations audit")</formula>
    </cfRule>
    <cfRule type="expression" priority="349" dxfId="9" stopIfTrue="1">
      <formula>OR($A162="username", $A162="phonenumber", $A162="start", $A162="end", $A162="deviceid", $A162="subscriberid", $A162="simserial", $A162="caseid")</formula>
    </cfRule>
    <cfRule type="expression" priority="350" dxfId="8" stopIfTrue="1">
      <formula>OR(AND(LEFT($A162, 16)="select_multiple ", LEN($A162)&gt;16, NOT(ISNUMBER(SEARCH(" ", $A162, 17)))), AND(LEFT($A162, 11)="select_one ", LEN($A162)&gt;11, NOT(ISNUMBER(SEARCH(" ", $A162, 12)))))</formula>
    </cfRule>
    <cfRule type="expression" priority="351" dxfId="7" stopIfTrue="1">
      <formula>$A162="decimal"</formula>
    </cfRule>
    <cfRule type="expression" priority="352" dxfId="6" stopIfTrue="1">
      <formula>$A162="integer"</formula>
    </cfRule>
    <cfRule type="expression" priority="353" dxfId="5" stopIfTrue="1">
      <formula>$A162="text"</formula>
    </cfRule>
    <cfRule type="expression" priority="354" dxfId="3" stopIfTrue="1">
      <formula>$A162="end repeat"</formula>
    </cfRule>
    <cfRule type="expression" priority="355" dxfId="3" stopIfTrue="1">
      <formula>$A162="begin repeat"</formula>
    </cfRule>
    <cfRule type="expression" priority="356" dxfId="1" stopIfTrue="1">
      <formula>$A162="end group"</formula>
    </cfRule>
    <cfRule type="expression" priority="357" dxfId="1" stopIfTrue="1">
      <formula>$A162="begin group"</formula>
    </cfRule>
  </conditionalFormatting>
  <conditionalFormatting sqref="F15:F17">
    <cfRule type="expression" priority="6929" dxfId="53" stopIfTrue="1">
      <formula>$A15="text"</formula>
    </cfRule>
  </conditionalFormatting>
  <conditionalFormatting sqref="B92:D92 F92">
    <cfRule type="expression" priority="821" dxfId="53" stopIfTrue="1">
      <formula>$A92="text"</formula>
    </cfRule>
  </conditionalFormatting>
  <conditionalFormatting sqref="F92">
    <cfRule type="expression" priority="817" dxfId="49" stopIfTrue="1">
      <formula>$A92="image"</formula>
    </cfRule>
    <cfRule type="expression" priority="818" dxfId="48" stopIfTrue="1">
      <formula>OR($A92="date", $A92="datetime", $A92="time")</formula>
    </cfRule>
    <cfRule type="expression" priority="819" dxfId="44" stopIfTrue="1">
      <formula>OR(AND(LEFT($A92, 16)="select_multiple ", LEN($A92)&gt;16, NOT(ISNUMBER(SEARCH(" ", $A92, 17)))), AND(LEFT($A92, 11)="select_one ", LEN($A92)&gt;11, NOT(ISNUMBER(SEARCH(" ", $A92, 12)))))</formula>
    </cfRule>
  </conditionalFormatting>
  <conditionalFormatting sqref="F119">
    <cfRule type="expression" priority="1167" dxfId="53" stopIfTrue="1">
      <formula>$A119="text"</formula>
    </cfRule>
  </conditionalFormatting>
  <conditionalFormatting sqref="F145:F150">
    <cfRule type="expression" priority="663" dxfId="49" stopIfTrue="1">
      <formula>$A145="image"</formula>
    </cfRule>
    <cfRule type="expression" priority="664" dxfId="48" stopIfTrue="1">
      <formula>OR($A145="date", $A145="datetime", $A145="time")</formula>
    </cfRule>
    <cfRule type="expression" priority="665" dxfId="44" stopIfTrue="1">
      <formula>OR(AND(LEFT($A145, 16)="select_multiple ", LEN($A145)&gt;16, NOT(ISNUMBER(SEARCH(" ", $A145, 17)))), AND(LEFT($A145, 11)="select_one ", LEN($A145)&gt;11, NOT(ISNUMBER(SEARCH(" ", $A145, 12)))))</formula>
    </cfRule>
  </conditionalFormatting>
  <conditionalFormatting sqref="G37:H76">
    <cfRule type="expression" priority="1248" dxfId="41" stopIfTrue="1">
      <formula>$A37="decimal"</formula>
    </cfRule>
    <cfRule type="expression" priority="1250" dxfId="40" stopIfTrue="1">
      <formula>$A37="integer"</formula>
    </cfRule>
  </conditionalFormatting>
  <conditionalFormatting sqref="B78:D81 G77:H81">
    <cfRule type="expression" priority="428" dxfId="40" stopIfTrue="1">
      <formula>$A77="integer"</formula>
    </cfRule>
  </conditionalFormatting>
  <conditionalFormatting sqref="B13:C15 I1:I17 O1:O17">
    <cfRule type="expression" priority="1361" dxfId="43" stopIfTrue="1">
      <formula>$A1="begin repeat"</formula>
    </cfRule>
  </conditionalFormatting>
  <conditionalFormatting sqref="I24">
    <cfRule type="expression" priority="232" dxfId="14" stopIfTrue="1">
      <formula>OR($A24="calculate", $A24="calculate_here")</formula>
    </cfRule>
    <cfRule type="expression" priority="233" dxfId="115" stopIfTrue="1">
      <formula>$A24="enumerator"</formula>
    </cfRule>
    <cfRule type="expression" priority="234" dxfId="117" stopIfTrue="1">
      <formula>$A24="file"</formula>
    </cfRule>
    <cfRule type="expression" priority="235" dxfId="25" stopIfTrue="1">
      <formula>$A24="comments"</formula>
    </cfRule>
    <cfRule type="expression" priority="236" dxfId="24" stopIfTrue="1">
      <formula>OR($A24="audio", $A24="video")</formula>
    </cfRule>
    <cfRule type="expression" priority="237" dxfId="23" stopIfTrue="1">
      <formula>$A24="image"</formula>
    </cfRule>
    <cfRule type="expression" priority="238" dxfId="22" stopIfTrue="1">
      <formula>OR($A24="date", $A24="datetime", $A24="time")</formula>
    </cfRule>
    <cfRule type="expression" priority="239" dxfId="13" stopIfTrue="1">
      <formula>$A24="note"</formula>
    </cfRule>
    <cfRule type="expression" priority="240" dxfId="12" stopIfTrue="1">
      <formula>$A24="barcode"</formula>
    </cfRule>
    <cfRule type="expression" priority="241" dxfId="11" stopIfTrue="1">
      <formula>OR($A24="geopoint", $A24="geoshape", $A24="geotrace")</formula>
    </cfRule>
    <cfRule type="expression" priority="242" dxfId="9" stopIfTrue="1">
      <formula>OR($A24="username", $A24="phonenumber", $A24="start", $A24="end", $A24="deviceid", $A24="subscriberid", $A24="simserial", $A24="caseid")</formula>
    </cfRule>
    <cfRule type="expression" priority="243" dxfId="8" stopIfTrue="1">
      <formula>OR(AND(LEFT($A24, 16)="select_multiple ", LEN($A24)&gt;16, NOT(ISNUMBER(SEARCH(" ", $A24, 17)))), AND(LEFT($A24, 11)="select_one ", LEN($A24)&gt;11, NOT(ISNUMBER(SEARCH(" ", $A24, 12)))))</formula>
    </cfRule>
    <cfRule type="expression" priority="244" dxfId="7" stopIfTrue="1">
      <formula>$A24="decimal"</formula>
    </cfRule>
    <cfRule type="expression" priority="245" dxfId="6" stopIfTrue="1">
      <formula>$A24="integer"</formula>
    </cfRule>
    <cfRule type="expression" priority="246" dxfId="5" stopIfTrue="1">
      <formula>$A24="text"</formula>
    </cfRule>
    <cfRule type="expression" priority="247" dxfId="3" stopIfTrue="1">
      <formula>$A24="end repeat"</formula>
    </cfRule>
    <cfRule type="expression" priority="248" dxfId="3" stopIfTrue="1">
      <formula>$A24="begin repeat"</formula>
    </cfRule>
    <cfRule type="expression" priority="249" dxfId="1" stopIfTrue="1">
      <formula>$A24="end group"</formula>
    </cfRule>
    <cfRule type="expression" priority="250" dxfId="1" stopIfTrue="1">
      <formula>$A24="begin group"</formula>
    </cfRule>
  </conditionalFormatting>
  <conditionalFormatting sqref="I123">
    <cfRule type="expression" priority="80" dxfId="41" stopIfTrue="1">
      <formula>$A123="decimal"</formula>
    </cfRule>
    <cfRule type="expression" priority="81" dxfId="40" stopIfTrue="1">
      <formula>$A123="integer"</formula>
    </cfRule>
  </conditionalFormatting>
  <conditionalFormatting sqref="L119:X119">
    <cfRule type="expression" priority="1192" dxfId="14" stopIfTrue="1">
      <formula>OR($A119="calculate", $A119="calculate_here")</formula>
    </cfRule>
  </conditionalFormatting>
  <conditionalFormatting sqref="N35">
    <cfRule type="expression" priority="211" dxfId="115" stopIfTrue="1">
      <formula>$A35="enumerator"</formula>
    </cfRule>
    <cfRule type="expression" priority="212" dxfId="117" stopIfTrue="1">
      <formula>$A35="file"</formula>
    </cfRule>
    <cfRule type="expression" priority="213" dxfId="114" stopIfTrue="1">
      <formula>OR(AND(LEFT($A35, 14)="sensor_stream ", LEN($A35)&gt;14, NOT(ISNUMBER(SEARCH(" ", $A35, 15)))), AND(LEFT($A35, 17)="sensor_statistic ", LEN($A35)&gt;17, NOT(ISNUMBER(SEARCH(" ", $A35, 18)))))</formula>
    </cfRule>
    <cfRule type="expression" priority="214" dxfId="25" stopIfTrue="1">
      <formula>$A35="comments"</formula>
    </cfRule>
    <cfRule type="expression" priority="215" dxfId="24" stopIfTrue="1">
      <formula>OR($A35="audio", $A35="video")</formula>
    </cfRule>
    <cfRule type="expression" priority="216" dxfId="23" stopIfTrue="1">
      <formula>$A35="image"</formula>
    </cfRule>
    <cfRule type="expression" priority="217" dxfId="22" stopIfTrue="1">
      <formula>OR($A35="date", $A35="datetime", $A35="time")</formula>
    </cfRule>
    <cfRule type="expression" priority="218" dxfId="64" stopIfTrue="1">
      <formula>OR($A35="calculate", $A35="calculate_here")</formula>
    </cfRule>
    <cfRule type="expression" priority="219" dxfId="13" stopIfTrue="1">
      <formula>$A35="note"</formula>
    </cfRule>
    <cfRule type="expression" priority="220" dxfId="12" stopIfTrue="1">
      <formula>$A35="barcode"</formula>
    </cfRule>
    <cfRule type="expression" priority="221" dxfId="11" stopIfTrue="1">
      <formula>OR($A35="geopoint", $A35="geoshape", $A35="geotrace")</formula>
    </cfRule>
    <cfRule type="expression" priority="222" dxfId="10" stopIfTrue="1">
      <formula>OR($A35="audio audit", $A35="text audit", $A35="speed violations count", $A35="speed violations list", $A35="speed violations audit")</formula>
    </cfRule>
    <cfRule type="expression" priority="223" dxfId="9" stopIfTrue="1">
      <formula>OR($A35="username", $A35="phonenumber", $A35="start", $A35="end", $A35="deviceid", $A35="subscriberid", $A35="simserial", $A35="caseid")</formula>
    </cfRule>
    <cfRule type="expression" priority="224" dxfId="8" stopIfTrue="1">
      <formula>OR(AND(LEFT($A35, 16)="select_multiple ", LEN($A35)&gt;16, NOT(ISNUMBER(SEARCH(" ", $A35, 17)))), AND(LEFT($A35, 11)="select_one ", LEN($A35)&gt;11, NOT(ISNUMBER(SEARCH(" ", $A35, 12)))))</formula>
    </cfRule>
    <cfRule type="expression" priority="225" dxfId="7" stopIfTrue="1">
      <formula>$A35="decimal"</formula>
    </cfRule>
    <cfRule type="expression" priority="226" dxfId="6" stopIfTrue="1">
      <formula>$A35="integer"</formula>
    </cfRule>
    <cfRule type="expression" priority="227" dxfId="5" stopIfTrue="1">
      <formula>$A35="text"</formula>
    </cfRule>
    <cfRule type="expression" priority="228" dxfId="3" stopIfTrue="1">
      <formula>$A35="end repeat"</formula>
    </cfRule>
    <cfRule type="expression" priority="229" dxfId="3" stopIfTrue="1">
      <formula>$A35="begin repeat"</formula>
    </cfRule>
    <cfRule type="expression" priority="230" dxfId="1" stopIfTrue="1">
      <formula>$A35="end group"</formula>
    </cfRule>
    <cfRule type="expression" priority="231" dxfId="1" stopIfTrue="1">
      <formula>$A35="begin group"</formula>
    </cfRule>
  </conditionalFormatting>
  <conditionalFormatting sqref="N119">
    <cfRule type="expression" priority="1166" dxfId="64" stopIfTrue="1">
      <formula>OR($A119="calculate", $A119="calculate_here")</formula>
    </cfRule>
  </conditionalFormatting>
  <conditionalFormatting sqref="N35:X35">
    <cfRule type="expression" priority="210" dxfId="14" stopIfTrue="1">
      <formula>OR($A35="calculate", $A35="calculate_here")</formula>
    </cfRule>
  </conditionalFormatting>
  <conditionalFormatting sqref="O37:O76">
    <cfRule type="expression" priority="1255" dxfId="43" stopIfTrue="1">
      <formula>$A37="begin repeat"</formula>
    </cfRule>
  </conditionalFormatting>
  <conditionalFormatting sqref="O77">
    <cfRule type="expression" priority="455" dxfId="43" stopIfTrue="1">
      <formula>$A77="begin repeat"</formula>
    </cfRule>
  </conditionalFormatting>
  <conditionalFormatting sqref="X13:X14">
    <cfRule type="expression" priority="600" dxfId="117" stopIfTrue="1">
      <formula>$A13="file"</formula>
    </cfRule>
    <cfRule type="expression" priority="601" dxfId="115" stopIfTrue="1">
      <formula>$A13="enumerator"</formula>
    </cfRule>
    <cfRule type="expression" priority="602" dxfId="114" stopIfTrue="1">
      <formula>OR(AND(LEFT($A13, 14)="sensor_stream ", LEN($A13)&gt;14, NOT(ISNUMBER(SEARCH(" ", $A13, 15)))), AND(LEFT($A13, 17)="sensor_statistic ", LEN($A13)&gt;17, NOT(ISNUMBER(SEARCH(" ", $A13, 18)))))</formula>
    </cfRule>
    <cfRule type="expression" priority="603" dxfId="25" stopIfTrue="1">
      <formula>$A13="comments"</formula>
    </cfRule>
    <cfRule type="expression" priority="604" dxfId="24" stopIfTrue="1">
      <formula>OR($A13="audio", $A13="video")</formula>
    </cfRule>
    <cfRule type="expression" priority="605" dxfId="23" stopIfTrue="1">
      <formula>$A13="image"</formula>
    </cfRule>
    <cfRule type="expression" priority="606" dxfId="22" stopIfTrue="1">
      <formula>OR($A13="date", $A13="datetime", $A13="time")</formula>
    </cfRule>
    <cfRule type="expression" priority="607" dxfId="14" stopIfTrue="1">
      <formula>OR($A13="calculate", $A13="calculate_here")</formula>
    </cfRule>
    <cfRule type="expression" priority="608" dxfId="13" stopIfTrue="1">
      <formula>$A13="note"</formula>
    </cfRule>
    <cfRule type="expression" priority="609" dxfId="12" stopIfTrue="1">
      <formula>$A13="barcode"</formula>
    </cfRule>
    <cfRule type="expression" priority="610" dxfId="11" stopIfTrue="1">
      <formula>OR($A13="geopoint", $A13="geoshape", $A13="geotrace")</formula>
    </cfRule>
    <cfRule type="expression" priority="611" dxfId="10" stopIfTrue="1">
      <formula>OR($A13="audio audit", $A13="text audit", $A13="speed violations count", $A13="speed violations list", $A13="speed violations audit")</formula>
    </cfRule>
    <cfRule type="expression" priority="612" dxfId="9" stopIfTrue="1">
      <formula>OR($A13="username", $A13="phonenumber", $A13="start", $A13="end", $A13="deviceid", $A13="subscriberid", $A13="simserial", $A13="caseid")</formula>
    </cfRule>
    <cfRule type="expression" priority="613" dxfId="8" stopIfTrue="1">
      <formula>OR(AND(LEFT($A13, 16)="select_multiple ", LEN($A13)&gt;16, NOT(ISNUMBER(SEARCH(" ", $A13, 17)))), AND(LEFT($A13, 11)="select_one ", LEN($A13)&gt;11, NOT(ISNUMBER(SEARCH(" ", $A13, 12)))))</formula>
    </cfRule>
    <cfRule type="expression" priority="614" dxfId="7" stopIfTrue="1">
      <formula>$A13="decimal"</formula>
    </cfRule>
    <cfRule type="expression" priority="615" dxfId="6" stopIfTrue="1">
      <formula>$A13="integer"</formula>
    </cfRule>
    <cfRule type="expression" priority="616" dxfId="5" stopIfTrue="1">
      <formula>$A13="text"</formula>
    </cfRule>
    <cfRule type="expression" priority="617" dxfId="3" stopIfTrue="1">
      <formula>$A13="end repeat"</formula>
    </cfRule>
    <cfRule type="expression" priority="618" dxfId="3" stopIfTrue="1">
      <formula>$A13="begin repeat"</formula>
    </cfRule>
    <cfRule type="expression" priority="619" dxfId="1" stopIfTrue="1">
      <formula>$A13="end group"</formula>
    </cfRule>
    <cfRule type="expression" priority="620" dxfId="1" stopIfTrue="1">
      <formula>$A13="begin group"</formula>
    </cfRule>
  </conditionalFormatting>
  <conditionalFormatting sqref="X18">
    <cfRule type="expression" priority="579" dxfId="117" stopIfTrue="1">
      <formula>$A18="file"</formula>
    </cfRule>
    <cfRule type="expression" priority="580" dxfId="115" stopIfTrue="1">
      <formula>$A18="enumerator"</formula>
    </cfRule>
    <cfRule type="expression" priority="581" dxfId="114" stopIfTrue="1">
      <formula>OR(AND(LEFT($A18, 14)="sensor_stream ", LEN($A18)&gt;14, NOT(ISNUMBER(SEARCH(" ", $A18, 15)))), AND(LEFT($A18, 17)="sensor_statistic ", LEN($A18)&gt;17, NOT(ISNUMBER(SEARCH(" ", $A18, 18)))))</formula>
    </cfRule>
    <cfRule type="expression" priority="582" dxfId="25" stopIfTrue="1">
      <formula>$A18="comments"</formula>
    </cfRule>
    <cfRule type="expression" priority="583" dxfId="24" stopIfTrue="1">
      <formula>OR($A18="audio", $A18="video")</formula>
    </cfRule>
    <cfRule type="expression" priority="584" dxfId="23" stopIfTrue="1">
      <formula>$A18="image"</formula>
    </cfRule>
    <cfRule type="expression" priority="585" dxfId="22" stopIfTrue="1">
      <formula>OR($A18="date", $A18="datetime", $A18="time")</formula>
    </cfRule>
    <cfRule type="expression" priority="586" dxfId="14" stopIfTrue="1">
      <formula>OR($A18="calculate", $A18="calculate_here")</formula>
    </cfRule>
    <cfRule type="expression" priority="587" dxfId="13" stopIfTrue="1">
      <formula>$A18="note"</formula>
    </cfRule>
    <cfRule type="expression" priority="588" dxfId="12" stopIfTrue="1">
      <formula>$A18="barcode"</formula>
    </cfRule>
    <cfRule type="expression" priority="589" dxfId="11" stopIfTrue="1">
      <formula>OR($A18="geopoint", $A18="geoshape", $A18="geotrace")</formula>
    </cfRule>
    <cfRule type="expression" priority="590" dxfId="10" stopIfTrue="1">
      <formula>OR($A18="audio audit", $A18="text audit", $A18="speed violations count", $A18="speed violations list", $A18="speed violations audit")</formula>
    </cfRule>
    <cfRule type="expression" priority="591" dxfId="9" stopIfTrue="1">
      <formula>OR($A18="username", $A18="phonenumber", $A18="start", $A18="end", $A18="deviceid", $A18="subscriberid", $A18="simserial", $A18="caseid")</formula>
    </cfRule>
    <cfRule type="expression" priority="592" dxfId="8" stopIfTrue="1">
      <formula>OR(AND(LEFT($A18, 16)="select_multiple ", LEN($A18)&gt;16, NOT(ISNUMBER(SEARCH(" ", $A18, 17)))), AND(LEFT($A18, 11)="select_one ", LEN($A18)&gt;11, NOT(ISNUMBER(SEARCH(" ", $A18, 12)))))</formula>
    </cfRule>
    <cfRule type="expression" priority="593" dxfId="7" stopIfTrue="1">
      <formula>$A18="decimal"</formula>
    </cfRule>
    <cfRule type="expression" priority="594" dxfId="6" stopIfTrue="1">
      <formula>$A18="integer"</formula>
    </cfRule>
    <cfRule type="expression" priority="595" dxfId="5" stopIfTrue="1">
      <formula>$A18="text"</formula>
    </cfRule>
    <cfRule type="expression" priority="596" dxfId="3" stopIfTrue="1">
      <formula>$A18="end repeat"</formula>
    </cfRule>
    <cfRule type="expression" priority="597" dxfId="3" stopIfTrue="1">
      <formula>$A18="begin repeat"</formula>
    </cfRule>
    <cfRule type="expression" priority="598" dxfId="1" stopIfTrue="1">
      <formula>$A18="end group"</formula>
    </cfRule>
    <cfRule type="expression" priority="599" dxfId="1" stopIfTrue="1">
      <formula>$A18="begin group"</formula>
    </cfRule>
  </conditionalFormatting>
  <conditionalFormatting sqref="A23:X23">
    <cfRule type="expression" priority="2" dxfId="10" stopIfTrue="1">
      <formula>OR($A23="audio audit", $A23="text audit", $A23="speed violations count", $A23="speed violations list", $A23="speed violations audit")</formula>
    </cfRule>
    <cfRule type="expression" priority="40" dxfId="114" stopIfTrue="1">
      <formula>OR(AND(LEFT($A23, 14)="sensor_stream ", LEN($A23)&gt;14, NOT(ISNUMBER(SEARCH(" ", $A23, 15)))), AND(LEFT($A23, 17)="sensor_statistic ", LEN($A23)&gt;17, NOT(ISNUMBER(SEARCH(" ", $A23, 18)))))</formula>
    </cfRule>
    <cfRule type="expression" priority="1" dxfId="14" stopIfTrue="1">
      <formula>OR($A23="calculate", $A23="calculate_here")</formula>
    </cfRule>
    <cfRule type="expression" priority="10" dxfId="115" stopIfTrue="1">
      <formula>$A23="enumerator"</formula>
    </cfRule>
    <cfRule type="expression" priority="15" dxfId="117" stopIfTrue="1">
      <formula>$A23="file"</formula>
    </cfRule>
    <cfRule type="expression" priority="17" dxfId="25" stopIfTrue="1">
      <formula>$A23="comments"</formula>
    </cfRule>
    <cfRule type="expression" priority="19" dxfId="24" stopIfTrue="1">
      <formula>OR($A23="audio", $A23="video")</formula>
    </cfRule>
    <cfRule type="expression" priority="21" dxfId="23" stopIfTrue="1">
      <formula>$A23="image"</formula>
    </cfRule>
    <cfRule type="expression" priority="23" dxfId="22" stopIfTrue="1">
      <formula>OR($A23="date", $A23="datetime", $A23="time")</formula>
    </cfRule>
    <cfRule type="expression" priority="25" dxfId="13" stopIfTrue="1">
      <formula>$A23="note"</formula>
    </cfRule>
    <cfRule type="expression" priority="26" dxfId="12" stopIfTrue="1">
      <formula>$A23="barcode"</formula>
    </cfRule>
    <cfRule type="expression" priority="27" dxfId="11" stopIfTrue="1">
      <formula>OR($A23="geopoint", $A23="geoshape", $A23="geotrace")</formula>
    </cfRule>
    <cfRule type="expression" priority="29" dxfId="9" stopIfTrue="1">
      <formula>OR($A23="username", $A23="phonenumber", $A23="start", $A23="end", $A23="deviceid", $A23="subscriberid", $A23="simserial", $A23="caseid")</formula>
    </cfRule>
    <cfRule type="expression" priority="31" dxfId="8" stopIfTrue="1">
      <formula>OR(AND(LEFT($A23, 16)="select_multiple ", LEN($A23)&gt;16, NOT(ISNUMBER(SEARCH(" ", $A23, 17)))), AND(LEFT($A23, 11)="select_one ", LEN($A23)&gt;11, NOT(ISNUMBER(SEARCH(" ", $A23, 12)))))</formula>
    </cfRule>
    <cfRule type="expression" priority="32" dxfId="7" stopIfTrue="1">
      <formula>$A23="decimal"</formula>
    </cfRule>
    <cfRule type="expression" priority="33" dxfId="6" stopIfTrue="1">
      <formula>$A23="integer"</formula>
    </cfRule>
    <cfRule type="expression" priority="34" dxfId="5" stopIfTrue="1">
      <formula>$A23="text"</formula>
    </cfRule>
    <cfRule type="expression" priority="35" dxfId="3" stopIfTrue="1">
      <formula>$A23="end repeat"</formula>
    </cfRule>
    <cfRule type="expression" priority="36" dxfId="3" stopIfTrue="1">
      <formula>$A23="begin repeat"</formula>
    </cfRule>
    <cfRule type="expression" priority="37" dxfId="1" stopIfTrue="1">
      <formula>$A23="end group"</formula>
    </cfRule>
    <cfRule type="expression" priority="38" dxfId="1" stopIfTrue="1">
      <formula>$A23="begin group"</formula>
    </cfRule>
  </conditionalFormatting>
  <conditionalFormatting sqref="B23">
    <cfRule type="expression" priority="4" dxfId="63" stopIfTrue="1">
      <formula>$A23="comments"</formula>
    </cfRule>
    <cfRule type="expression" priority="6" dxfId="118" stopIfTrue="1">
      <formula>$A23="file"</formula>
    </cfRule>
    <cfRule type="expression" priority="12" dxfId="47" stopIfTrue="1">
      <formula>$A23="note"</formula>
    </cfRule>
    <cfRule type="expression" priority="13" dxfId="46" stopIfTrue="1">
      <formula>$A23="barcode"</formula>
    </cfRule>
    <cfRule type="expression" priority="14" dxfId="45" stopIfTrue="1">
      <formula>OR($A23="geopoint", $A23="geoshape", $A23="geotrace")</formula>
    </cfRule>
    <cfRule type="expression" priority="18" dxfId="50" stopIfTrue="1">
      <formula>OR($A23="audio", $A23="video")</formula>
    </cfRule>
  </conditionalFormatting>
  <conditionalFormatting sqref="B23 F23">
    <cfRule type="expression" priority="16" dxfId="141" stopIfTrue="1">
      <formula>OR(AND(LEFT($A23, 14)="sensor_stream ", LEN($A23)&gt;14, NOT(ISNUMBER(SEARCH(" ", $A23, 15)))), AND(LEFT($A23, 17)="sensor_statistic ", LEN($A23)&gt;17, NOT(ISNUMBER(SEARCH(" ", $A23, 18)))))</formula>
    </cfRule>
    <cfRule type="expression" priority="20" dxfId="49" stopIfTrue="1">
      <formula>$A23="image"</formula>
    </cfRule>
    <cfRule type="expression" priority="22" dxfId="48" stopIfTrue="1">
      <formula>OR($A23="date", $A23="datetime", $A23="time")</formula>
    </cfRule>
    <cfRule type="expression" priority="28" dxfId="65" stopIfTrue="1">
      <formula>OR($A23="audio audit", $A23="text audit", $A23="speed violations count", $A23="speed violations list", $A23="speed violations audit")</formula>
    </cfRule>
    <cfRule type="expression" priority="30" dxfId="44" stopIfTrue="1">
      <formula>OR(AND(LEFT($A23, 16)="select_multiple ", LEN($A23)&gt;16, NOT(ISNUMBER(SEARCH(" ", $A23, 17)))), AND(LEFT($A23, 11)="select_one ", LEN($A23)&gt;11, NOT(ISNUMBER(SEARCH(" ", $A23, 12)))))</formula>
    </cfRule>
  </conditionalFormatting>
  <conditionalFormatting sqref="B23 I23 O23">
    <cfRule type="expression" priority="9" dxfId="43" stopIfTrue="1">
      <formula>$A23="begin repeat"</formula>
    </cfRule>
  </conditionalFormatting>
  <conditionalFormatting sqref="B23 N23">
    <cfRule type="expression" priority="24" dxfId="64" stopIfTrue="1">
      <formula>OR($A23="calculate", $A23="calculate_here")</formula>
    </cfRule>
  </conditionalFormatting>
  <conditionalFormatting sqref="B23 F23 I23">
    <cfRule type="expression" priority="3" dxfId="42" stopIfTrue="1">
      <formula>$A23="begin group"</formula>
    </cfRule>
  </conditionalFormatting>
  <conditionalFormatting sqref="B23:D23 F23">
    <cfRule type="expression" priority="39" dxfId="116" stopIfTrue="1">
      <formula>$A23="enumerator"</formula>
    </cfRule>
  </conditionalFormatting>
  <conditionalFormatting sqref="B23:D23 G23:H23">
    <cfRule type="expression" priority="7" dxfId="41" stopIfTrue="1">
      <formula>$A23="decimal"</formula>
    </cfRule>
    <cfRule type="expression" priority="8" dxfId="40" stopIfTrue="1">
      <formula>$A23="integer"</formula>
    </cfRule>
  </conditionalFormatting>
  <conditionalFormatting sqref="B23:D23">
    <cfRule type="expression" priority="11" dxfId="53" stopIfTrue="1">
      <formula>$A23="text"</formula>
    </cfRule>
  </conditionalFormatting>
  <conditionalFormatting sqref="F23">
    <cfRule type="expression" priority="5" dxfId="53" stopIfTrue="1">
      <formula>$A23="text"</formula>
    </cfRule>
  </conditionalFormatting>
  <pageMargins left="0.7479166666666667" right="0.7479166666666667" top="0.9840277777777777" bottom="0.9840277777777777" header="0.5118055555555555" footer="0.5118055555555555"/>
  <pageSetup orientation="portrait" firstPageNumber="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95"/>
  <sheetViews>
    <sheetView zoomScaleNormal="75" zoomScalePageLayoutView="75" workbookViewId="0">
      <pane ySplit="1" topLeftCell="A2" activePane="bottomLeft" state="frozen"/>
      <selection pane="bottomLeft" activeCell="A37" sqref="A37:XFD38"/>
    </sheetView>
  </sheetViews>
  <sheetFormatPr baseColWidth="10" defaultColWidth="10.83203125" defaultRowHeight="16"/>
  <cols>
    <col width="18" bestFit="1" customWidth="1" style="8" min="1" max="1"/>
    <col width="12" customWidth="1" style="8" min="2" max="2"/>
    <col width="42" bestFit="1" customWidth="1" style="8" min="3" max="3"/>
    <col width="12" customWidth="1" style="8" min="4" max="5"/>
    <col width="12" customWidth="1" min="5" max="5"/>
    <col width="18" customWidth="1" style="1" min="6" max="16384"/>
    <col width="18" customWidth="1" min="7" max="7"/>
    <col width="18" customWidth="1" min="8" max="8"/>
  </cols>
  <sheetData>
    <row r="1" ht="20" customFormat="1" customHeight="1" s="3">
      <c r="A1" s="120" t="inlineStr">
        <is>
          <t>list_name</t>
        </is>
      </c>
      <c r="B1" s="120" t="inlineStr">
        <is>
          <t>value</t>
        </is>
      </c>
      <c r="C1" s="121" t="inlineStr">
        <is>
          <t>label:english</t>
        </is>
      </c>
      <c r="D1" s="120" t="inlineStr">
        <is>
          <t>image</t>
        </is>
      </c>
      <c r="E1" s="120" t="inlineStr">
        <is>
          <t>filter</t>
        </is>
      </c>
      <c r="F1" s="122" t="n"/>
      <c r="G1" s="122" t="n"/>
      <c r="H1" s="122" t="n"/>
    </row>
    <row r="2">
      <c r="A2" s="123" t="inlineStr">
        <is>
          <t>facilitator</t>
        </is>
      </c>
      <c r="B2" s="123" t="inlineStr">
        <is>
          <t>id</t>
        </is>
      </c>
      <c r="C2" s="124" t="inlineStr">
        <is>
          <t>label</t>
        </is>
      </c>
      <c r="D2" s="123" t="n"/>
      <c r="E2" s="123" t="n"/>
      <c r="F2" s="125" t="n"/>
      <c r="G2" s="125" t="n"/>
      <c r="H2" s="125" t="n"/>
    </row>
    <row r="3">
      <c r="A3" s="126" t="inlineStr">
        <is>
          <t>student</t>
        </is>
      </c>
      <c r="B3" s="127" t="inlineStr">
        <is>
          <t>hhid</t>
        </is>
      </c>
      <c r="C3" s="128" t="inlineStr">
        <is>
          <t>stud_name_b</t>
        </is>
      </c>
      <c r="D3" s="127" t="n"/>
      <c r="E3" s="127" t="n"/>
      <c r="F3" s="129" t="n"/>
      <c r="G3" s="129" t="n"/>
      <c r="H3" s="129" t="n"/>
    </row>
    <row r="4">
      <c r="A4" s="130" t="inlineStr">
        <is>
          <t>phones</t>
        </is>
      </c>
      <c r="B4" s="131" t="n">
        <v>1</v>
      </c>
      <c r="C4" s="132" t="inlineStr">
        <is>
          <t>1. ${phone1_name} (${phone1_rel}): ${phone1}</t>
        </is>
      </c>
      <c r="D4" s="131" t="n"/>
      <c r="E4" s="131" t="n">
        <v>1</v>
      </c>
      <c r="F4" s="115" t="n"/>
      <c r="G4" s="115" t="n"/>
      <c r="H4" s="115" t="n"/>
    </row>
    <row r="5">
      <c r="A5" s="133" t="inlineStr">
        <is>
          <t>phones</t>
        </is>
      </c>
      <c r="B5" s="134" t="n">
        <v>2</v>
      </c>
      <c r="C5" s="132" t="inlineStr">
        <is>
          <t>2. ${phone2_name} (${phone2_rel}): ${phone2}</t>
        </is>
      </c>
      <c r="D5" s="133" t="n"/>
      <c r="E5" s="133" t="n">
        <v>2</v>
      </c>
      <c r="F5" s="115" t="n"/>
      <c r="G5" s="115" t="n"/>
      <c r="H5" s="115" t="n"/>
    </row>
    <row r="6">
      <c r="A6" s="133" t="inlineStr">
        <is>
          <t>phones</t>
        </is>
      </c>
      <c r="B6" s="135" t="n">
        <v>3</v>
      </c>
      <c r="C6" s="132" t="inlineStr">
        <is>
          <t>3. ${phone3_name} (${phone3_rel}): ${phone3}</t>
        </is>
      </c>
      <c r="D6" s="133" t="n"/>
      <c r="E6" s="133" t="n">
        <v>3</v>
      </c>
      <c r="F6" s="115" t="n"/>
      <c r="G6" s="115" t="n"/>
      <c r="H6" s="115" t="n"/>
    </row>
    <row r="7">
      <c r="A7" s="133" t="inlineStr">
        <is>
          <t>phones</t>
        </is>
      </c>
      <c r="B7" s="131" t="n">
        <v>95</v>
      </c>
      <c r="C7" s="136" t="inlineStr">
        <is>
          <t>Other (specify):</t>
        </is>
      </c>
      <c r="D7" s="133" t="n"/>
      <c r="E7" s="133" t="n">
        <v>95</v>
      </c>
      <c r="F7" s="115" t="n"/>
      <c r="G7" s="115" t="n"/>
      <c r="H7" s="115" t="n"/>
    </row>
    <row r="8">
      <c r="A8" s="133" t="inlineStr">
        <is>
          <t>response</t>
        </is>
      </c>
      <c r="B8" s="133" t="n">
        <v>1</v>
      </c>
      <c r="C8" s="137" t="inlineStr">
        <is>
          <t>Caregiver answered</t>
        </is>
      </c>
      <c r="D8" s="133" t="n"/>
      <c r="E8" s="133" t="n"/>
      <c r="F8" s="115" t="n"/>
      <c r="G8" s="115" t="n"/>
      <c r="H8" s="115" t="n"/>
    </row>
    <row r="9">
      <c r="A9" s="133" t="inlineStr">
        <is>
          <t>response</t>
        </is>
      </c>
      <c r="B9" s="133" t="n">
        <v>2</v>
      </c>
      <c r="C9" s="132" t="inlineStr">
        <is>
          <t>Someone else answered</t>
        </is>
      </c>
      <c r="D9" s="133" t="n"/>
      <c r="E9" s="133" t="n"/>
      <c r="F9" s="115" t="n"/>
      <c r="G9" s="115" t="n"/>
      <c r="H9" s="115" t="n"/>
    </row>
    <row r="10">
      <c r="A10" s="133" t="inlineStr">
        <is>
          <t>response</t>
        </is>
      </c>
      <c r="B10" s="133" t="n">
        <v>3</v>
      </c>
      <c r="C10" s="136" t="inlineStr">
        <is>
          <t>Call not answered</t>
        </is>
      </c>
      <c r="D10" s="133" t="n"/>
      <c r="E10" s="133" t="n"/>
      <c r="F10" s="115" t="n"/>
      <c r="G10" s="115" t="n"/>
      <c r="H10" s="115" t="n"/>
    </row>
    <row r="11">
      <c r="A11" s="133" t="inlineStr">
        <is>
          <t>response</t>
        </is>
      </c>
      <c r="B11" s="133" t="n">
        <v>4</v>
      </c>
      <c r="C11" s="136" t="inlineStr">
        <is>
          <t>Wrong number</t>
        </is>
      </c>
      <c r="D11" s="133" t="n"/>
      <c r="E11" s="133" t="n"/>
      <c r="F11" s="115" t="n"/>
      <c r="G11" s="115" t="n"/>
      <c r="H11" s="115" t="n"/>
    </row>
    <row r="12">
      <c r="A12" s="133" t="inlineStr">
        <is>
          <t>notanswered</t>
        </is>
      </c>
      <c r="B12" s="133" t="n">
        <v>1</v>
      </c>
      <c r="C12" s="136" t="inlineStr">
        <is>
          <t>Network is not working / the phone is not ringing</t>
        </is>
      </c>
      <c r="D12" s="133" t="n"/>
      <c r="E12" s="133" t="n"/>
      <c r="F12" s="115" t="n"/>
      <c r="G12" s="115" t="n"/>
      <c r="H12" s="115" t="n"/>
    </row>
    <row r="13">
      <c r="A13" s="133" t="inlineStr">
        <is>
          <t>notanswered</t>
        </is>
      </c>
      <c r="B13" s="133" t="n">
        <v>2</v>
      </c>
      <c r="C13" s="136" t="inlineStr">
        <is>
          <t>The phone is ringing but no one is answering the call</t>
        </is>
      </c>
      <c r="D13" s="133" t="n"/>
      <c r="E13" s="133" t="n"/>
      <c r="F13" s="115" t="n"/>
      <c r="G13" s="115" t="n"/>
      <c r="H13" s="115" t="n"/>
    </row>
    <row r="14">
      <c r="A14" s="133" t="inlineStr">
        <is>
          <t>notanswered</t>
        </is>
      </c>
      <c r="B14" s="133" t="n">
        <v>95</v>
      </c>
      <c r="C14" s="136" t="inlineStr">
        <is>
          <t>Other (specify):</t>
        </is>
      </c>
      <c r="D14" s="133" t="n"/>
      <c r="E14" s="133" t="n"/>
      <c r="F14" s="115" t="n"/>
      <c r="G14" s="115" t="n"/>
      <c r="H14" s="115" t="n"/>
    </row>
    <row r="15">
      <c r="A15" s="133" t="inlineStr">
        <is>
          <t>yesno</t>
        </is>
      </c>
      <c r="B15" s="133" t="n">
        <v>1</v>
      </c>
      <c r="C15" s="136" t="inlineStr">
        <is>
          <t>Yes</t>
        </is>
      </c>
      <c r="D15" s="133" t="n"/>
      <c r="E15" s="133" t="n">
        <v>1</v>
      </c>
      <c r="F15" s="115" t="n"/>
      <c r="G15" s="115" t="n"/>
      <c r="H15" s="115" t="n"/>
    </row>
    <row r="16">
      <c r="A16" s="133" t="inlineStr">
        <is>
          <t>yesno</t>
        </is>
      </c>
      <c r="B16" s="133" t="n">
        <v>0</v>
      </c>
      <c r="C16" s="136" t="inlineStr">
        <is>
          <t>No</t>
        </is>
      </c>
      <c r="D16" s="133" t="n"/>
      <c r="E16" s="133" t="n">
        <v>0</v>
      </c>
      <c r="F16" s="115" t="n"/>
      <c r="G16" s="115" t="n"/>
      <c r="H16" s="115" t="n"/>
    </row>
    <row r="17">
      <c r="A17" s="133" t="inlineStr">
        <is>
          <t>relationship</t>
        </is>
      </c>
      <c r="B17" s="133" t="n">
        <v>1</v>
      </c>
      <c r="C17" s="136" t="inlineStr">
        <is>
          <t>Mother</t>
        </is>
      </c>
      <c r="D17" s="133" t="n"/>
      <c r="E17" s="133" t="n"/>
      <c r="F17" s="115" t="n"/>
      <c r="G17" s="115" t="n"/>
      <c r="H17" s="115" t="n"/>
    </row>
    <row r="18">
      <c r="A18" s="133" t="inlineStr">
        <is>
          <t>relationship</t>
        </is>
      </c>
      <c r="B18" s="133" t="n">
        <v>2</v>
      </c>
      <c r="C18" s="136" t="inlineStr">
        <is>
          <t>Father</t>
        </is>
      </c>
      <c r="D18" s="133" t="n"/>
      <c r="E18" s="133" t="n"/>
      <c r="F18" s="115" t="n"/>
      <c r="G18" s="115" t="n"/>
      <c r="H18" s="115" t="n"/>
    </row>
    <row r="19">
      <c r="A19" s="133" t="inlineStr">
        <is>
          <t>relationship</t>
        </is>
      </c>
      <c r="B19" s="133" t="n">
        <v>3</v>
      </c>
      <c r="C19" s="136" t="inlineStr">
        <is>
          <t>Grandparent</t>
        </is>
      </c>
      <c r="D19" s="133" t="n"/>
      <c r="E19" s="133" t="n"/>
      <c r="F19" s="115" t="n"/>
      <c r="G19" s="115" t="n"/>
      <c r="H19" s="115" t="n"/>
    </row>
    <row r="20">
      <c r="A20" s="133" t="inlineStr">
        <is>
          <t>relationship</t>
        </is>
      </c>
      <c r="B20" s="133" t="n">
        <v>4</v>
      </c>
      <c r="C20" s="136" t="inlineStr">
        <is>
          <t>Aunt/Uncle</t>
        </is>
      </c>
      <c r="D20" s="133" t="n"/>
      <c r="E20" s="133" t="n"/>
      <c r="F20" s="115" t="n"/>
      <c r="G20" s="115" t="n"/>
      <c r="H20" s="115" t="n"/>
    </row>
    <row r="21">
      <c r="A21" s="133" t="inlineStr">
        <is>
          <t>relationship</t>
        </is>
      </c>
      <c r="B21" s="133" t="n">
        <v>5</v>
      </c>
      <c r="C21" s="136" t="inlineStr">
        <is>
          <t>Cousin</t>
        </is>
      </c>
      <c r="D21" s="133" t="n"/>
      <c r="E21" s="133" t="n"/>
      <c r="F21" s="115" t="n"/>
      <c r="G21" s="115" t="n"/>
      <c r="H21" s="115" t="n"/>
    </row>
    <row r="22">
      <c r="A22" s="133" t="inlineStr">
        <is>
          <t>relationship</t>
        </is>
      </c>
      <c r="B22" s="133" t="n">
        <v>6</v>
      </c>
      <c r="C22" s="136" t="inlineStr">
        <is>
          <t>Sibling</t>
        </is>
      </c>
      <c r="D22" s="133" t="n"/>
      <c r="E22" s="133" t="n"/>
      <c r="F22" s="115" t="n"/>
      <c r="G22" s="115" t="n"/>
      <c r="H22" s="115" t="n"/>
    </row>
    <row r="23">
      <c r="A23" s="133" t="inlineStr">
        <is>
          <t>relationship</t>
        </is>
      </c>
      <c r="B23" s="133" t="n">
        <v>7</v>
      </c>
      <c r="C23" s="136" t="inlineStr">
        <is>
          <t>Legal Guardian (non-relative)</t>
        </is>
      </c>
      <c r="D23" s="133" t="n"/>
      <c r="E23" s="133" t="n"/>
      <c r="F23" s="115" t="n"/>
      <c r="G23" s="115" t="n"/>
      <c r="H23" s="115" t="n"/>
    </row>
    <row r="24">
      <c r="A24" s="133" t="inlineStr">
        <is>
          <t>relationship</t>
        </is>
      </c>
      <c r="B24" s="133" t="n">
        <v>8</v>
      </c>
      <c r="C24" s="136" t="inlineStr">
        <is>
          <t>Other relative</t>
        </is>
      </c>
      <c r="D24" s="133" t="n"/>
      <c r="E24" s="133" t="n"/>
      <c r="F24" s="115" t="n"/>
      <c r="G24" s="115" t="n"/>
      <c r="H24" s="115" t="n"/>
    </row>
    <row r="25">
      <c r="A25" s="133" t="inlineStr">
        <is>
          <t>relationship</t>
        </is>
      </c>
      <c r="B25" s="133" t="n">
        <v>9</v>
      </c>
      <c r="C25" s="136" t="inlineStr">
        <is>
          <t>Other non-relative</t>
        </is>
      </c>
      <c r="D25" s="133" t="n"/>
      <c r="E25" s="133" t="n"/>
      <c r="F25" s="115" t="n"/>
      <c r="G25" s="115" t="n"/>
      <c r="H25" s="115" t="n"/>
    </row>
    <row r="26">
      <c r="A26" s="133" t="inlineStr">
        <is>
          <t>sex</t>
        </is>
      </c>
      <c r="B26" s="133" t="n">
        <v>1</v>
      </c>
      <c r="C26" s="136" t="inlineStr">
        <is>
          <t>Girl</t>
        </is>
      </c>
      <c r="D26" s="133" t="n"/>
      <c r="E26" s="133" t="n"/>
      <c r="F26" s="115" t="n"/>
      <c r="G26" s="115" t="n"/>
      <c r="H26" s="115" t="n"/>
    </row>
    <row r="27">
      <c r="A27" s="138" t="inlineStr">
        <is>
          <t>sex</t>
        </is>
      </c>
      <c r="B27" s="138" t="n">
        <v>0</v>
      </c>
      <c r="C27" s="139" t="inlineStr">
        <is>
          <t>Boy</t>
        </is>
      </c>
      <c r="D27" s="138" t="n"/>
      <c r="E27" s="138" t="n"/>
      <c r="F27" s="140" t="n"/>
      <c r="G27" s="140" t="n"/>
      <c r="H27" s="140" t="n"/>
    </row>
    <row r="28" ht="17" customHeight="1">
      <c r="A28" s="141" t="inlineStr">
        <is>
          <t>disruptions</t>
        </is>
      </c>
      <c r="B28" s="135" t="n">
        <v>1</v>
      </c>
      <c r="C28" s="142" t="inlineStr">
        <is>
          <t>Natural disasters (floods, typhoons, earthquakes, etc)</t>
        </is>
      </c>
      <c r="D28" s="131" t="n"/>
      <c r="E28" s="131" t="n"/>
      <c r="F28" s="115" t="n"/>
      <c r="G28" s="115" t="n"/>
      <c r="H28" s="115" t="n"/>
    </row>
    <row r="29" ht="17" customHeight="1">
      <c r="A29" s="143" t="inlineStr">
        <is>
          <t>disruptions</t>
        </is>
      </c>
      <c r="B29" s="131" t="n">
        <v>2</v>
      </c>
      <c r="C29" s="142" t="inlineStr">
        <is>
          <t>Health-related issues (illness, medical emergencies, etc)</t>
        </is>
      </c>
      <c r="D29" s="133" t="n"/>
      <c r="E29" s="133" t="n"/>
      <c r="F29" s="115" t="n"/>
      <c r="G29" s="115" t="n"/>
      <c r="H29" s="115" t="n"/>
    </row>
    <row r="30">
      <c r="A30" s="143" t="inlineStr">
        <is>
          <t>disruptions</t>
        </is>
      </c>
      <c r="B30" s="133" t="n">
        <v>3</v>
      </c>
      <c r="C30" s="136" t="inlineStr">
        <is>
          <t>School closures (strikes, lack of teachers, maintenance, etc)</t>
        </is>
      </c>
      <c r="D30" s="133" t="n"/>
      <c r="E30" s="133" t="n"/>
      <c r="F30" s="115" t="n"/>
      <c r="G30" s="115" t="n"/>
      <c r="H30" s="115" t="n"/>
    </row>
    <row r="31">
      <c r="A31" s="138" t="inlineStr">
        <is>
          <t>disruptions</t>
        </is>
      </c>
      <c r="B31" s="133" t="n">
        <v>4</v>
      </c>
      <c r="C31" s="136" t="inlineStr">
        <is>
          <t>Conflict or community tensions</t>
        </is>
      </c>
      <c r="D31" s="133" t="n"/>
      <c r="E31" s="133" t="n"/>
      <c r="F31" s="115" t="n"/>
      <c r="G31" s="115" t="n"/>
      <c r="H31" s="115" t="n"/>
    </row>
    <row r="32">
      <c r="A32" s="141" t="inlineStr">
        <is>
          <t>disruptions</t>
        </is>
      </c>
      <c r="B32" s="133" t="n">
        <v>0</v>
      </c>
      <c r="C32" s="136" t="inlineStr">
        <is>
          <t>No disruptions occurred</t>
        </is>
      </c>
      <c r="D32" s="133" t="n"/>
      <c r="E32" s="133" t="n"/>
      <c r="F32" s="115" t="n"/>
      <c r="G32" s="115" t="n"/>
      <c r="H32" s="115" t="n"/>
    </row>
    <row r="33">
      <c r="A33" s="141" t="inlineStr">
        <is>
          <t>sometimes</t>
        </is>
      </c>
      <c r="B33" s="133" t="n">
        <v>0</v>
      </c>
      <c r="C33" s="136" t="inlineStr">
        <is>
          <t>No, never.</t>
        </is>
      </c>
      <c r="D33" s="133" t="n"/>
      <c r="E33" s="133" t="n"/>
      <c r="F33" s="115" t="n"/>
      <c r="G33" s="115" t="n"/>
      <c r="H33" s="115" t="n"/>
    </row>
    <row r="34">
      <c r="A34" s="141" t="inlineStr">
        <is>
          <t>sometimes</t>
        </is>
      </c>
      <c r="B34" s="133" t="n">
        <v>1</v>
      </c>
      <c r="C34" s="136" t="inlineStr">
        <is>
          <t>Yes, sometimes.</t>
        </is>
      </c>
      <c r="D34" s="133" t="n"/>
      <c r="E34" s="133" t="n"/>
      <c r="F34" s="115" t="n"/>
      <c r="G34" s="115" t="n"/>
      <c r="H34" s="115" t="n"/>
    </row>
    <row r="35" ht="17" customHeight="1">
      <c r="A35" s="141" t="inlineStr">
        <is>
          <t>sometimes</t>
        </is>
      </c>
      <c r="B35" s="133" t="n">
        <v>2</v>
      </c>
      <c r="C35" s="136" t="inlineStr">
        <is>
          <t xml:space="preserve">Yes, always. 
</t>
        </is>
      </c>
      <c r="D35" s="133" t="n"/>
      <c r="E35" s="133" t="n"/>
      <c r="F35" s="115" t="n"/>
      <c r="G35" s="115" t="n"/>
      <c r="H35" s="115" t="n"/>
    </row>
    <row r="36">
      <c r="A36" s="141" t="inlineStr">
        <is>
          <t>sometimes</t>
        </is>
      </c>
      <c r="B36" s="133" t="n">
        <v>-99</v>
      </c>
      <c r="C36" s="136" t="inlineStr">
        <is>
          <t>Not applicable, school was not on break or cancelled.</t>
        </is>
      </c>
      <c r="D36" s="133" t="n"/>
      <c r="E36" s="133" t="n"/>
      <c r="F36" s="115" t="n"/>
      <c r="G36" s="115" t="n"/>
      <c r="H36" s="115" t="n"/>
    </row>
    <row r="37">
      <c r="A37" s="133" t="inlineStr">
        <is>
          <t>best_time</t>
        </is>
      </c>
      <c r="B37" s="133" t="inlineStr">
        <is>
          <t>8am-12pm;</t>
        </is>
      </c>
      <c r="C37" s="136" t="inlineStr">
        <is>
          <t>8AM-12PM</t>
        </is>
      </c>
      <c r="D37" s="133" t="n"/>
      <c r="E37" s="133" t="n"/>
      <c r="F37" s="115" t="n"/>
      <c r="G37" s="115" t="n"/>
      <c r="H37" s="115" t="n"/>
    </row>
    <row r="38">
      <c r="A38" s="133" t="inlineStr">
        <is>
          <t>best_time</t>
        </is>
      </c>
      <c r="B38" s="133" t="inlineStr">
        <is>
          <t>12pm-5pm;</t>
        </is>
      </c>
      <c r="C38" s="136" t="inlineStr">
        <is>
          <t>12PM-5PM</t>
        </is>
      </c>
      <c r="D38" s="133" t="n"/>
      <c r="E38" s="133" t="n"/>
      <c r="F38" s="115" t="n"/>
      <c r="G38" s="115" t="n"/>
      <c r="H38" s="115" t="n"/>
    </row>
    <row r="39">
      <c r="A39" s="133" t="inlineStr">
        <is>
          <t>best_time</t>
        </is>
      </c>
      <c r="B39" s="133" t="inlineStr">
        <is>
          <t>5pm-8pm;</t>
        </is>
      </c>
      <c r="C39" s="136" t="inlineStr">
        <is>
          <t>5PM-8PM</t>
        </is>
      </c>
      <c r="D39" s="133" t="n"/>
      <c r="E39" s="133" t="n"/>
      <c r="F39" s="115" t="n"/>
      <c r="G39" s="115" t="n"/>
      <c r="H39" s="115" t="n"/>
    </row>
    <row r="40">
      <c r="A40" s="133" t="inlineStr">
        <is>
          <t>best_time</t>
        </is>
      </c>
      <c r="B40" s="133" t="inlineStr">
        <is>
          <t>-</t>
        </is>
      </c>
      <c r="C40" s="136" t="inlineStr">
        <is>
          <t>N/A</t>
        </is>
      </c>
      <c r="D40" s="133" t="n"/>
      <c r="E40" s="133" t="n"/>
      <c r="F40" s="115" t="n"/>
      <c r="G40" s="115" t="n"/>
      <c r="H40" s="115" t="n"/>
    </row>
    <row r="41">
      <c r="A41" s="133" t="inlineStr">
        <is>
          <t>phone_owner</t>
        </is>
      </c>
      <c r="B41" s="133" t="n">
        <v>1</v>
      </c>
      <c r="C41" s="136" t="inlineStr">
        <is>
          <t>Caregiver (&lt;font color="#14b14b"&gt;&lt;b&gt;&lt;u&gt;${care_name}&lt;/u&gt;&lt;/b&gt;&lt;/font&gt;)</t>
        </is>
      </c>
      <c r="D41" s="133" t="n"/>
      <c r="E41" s="133" t="n"/>
      <c r="F41" s="115" t="n"/>
      <c r="G41" s="115" t="n"/>
      <c r="H41" s="115" t="n"/>
    </row>
    <row r="42">
      <c r="A42" s="133" t="inlineStr">
        <is>
          <t>phone_owner</t>
        </is>
      </c>
      <c r="B42" s="133" t="n">
        <v>2</v>
      </c>
      <c r="C42" s="136" t="inlineStr">
        <is>
          <t>Someone else</t>
        </is>
      </c>
      <c r="D42" s="133" t="n"/>
      <c r="E42" s="133" t="n"/>
      <c r="F42" s="115" t="n"/>
      <c r="G42" s="115" t="n"/>
      <c r="H42" s="115" t="n"/>
    </row>
    <row r="43">
      <c r="A43" s="133" t="inlineStr">
        <is>
          <t>levelling</t>
        </is>
      </c>
      <c r="B43" s="133" t="n">
        <v>1</v>
      </c>
      <c r="C43" s="136" t="inlineStr">
        <is>
          <t>Yes</t>
        </is>
      </c>
      <c r="D43" s="133" t="n"/>
      <c r="E43" s="133" t="n"/>
      <c r="F43" s="115" t="n"/>
      <c r="G43" s="115" t="n"/>
      <c r="H43" s="115" t="n"/>
    </row>
    <row r="44">
      <c r="A44" s="133" t="inlineStr">
        <is>
          <t>levelling</t>
        </is>
      </c>
      <c r="B44" s="133" t="n">
        <v>-88</v>
      </c>
      <c r="C44" s="136" t="inlineStr">
        <is>
          <t>Yes, but someone else seems to be helping</t>
        </is>
      </c>
      <c r="D44" s="133" t="n"/>
      <c r="E44" s="133" t="n"/>
      <c r="F44" s="115" t="n"/>
      <c r="G44" s="115" t="n"/>
      <c r="H44" s="115" t="n"/>
    </row>
    <row r="45">
      <c r="A45" s="133" t="inlineStr">
        <is>
          <t>levelling</t>
        </is>
      </c>
      <c r="B45" s="133" t="n">
        <v>0</v>
      </c>
      <c r="C45" s="136" t="inlineStr">
        <is>
          <t>No</t>
        </is>
      </c>
      <c r="D45" s="133" t="n"/>
      <c r="E45" s="133" t="n"/>
      <c r="F45" s="115" t="n"/>
      <c r="G45" s="115" t="n"/>
      <c r="H45" s="115" t="n"/>
    </row>
    <row r="46">
      <c r="A46" s="133" t="inlineStr">
        <is>
          <t>levelling</t>
        </is>
      </c>
      <c r="B46" s="133" t="n">
        <v>-99</v>
      </c>
      <c r="C46" s="136" t="inlineStr">
        <is>
          <t>Child refused to answer or finished call early</t>
        </is>
      </c>
      <c r="D46" s="133" t="n"/>
      <c r="E46" s="133" t="n"/>
      <c r="F46" s="115" t="n"/>
      <c r="G46" s="115" t="n"/>
      <c r="H46" s="115" t="n"/>
    </row>
    <row r="47">
      <c r="A47" s="133" t="inlineStr">
        <is>
          <t>status</t>
        </is>
      </c>
      <c r="B47" s="133" t="n">
        <v>1</v>
      </c>
      <c r="C47" s="136" t="inlineStr">
        <is>
          <t>Caregiver interviewed and student levelled</t>
        </is>
      </c>
      <c r="D47" s="133" t="n"/>
      <c r="E47" s="133" t="n"/>
      <c r="F47" s="115" t="n"/>
      <c r="G47" s="115" t="n"/>
      <c r="H47" s="115" t="n"/>
    </row>
    <row r="48">
      <c r="A48" s="133" t="inlineStr">
        <is>
          <t>status</t>
        </is>
      </c>
      <c r="B48" s="133" t="n">
        <v>2</v>
      </c>
      <c r="C48" s="136" t="inlineStr">
        <is>
          <t>Only caregiver interviewed, student levelling rescheduled</t>
        </is>
      </c>
      <c r="D48" s="133" t="n"/>
      <c r="E48" s="133" t="n"/>
      <c r="F48" s="115" t="n"/>
      <c r="G48" s="115" t="n"/>
      <c r="H48" s="115" t="n"/>
    </row>
    <row r="49">
      <c r="A49" s="133" t="inlineStr">
        <is>
          <t>status</t>
        </is>
      </c>
      <c r="B49" s="133" t="n">
        <v>0</v>
      </c>
      <c r="C49" s="136" t="inlineStr">
        <is>
          <t>Student levelled, caregiver interviewed previously</t>
        </is>
      </c>
      <c r="D49" s="133" t="n"/>
      <c r="E49" s="133" t="n"/>
      <c r="F49" s="115" t="n"/>
      <c r="G49" s="115" t="n"/>
      <c r="H49" s="115" t="n"/>
    </row>
    <row r="50">
      <c r="A50" s="133" t="inlineStr">
        <is>
          <t>status</t>
        </is>
      </c>
      <c r="B50" s="133" t="n">
        <v>3</v>
      </c>
      <c r="C50" s="136" t="inlineStr">
        <is>
          <t>Call re-scheduled</t>
        </is>
      </c>
      <c r="D50" s="133" t="n"/>
      <c r="E50" s="133" t="n"/>
      <c r="F50" s="115" t="n"/>
      <c r="G50" s="115" t="n"/>
      <c r="H50" s="115" t="n"/>
    </row>
    <row r="51">
      <c r="A51" s="133" t="inlineStr">
        <is>
          <t>status</t>
        </is>
      </c>
      <c r="B51" s="133" t="n">
        <v>4</v>
      </c>
      <c r="C51" s="136" t="inlineStr">
        <is>
          <t>Call not answered</t>
        </is>
      </c>
      <c r="D51" s="133" t="n"/>
      <c r="E51" s="133" t="n"/>
      <c r="F51" s="115" t="n"/>
      <c r="G51" s="115" t="n"/>
      <c r="H51" s="115" t="n"/>
    </row>
    <row r="52">
      <c r="A52" s="133" t="inlineStr">
        <is>
          <t>status</t>
        </is>
      </c>
      <c r="B52" s="133" t="n">
        <v>5</v>
      </c>
      <c r="C52" s="136" t="inlineStr">
        <is>
          <t>Caregiver no longer wants to participate</t>
        </is>
      </c>
      <c r="D52" s="133" t="n"/>
      <c r="E52" s="133" t="n"/>
      <c r="F52" s="115" t="n"/>
      <c r="G52" s="115" t="n"/>
      <c r="H52" s="115" t="n"/>
    </row>
    <row r="53">
      <c r="A53" s="133" t="inlineStr">
        <is>
          <t>status</t>
        </is>
      </c>
      <c r="B53" s="133" t="n">
        <v>6</v>
      </c>
      <c r="C53" s="136" t="inlineStr">
        <is>
          <t>Wrong number</t>
        </is>
      </c>
      <c r="D53" s="133" t="n"/>
      <c r="E53" s="133" t="n"/>
      <c r="F53" s="115" t="n"/>
      <c r="G53" s="115" t="n"/>
      <c r="H53" s="115" t="n"/>
    </row>
    <row r="54">
      <c r="A54" s="133" t="inlineStr">
        <is>
          <t>consent</t>
        </is>
      </c>
      <c r="B54" s="133" t="n">
        <v>1</v>
      </c>
      <c r="C54" s="136" t="inlineStr">
        <is>
          <t>Yes</t>
        </is>
      </c>
      <c r="D54" s="133" t="n"/>
      <c r="E54" s="133" t="n"/>
      <c r="F54" s="115" t="n"/>
      <c r="G54" s="115" t="n"/>
      <c r="H54" s="115" t="n"/>
    </row>
    <row r="55">
      <c r="A55" s="133" t="inlineStr">
        <is>
          <t>consent</t>
        </is>
      </c>
      <c r="B55" s="133" t="n">
        <v>0</v>
      </c>
      <c r="C55" s="136" t="inlineStr">
        <is>
          <t>No</t>
        </is>
      </c>
      <c r="D55" s="133" t="n"/>
      <c r="E55" s="133" t="n"/>
      <c r="F55" s="115" t="n"/>
      <c r="G55" s="115" t="n"/>
      <c r="H55" s="115" t="n"/>
    </row>
    <row r="56">
      <c r="A56" s="133" t="inlineStr">
        <is>
          <t>consent</t>
        </is>
      </c>
      <c r="B56" s="133" t="n">
        <v>-99</v>
      </c>
      <c r="C56" s="136" t="inlineStr">
        <is>
          <t>Caregiver no longer wants to participate</t>
        </is>
      </c>
      <c r="D56" s="133" t="n"/>
      <c r="E56" s="133" t="n"/>
      <c r="F56" s="115" t="n"/>
      <c r="G56" s="115" t="n"/>
      <c r="H56" s="115" t="n"/>
    </row>
    <row r="57">
      <c r="A57" s="133" t="inlineStr">
        <is>
          <t>noconsent</t>
        </is>
      </c>
      <c r="B57" s="133" t="n">
        <v>1</v>
      </c>
      <c r="C57" s="136" t="inlineStr">
        <is>
          <t xml:space="preserve">Caregiver does not have time </t>
        </is>
      </c>
      <c r="D57" s="133" t="n"/>
      <c r="E57" s="133" t="n"/>
      <c r="F57" s="115" t="n"/>
      <c r="G57" s="115" t="n"/>
      <c r="H57" s="115" t="n"/>
    </row>
    <row r="58">
      <c r="A58" s="133" t="inlineStr">
        <is>
          <t>noconsent</t>
        </is>
      </c>
      <c r="B58" s="133" t="n">
        <v>2</v>
      </c>
      <c r="C58" s="136" t="inlineStr">
        <is>
          <t>Caregiver is not with the child most of the time.</t>
        </is>
      </c>
      <c r="D58" s="133" t="n"/>
      <c r="E58" s="133" t="n"/>
      <c r="F58" s="115" t="n"/>
      <c r="G58" s="115" t="n"/>
      <c r="H58" s="115" t="n"/>
    </row>
    <row r="59">
      <c r="A59" s="133" t="inlineStr">
        <is>
          <t>noconsent</t>
        </is>
      </c>
      <c r="B59" s="133" t="n">
        <v>3</v>
      </c>
      <c r="C59" s="136" t="inlineStr">
        <is>
          <t>Caregiver does not have a cellphone</t>
        </is>
      </c>
      <c r="D59" s="133" t="n"/>
      <c r="E59" s="133" t="n"/>
      <c r="F59" s="115" t="n"/>
      <c r="G59" s="115" t="n"/>
      <c r="H59" s="115" t="n"/>
    </row>
    <row r="60">
      <c r="A60" s="133" t="inlineStr">
        <is>
          <t>noconsent</t>
        </is>
      </c>
      <c r="B60" s="133" t="n">
        <v>4</v>
      </c>
      <c r="C60" s="136" t="inlineStr">
        <is>
          <t>Child does not want to participate</t>
        </is>
      </c>
      <c r="D60" s="133" t="n"/>
      <c r="E60" s="133" t="n"/>
      <c r="F60" s="115" t="n"/>
      <c r="G60" s="115" t="n"/>
      <c r="H60" s="115" t="n"/>
    </row>
    <row r="61">
      <c r="A61" s="133" t="inlineStr">
        <is>
          <t>noconsent</t>
        </is>
      </c>
      <c r="B61" s="133" t="n">
        <v>5</v>
      </c>
      <c r="C61" s="136" t="inlineStr">
        <is>
          <t>The caregiver did not share a reason.</t>
        </is>
      </c>
      <c r="D61" s="133" t="n"/>
      <c r="E61" s="133" t="n"/>
      <c r="F61" s="115" t="n"/>
      <c r="G61" s="115" t="n"/>
      <c r="H61" s="115" t="n"/>
    </row>
    <row r="62">
      <c r="A62" s="133" t="inlineStr">
        <is>
          <t>noconsent</t>
        </is>
      </c>
      <c r="B62" s="133" t="n">
        <v>6</v>
      </c>
      <c r="C62" s="136" t="inlineStr">
        <is>
          <t>Other (specify):</t>
        </is>
      </c>
      <c r="D62" s="133" t="n"/>
      <c r="E62" s="133" t="n"/>
      <c r="F62" s="115" t="n"/>
      <c r="G62" s="115" t="n"/>
      <c r="H62" s="115" t="n"/>
    </row>
    <row r="63">
      <c r="A63" s="133" t="inlineStr">
        <is>
          <t>call_count</t>
        </is>
      </c>
      <c r="B63" s="133" t="n">
        <v>0</v>
      </c>
      <c r="C63" s="136" t="inlineStr">
        <is>
          <t>Zero / None, did not receive any phone calls for numeracy instruction calls</t>
        </is>
      </c>
      <c r="D63" s="133" t="n"/>
      <c r="E63" s="133" t="n"/>
      <c r="F63" s="115" t="n"/>
      <c r="G63" s="115" t="n"/>
      <c r="H63" s="115" t="n"/>
    </row>
    <row r="64">
      <c r="A64" s="133" t="inlineStr">
        <is>
          <t>call_count</t>
        </is>
      </c>
      <c r="B64" s="133" t="n">
        <v>1</v>
      </c>
      <c r="C64" s="136" t="inlineStr">
        <is>
          <t>1 call</t>
        </is>
      </c>
      <c r="D64" s="133" t="n"/>
      <c r="E64" s="133" t="n"/>
      <c r="F64" s="115" t="n"/>
      <c r="G64" s="115" t="n"/>
      <c r="H64" s="115" t="n"/>
    </row>
    <row r="65">
      <c r="A65" s="133" t="inlineStr">
        <is>
          <t>call_count</t>
        </is>
      </c>
      <c r="B65" s="133" t="n">
        <v>2</v>
      </c>
      <c r="C65" s="136" t="inlineStr">
        <is>
          <t>2 calls</t>
        </is>
      </c>
      <c r="D65" s="133" t="n"/>
      <c r="E65" s="133" t="n"/>
      <c r="F65" s="115" t="n"/>
      <c r="G65" s="115" t="n"/>
      <c r="H65" s="115" t="n"/>
    </row>
    <row r="66">
      <c r="A66" s="133" t="inlineStr">
        <is>
          <t>call_count</t>
        </is>
      </c>
      <c r="B66" s="133" t="n">
        <v>3</v>
      </c>
      <c r="C66" s="136" t="inlineStr">
        <is>
          <t>3 calls</t>
        </is>
      </c>
      <c r="D66" s="133" t="n"/>
      <c r="E66" s="133" t="n"/>
      <c r="F66" s="115" t="n"/>
      <c r="G66" s="115" t="n"/>
      <c r="H66" s="115" t="n"/>
    </row>
    <row r="67">
      <c r="A67" s="133" t="inlineStr">
        <is>
          <t>call_count</t>
        </is>
      </c>
      <c r="B67" s="133" t="n">
        <v>4</v>
      </c>
      <c r="C67" s="136" t="inlineStr">
        <is>
          <t>4 calls</t>
        </is>
      </c>
      <c r="D67" s="133" t="n"/>
      <c r="E67" s="133" t="n"/>
      <c r="F67" s="115" t="n"/>
      <c r="G67" s="115" t="n"/>
      <c r="H67" s="115" t="n"/>
    </row>
    <row r="68">
      <c r="A68" s="133" t="inlineStr">
        <is>
          <t>call_count</t>
        </is>
      </c>
      <c r="B68" s="133" t="n">
        <v>5</v>
      </c>
      <c r="C68" s="136" t="inlineStr">
        <is>
          <t>5 calls</t>
        </is>
      </c>
      <c r="D68" s="133" t="n"/>
      <c r="E68" s="133" t="n"/>
      <c r="F68" s="115" t="n"/>
      <c r="G68" s="115" t="n"/>
      <c r="H68" s="115" t="n"/>
    </row>
    <row r="69">
      <c r="A69" s="133" t="inlineStr">
        <is>
          <t>call_count</t>
        </is>
      </c>
      <c r="B69" s="133" t="n">
        <v>6</v>
      </c>
      <c r="C69" s="136" t="inlineStr">
        <is>
          <t>6 calls</t>
        </is>
      </c>
      <c r="D69" s="133" t="n"/>
      <c r="E69" s="133" t="n"/>
      <c r="F69" s="115" t="n"/>
      <c r="G69" s="115" t="n"/>
      <c r="H69" s="115" t="n"/>
    </row>
    <row r="70">
      <c r="A70" s="133" t="inlineStr">
        <is>
          <t>call_count</t>
        </is>
      </c>
      <c r="B70" s="133" t="n">
        <v>7</v>
      </c>
      <c r="C70" s="136" t="inlineStr">
        <is>
          <t>7 calls</t>
        </is>
      </c>
      <c r="D70" s="133" t="n"/>
      <c r="E70" s="133" t="n"/>
      <c r="F70" s="115" t="n"/>
      <c r="G70" s="115" t="n"/>
      <c r="H70" s="115" t="n"/>
    </row>
    <row r="71">
      <c r="A71" s="133" t="inlineStr">
        <is>
          <t>call_count</t>
        </is>
      </c>
      <c r="B71" s="133" t="n">
        <v>8</v>
      </c>
      <c r="C71" s="136" t="inlineStr">
        <is>
          <t>8 calls</t>
        </is>
      </c>
      <c r="D71" s="133" t="n"/>
      <c r="E71" s="133" t="n"/>
      <c r="F71" s="115" t="n"/>
      <c r="G71" s="115" t="n"/>
      <c r="H71" s="115" t="n"/>
    </row>
    <row r="72">
      <c r="A72" s="133" t="inlineStr">
        <is>
          <t>call_count</t>
        </is>
      </c>
      <c r="B72" s="133" t="n">
        <v>9</v>
      </c>
      <c r="C72" s="136" t="inlineStr">
        <is>
          <t>More than 8 calls</t>
        </is>
      </c>
      <c r="D72" s="133" t="n"/>
      <c r="E72" s="133" t="n"/>
      <c r="F72" s="115" t="n"/>
      <c r="G72" s="115" t="n"/>
      <c r="H72" s="115" t="n"/>
    </row>
    <row r="73">
      <c r="A73" s="133" t="inlineStr">
        <is>
          <t>call_count</t>
        </is>
      </c>
      <c r="B73" s="133" t="n">
        <v>-99</v>
      </c>
      <c r="C73" s="136" t="inlineStr">
        <is>
          <t>Respondent does not know / refused to answer</t>
        </is>
      </c>
      <c r="D73" s="133" t="n"/>
      <c r="E73" s="133" t="n"/>
      <c r="F73" s="115" t="n"/>
      <c r="G73" s="115" t="n"/>
      <c r="H73" s="115" t="n"/>
    </row>
    <row r="74">
      <c r="A74" s="133" t="inlineStr">
        <is>
          <t>frequency</t>
        </is>
      </c>
      <c r="B74" s="133" t="n">
        <v>5</v>
      </c>
      <c r="C74" s="136" t="inlineStr">
        <is>
          <t>Always</t>
        </is>
      </c>
      <c r="D74" s="133" t="n"/>
      <c r="E74" s="133" t="n"/>
      <c r="F74" s="115" t="n"/>
      <c r="G74" s="115" t="n"/>
      <c r="H74" s="115" t="n"/>
    </row>
    <row r="75">
      <c r="A75" s="133" t="inlineStr">
        <is>
          <t>frequency</t>
        </is>
      </c>
      <c r="B75" s="133" t="n">
        <v>4</v>
      </c>
      <c r="C75" s="136" t="inlineStr">
        <is>
          <t>Frequently</t>
        </is>
      </c>
      <c r="D75" s="133" t="n"/>
      <c r="E75" s="133" t="n"/>
      <c r="F75" s="115" t="n"/>
      <c r="G75" s="115" t="n"/>
      <c r="H75" s="115" t="n"/>
    </row>
    <row r="76">
      <c r="A76" s="133" t="inlineStr">
        <is>
          <t>frequency</t>
        </is>
      </c>
      <c r="B76" s="133" t="n">
        <v>3</v>
      </c>
      <c r="C76" s="136" t="inlineStr">
        <is>
          <t>Sometimes</t>
        </is>
      </c>
      <c r="D76" s="133" t="n"/>
      <c r="E76" s="133" t="n"/>
      <c r="F76" s="115" t="n"/>
      <c r="G76" s="115" t="n"/>
      <c r="H76" s="115" t="n"/>
    </row>
    <row r="77">
      <c r="A77" s="133" t="inlineStr">
        <is>
          <t>frequency</t>
        </is>
      </c>
      <c r="B77" s="133" t="n">
        <v>2</v>
      </c>
      <c r="C77" s="136" t="inlineStr">
        <is>
          <t>Rarely</t>
        </is>
      </c>
      <c r="D77" s="133" t="n"/>
      <c r="E77" s="133" t="n"/>
      <c r="F77" s="115" t="n"/>
      <c r="G77" s="115" t="n"/>
      <c r="H77" s="115" t="n"/>
    </row>
    <row r="78">
      <c r="A78" s="133" t="inlineStr">
        <is>
          <t>frequency</t>
        </is>
      </c>
      <c r="B78" s="133" t="n">
        <v>1</v>
      </c>
      <c r="C78" s="136" t="inlineStr">
        <is>
          <t>Never</t>
        </is>
      </c>
      <c r="D78" s="133" t="n"/>
      <c r="E78" s="133" t="n"/>
      <c r="F78" s="115" t="n"/>
      <c r="G78" s="115" t="n"/>
      <c r="H78" s="115" t="n"/>
    </row>
    <row r="79">
      <c r="A79" s="133" t="inlineStr">
        <is>
          <t>perc_level</t>
        </is>
      </c>
      <c r="B79" s="133" t="n">
        <v>0</v>
      </c>
      <c r="C79" s="136" t="inlineStr">
        <is>
          <t>None, child struggles to perform any maths operations</t>
        </is>
      </c>
      <c r="D79" s="133" t="n"/>
      <c r="E79" s="133" t="n"/>
      <c r="F79" s="115" t="n"/>
      <c r="G79" s="115" t="n"/>
      <c r="H79" s="115" t="n"/>
    </row>
    <row r="80">
      <c r="A80" s="133" t="inlineStr">
        <is>
          <t>perc_level</t>
        </is>
      </c>
      <c r="B80" s="133" t="n">
        <v>1</v>
      </c>
      <c r="C80" s="136" t="inlineStr">
        <is>
          <t>Addition</t>
        </is>
      </c>
      <c r="D80" s="133" t="n"/>
      <c r="E80" s="133" t="n"/>
      <c r="F80" s="115" t="n"/>
      <c r="G80" s="115" t="n"/>
      <c r="H80" s="115" t="n"/>
    </row>
    <row r="81">
      <c r="A81" s="133" t="inlineStr">
        <is>
          <t>perc_level</t>
        </is>
      </c>
      <c r="B81" s="133" t="n">
        <v>2</v>
      </c>
      <c r="C81" s="136" t="inlineStr">
        <is>
          <t>Subtraction</t>
        </is>
      </c>
      <c r="D81" s="133" t="n"/>
      <c r="E81" s="133" t="n"/>
      <c r="F81" s="115" t="n"/>
      <c r="G81" s="115" t="n"/>
      <c r="H81" s="115" t="n"/>
    </row>
    <row r="82">
      <c r="A82" s="133" t="inlineStr">
        <is>
          <t>perc_level</t>
        </is>
      </c>
      <c r="B82" s="133" t="n">
        <v>3</v>
      </c>
      <c r="C82" s="136" t="inlineStr">
        <is>
          <t>Multiplication</t>
        </is>
      </c>
      <c r="D82" s="133" t="n"/>
      <c r="E82" s="133" t="n"/>
      <c r="F82" s="115" t="n"/>
      <c r="G82" s="115" t="n"/>
      <c r="H82" s="115" t="n"/>
    </row>
    <row r="83">
      <c r="A83" s="133" t="inlineStr">
        <is>
          <t>perc_level</t>
        </is>
      </c>
      <c r="B83" s="133" t="n">
        <v>4</v>
      </c>
      <c r="C83" s="136" t="inlineStr">
        <is>
          <t>Division</t>
        </is>
      </c>
      <c r="D83" s="133" t="n"/>
      <c r="E83" s="133" t="n"/>
      <c r="F83" s="115" t="n"/>
      <c r="G83" s="115" t="n"/>
      <c r="H83" s="115" t="n"/>
    </row>
    <row r="84">
      <c r="A84" s="133" t="inlineStr">
        <is>
          <t>perc_level</t>
        </is>
      </c>
      <c r="B84" s="133" t="n">
        <v>-77</v>
      </c>
      <c r="C84" s="136" t="inlineStr">
        <is>
          <t>Respondent did not know</t>
        </is>
      </c>
      <c r="D84" s="133" t="n"/>
      <c r="E84" s="133" t="n"/>
      <c r="F84" s="115" t="n"/>
      <c r="G84" s="115" t="n"/>
      <c r="H84" s="115" t="n"/>
    </row>
    <row r="85">
      <c r="A85" s="133" t="inlineStr">
        <is>
          <t>perc_level</t>
        </is>
      </c>
      <c r="B85" s="133" t="n">
        <v>-99</v>
      </c>
      <c r="C85" s="136" t="inlineStr">
        <is>
          <t>Respondent refused to answer or finished call early</t>
        </is>
      </c>
      <c r="D85" s="133" t="n"/>
      <c r="E85" s="133" t="n"/>
      <c r="F85" s="115" t="n"/>
      <c r="G85" s="115" t="n"/>
      <c r="H85" s="115" t="n"/>
    </row>
    <row r="86">
      <c r="A86" s="133" t="inlineStr">
        <is>
          <t>freq_det</t>
        </is>
      </c>
      <c r="B86" s="133" t="n">
        <v>1</v>
      </c>
      <c r="C86" s="136" t="inlineStr">
        <is>
          <t>Never</t>
        </is>
      </c>
      <c r="D86" s="133" t="n"/>
      <c r="E86" s="133" t="n"/>
      <c r="F86" s="115" t="n"/>
      <c r="G86" s="115" t="n"/>
      <c r="H86" s="115" t="n"/>
    </row>
    <row r="87">
      <c r="A87" s="133" t="inlineStr">
        <is>
          <t>freq_det</t>
        </is>
      </c>
      <c r="B87" s="133" t="n">
        <v>2</v>
      </c>
      <c r="C87" s="136" t="inlineStr">
        <is>
          <t>1-2 times a week</t>
        </is>
      </c>
      <c r="D87" s="133" t="n"/>
      <c r="E87" s="133" t="n"/>
      <c r="F87" s="115" t="n"/>
      <c r="G87" s="115" t="n"/>
      <c r="H87" s="115" t="n"/>
    </row>
    <row r="88">
      <c r="A88" s="133" t="inlineStr">
        <is>
          <t>freq_det</t>
        </is>
      </c>
      <c r="B88" s="133" t="n">
        <v>3</v>
      </c>
      <c r="C88" s="136" t="inlineStr">
        <is>
          <t>3-4 times a week</t>
        </is>
      </c>
      <c r="D88" s="133" t="n"/>
      <c r="E88" s="133" t="n"/>
      <c r="F88" s="115" t="n"/>
      <c r="G88" s="115" t="n"/>
      <c r="H88" s="115" t="n"/>
    </row>
    <row r="89">
      <c r="A89" s="133" t="inlineStr">
        <is>
          <t>freq_det</t>
        </is>
      </c>
      <c r="B89" s="133" t="n">
        <v>4</v>
      </c>
      <c r="C89" s="136" t="inlineStr">
        <is>
          <t>5-6 times a week</t>
        </is>
      </c>
      <c r="D89" s="133" t="n"/>
      <c r="E89" s="133" t="n"/>
      <c r="F89" s="115" t="n"/>
      <c r="G89" s="115" t="n"/>
      <c r="H89" s="115" t="n"/>
    </row>
    <row r="90">
      <c r="A90" s="123" t="inlineStr">
        <is>
          <t>freq_det</t>
        </is>
      </c>
      <c r="B90" s="123" t="n">
        <v>5</v>
      </c>
      <c r="C90" s="124" t="inlineStr">
        <is>
          <t>Daily</t>
        </is>
      </c>
      <c r="D90" s="133" t="n"/>
      <c r="E90" s="133" t="n"/>
      <c r="F90" s="115" t="n"/>
      <c r="G90" s="115" t="n"/>
      <c r="H90" s="115" t="n"/>
    </row>
    <row r="91">
      <c r="A91" s="115" t="inlineStr">
        <is>
          <t>phone_support</t>
        </is>
      </c>
      <c r="B91" s="115" t="n">
        <v>1</v>
      </c>
      <c r="C91" s="114" t="inlineStr">
        <is>
          <t>Yes, through both phone calls and SMS</t>
        </is>
      </c>
      <c r="D91" s="133" t="n"/>
      <c r="E91" s="133" t="n"/>
      <c r="F91" s="115" t="n"/>
      <c r="G91" s="115" t="n"/>
      <c r="H91" s="115" t="n"/>
    </row>
    <row r="92">
      <c r="A92" s="115" t="inlineStr">
        <is>
          <t>phone_support</t>
        </is>
      </c>
      <c r="B92" s="115" t="n">
        <v>2</v>
      </c>
      <c r="C92" s="114" t="inlineStr">
        <is>
          <t>Yes, only through SMS</t>
        </is>
      </c>
      <c r="D92" s="133" t="n"/>
      <c r="E92" s="133" t="n"/>
      <c r="F92" s="115" t="n"/>
      <c r="G92" s="115" t="n"/>
      <c r="H92" s="115" t="n"/>
    </row>
    <row r="93">
      <c r="A93" s="115" t="inlineStr">
        <is>
          <t>phone_support</t>
        </is>
      </c>
      <c r="B93" s="115" t="n">
        <v>3</v>
      </c>
      <c r="C93" s="114" t="inlineStr">
        <is>
          <t>Yes, only through phone calls</t>
        </is>
      </c>
      <c r="D93" s="133" t="n"/>
      <c r="E93" s="133" t="n"/>
      <c r="F93" s="115" t="n"/>
      <c r="G93" s="115" t="n"/>
      <c r="H93" s="115" t="n"/>
    </row>
    <row r="94">
      <c r="A94" s="115" t="inlineStr">
        <is>
          <t>phone_support</t>
        </is>
      </c>
      <c r="B94" s="115" t="n">
        <v>4</v>
      </c>
      <c r="C94" s="114" t="inlineStr">
        <is>
          <t>Yes, through either phone calls or SMS</t>
        </is>
      </c>
      <c r="D94" s="133" t="n"/>
      <c r="E94" s="133" t="n"/>
      <c r="F94" s="115" t="n"/>
      <c r="G94" s="115" t="n"/>
      <c r="H94" s="115" t="n"/>
    </row>
    <row r="95">
      <c r="A95" s="115" t="inlineStr">
        <is>
          <t>phone_support</t>
        </is>
      </c>
      <c r="B95" s="115" t="n">
        <v>0</v>
      </c>
      <c r="C95" s="114" t="inlineStr">
        <is>
          <t>No, I am not interested</t>
        </is>
      </c>
      <c r="D95" s="133" t="n"/>
      <c r="E95" s="133" t="n"/>
      <c r="F95" s="115" t="n"/>
      <c r="G95" s="115" t="n"/>
      <c r="H95" s="115" t="n"/>
    </row>
  </sheetData>
  <conditionalFormatting sqref="A5:B6 A8:H16 A19:H25 A27:H27 A38:H42 A64:H66 A68:H90 A96:H2006 B31:H36 D5:H6 D91:H95">
    <cfRule type="expression" priority="46" dxfId="0">
      <formula>NOT($A5=$A4)</formula>
    </cfRule>
  </conditionalFormatting>
  <conditionalFormatting sqref="A2:H4 A28:B28 A29:A36 B30:H30 D28:H29">
    <cfRule type="expression" priority="5313" dxfId="0">
      <formula>NOT($A2=#REF!)</formula>
    </cfRule>
  </conditionalFormatting>
  <conditionalFormatting sqref="A7:H7 A17:H17 A26:H26 A43:H43">
    <cfRule type="expression" priority="44" dxfId="0">
      <formula>NOT($A7=$A5)</formula>
    </cfRule>
  </conditionalFormatting>
  <conditionalFormatting sqref="A18:H18">
    <cfRule type="expression" priority="6030" dxfId="0">
      <formula>NOT($A18=$A15)</formula>
    </cfRule>
  </conditionalFormatting>
  <conditionalFormatting sqref="A44:H61">
    <cfRule type="expression" priority="2" dxfId="0">
      <formula>NOT($A44=$A43)</formula>
    </cfRule>
  </conditionalFormatting>
  <conditionalFormatting sqref="A62:H62">
    <cfRule type="expression" priority="1" dxfId="0">
      <formula>NOT($A62=$A60)</formula>
    </cfRule>
  </conditionalFormatting>
  <conditionalFormatting sqref="A63:H63">
    <cfRule type="expression" priority="6861" dxfId="0">
      <formula>NOT($A63=$A56)</formula>
    </cfRule>
  </conditionalFormatting>
  <conditionalFormatting sqref="A67:H67">
    <cfRule type="expression" priority="5038" dxfId="0">
      <formula>NOT($A67=#REF!)</formula>
    </cfRule>
  </conditionalFormatting>
  <conditionalFormatting sqref="B29">
    <cfRule type="expression" priority="5316" dxfId="0">
      <formula>NOT($A29=#REF!)</formula>
    </cfRule>
  </conditionalFormatting>
  <conditionalFormatting sqref="C5:C6">
    <cfRule type="expression" priority="42" dxfId="0">
      <formula>NOT($A5=#REF!)</formula>
    </cfRule>
  </conditionalFormatting>
  <conditionalFormatting sqref="C28:C29">
    <cfRule type="expression" priority="48" dxfId="118" stopIfTrue="1">
      <formula>$A28="file"</formula>
    </cfRule>
    <cfRule type="expression" priority="49" dxfId="117" stopIfTrue="1">
      <formula>$A28="file"</formula>
    </cfRule>
    <cfRule type="expression" priority="50" dxfId="116" stopIfTrue="1">
      <formula>$A28="enumerator"</formula>
    </cfRule>
    <cfRule type="expression" priority="51" dxfId="115" stopIfTrue="1">
      <formula>$A28="enumerator"</formula>
    </cfRule>
    <cfRule type="expression" priority="52" dxfId="114" stopIfTrue="1">
      <formula>OR(AND(LEFT($A28, 14)="sensor_stream ", LEN($A28)&gt;14, NOT(ISNUMBER(SEARCH(" ", $A28, 15)))), AND(LEFT($A28, 17)="sensor_statistic ", LEN($A28)&gt;17, NOT(ISNUMBER(SEARCH(" ", $A28, 18)))))</formula>
    </cfRule>
    <cfRule type="expression" priority="53" dxfId="25" stopIfTrue="1">
      <formula>$A28="comments"</formula>
    </cfRule>
    <cfRule type="expression" priority="54" dxfId="50" stopIfTrue="1">
      <formula>OR($A28="audio", $A28="video")</formula>
    </cfRule>
    <cfRule type="expression" priority="55" dxfId="24" stopIfTrue="1">
      <formula>OR($A28="audio", $A28="video")</formula>
    </cfRule>
    <cfRule type="expression" priority="56" dxfId="49" stopIfTrue="1">
      <formula>$A28="image"</formula>
    </cfRule>
    <cfRule type="expression" priority="57" dxfId="23" stopIfTrue="1">
      <formula>$A28="image"</formula>
    </cfRule>
    <cfRule type="expression" priority="58" dxfId="48" stopIfTrue="1">
      <formula>OR($A28="date", $A28="datetime", $A28="time")</formula>
    </cfRule>
    <cfRule type="expression" priority="59" dxfId="22" stopIfTrue="1">
      <formula>OR($A28="date", $A28="datetime", $A28="time")</formula>
    </cfRule>
    <cfRule type="expression" priority="60" dxfId="14" stopIfTrue="1">
      <formula>OR($A28="calculate", $A28="calculate_here")</formula>
    </cfRule>
    <cfRule type="expression" priority="61" dxfId="47" stopIfTrue="1">
      <formula>$A28="note"</formula>
    </cfRule>
    <cfRule type="expression" priority="62" dxfId="13" stopIfTrue="1">
      <formula>$A28="note"</formula>
    </cfRule>
    <cfRule type="expression" priority="63" dxfId="46" stopIfTrue="1">
      <formula>$A28="barcode"</formula>
    </cfRule>
    <cfRule type="expression" priority="64" dxfId="12" stopIfTrue="1">
      <formula>$A28="barcode"</formula>
    </cfRule>
    <cfRule type="expression" priority="65" dxfId="45" stopIfTrue="1">
      <formula>OR($A28="geopoint", $A28="geoshape", $A28="geotrace")</formula>
    </cfRule>
    <cfRule type="expression" priority="66" dxfId="11" stopIfTrue="1">
      <formula>OR($A28="geopoint", $A28="geoshape", $A28="geotrace")</formula>
    </cfRule>
    <cfRule type="expression" priority="67" dxfId="10" stopIfTrue="1">
      <formula>OR($A28="audio audit", $A28="text audit", $A28="speed violations count", $A28="speed violations list", $A28="speed violations audit")</formula>
    </cfRule>
    <cfRule type="expression" priority="68" dxfId="9" stopIfTrue="1">
      <formula>OR($A28="username", $A28="phonenumber", $A28="start", $A28="end", $A28="deviceid", $A28="subscriberid", $A28="simserial", $A28="caseid")</formula>
    </cfRule>
    <cfRule type="expression" priority="69" dxfId="44" stopIfTrue="1">
      <formula>OR(AND(LEFT($A28, 16)="select_multiple ", LEN($A28)&gt;16, NOT(ISNUMBER(SEARCH(" ", $A28, 17)))), AND(LEFT($A28, 11)="select_one ", LEN($A28)&gt;11, NOT(ISNUMBER(SEARCH(" ", $A28, 12)))))</formula>
    </cfRule>
    <cfRule type="expression" priority="70" dxfId="8" stopIfTrue="1">
      <formula>OR(AND(LEFT($A28, 16)="select_multiple ", LEN($A28)&gt;16, NOT(ISNUMBER(SEARCH(" ", $A28, 17)))), AND(LEFT($A28, 11)="select_one ", LEN($A28)&gt;11, NOT(ISNUMBER(SEARCH(" ", $A28, 12)))))</formula>
    </cfRule>
    <cfRule type="expression" priority="71" dxfId="41" stopIfTrue="1">
      <formula>$A28="decimal"</formula>
    </cfRule>
    <cfRule type="expression" priority="72" dxfId="7" stopIfTrue="1">
      <formula>$A28="decimal"</formula>
    </cfRule>
    <cfRule type="expression" priority="73" dxfId="40" stopIfTrue="1">
      <formula>$A28="integer"</formula>
    </cfRule>
    <cfRule type="expression" priority="74" dxfId="6" stopIfTrue="1">
      <formula>$A28="integer"</formula>
    </cfRule>
    <cfRule type="expression" priority="75" dxfId="53" stopIfTrue="1">
      <formula>$A28="text"</formula>
    </cfRule>
    <cfRule type="expression" priority="76" dxfId="5" stopIfTrue="1">
      <formula>$A28="text"</formula>
    </cfRule>
    <cfRule type="expression" priority="77" dxfId="3" stopIfTrue="1">
      <formula>$A28="end repeat"</formula>
    </cfRule>
    <cfRule type="expression" priority="78" dxfId="43" stopIfTrue="1">
      <formula>$A28="begin repeat"</formula>
    </cfRule>
    <cfRule type="expression" priority="79" dxfId="3" stopIfTrue="1">
      <formula>$A28="begin repeat"</formula>
    </cfRule>
    <cfRule type="expression" priority="80" dxfId="1" stopIfTrue="1">
      <formula>$A28="end group"</formula>
    </cfRule>
    <cfRule type="expression" priority="81" dxfId="42" stopIfTrue="1">
      <formula>$A28="begin group"</formula>
    </cfRule>
    <cfRule type="expression" priority="82" dxfId="1" stopIfTrue="1">
      <formula>$A28="begin group"</formula>
    </cfRule>
  </conditionalFormatting>
  <conditionalFormatting sqref="A37:H37">
    <cfRule type="expression" priority="6939" dxfId="0">
      <formula>NOT($A37=$A32)</formula>
    </cfRule>
  </conditionalFormatting>
  <pageMargins left="0.7479166666666667" right="0.7479166666666667" top="0.9840277777777777" bottom="0.9840277777777777" header="0.5118055555555555" footer="0.5118055555555555"/>
  <pageSetup orientation="portrait" firstPageNumber="0" horizontalDpi="300" verticalDpi="300"/>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B3" sqref="B3"/>
    </sheetView>
  </sheetViews>
  <sheetFormatPr baseColWidth="10" defaultColWidth="8.83203125" defaultRowHeight="16"/>
  <cols>
    <col width="32" customWidth="1" min="1" max="1"/>
    <col width="26" bestFit="1" customWidth="1" min="2" max="2"/>
    <col width="12" bestFit="1" customWidth="1" min="3" max="3"/>
    <col width="12" customWidth="1" min="4" max="4"/>
    <col width="14" bestFit="1" customWidth="1" min="5" max="5"/>
    <col width="16" bestFit="1" customWidth="1" min="6" max="6"/>
    <col width="18" customWidth="1" min="7" max="7"/>
    <col width="18" customWidth="1" min="8" max="8"/>
  </cols>
  <sheetData>
    <row r="1" ht="20" customFormat="1" customHeight="1" s="3">
      <c r="A1" s="120" t="inlineStr">
        <is>
          <t>form_title</t>
        </is>
      </c>
      <c r="B1" s="120" t="inlineStr">
        <is>
          <t>form_id</t>
        </is>
      </c>
      <c r="C1" s="121" t="inlineStr">
        <is>
          <t>version</t>
        </is>
      </c>
      <c r="D1" s="120" t="inlineStr">
        <is>
          <t>public_key</t>
        </is>
      </c>
      <c r="E1" s="120" t="inlineStr">
        <is>
          <t>submission_url</t>
        </is>
      </c>
      <c r="F1" s="120" t="inlineStr">
        <is>
          <t>default_language</t>
        </is>
      </c>
      <c r="G1" s="122" t="n"/>
      <c r="H1" s="122" t="n"/>
    </row>
    <row r="2">
      <c r="A2" s="133" t="inlineStr">
        <is>
          <t>Endline: mEduc GOV, PH 2025 Term 2</t>
        </is>
      </c>
      <c r="B2" s="133" t="inlineStr">
        <is>
          <t>mEduc_endl_t22025_ph</t>
        </is>
      </c>
      <c r="C2" s="133">
        <f>TEXT(YEAR(NOW())-2000, "00") &amp; TEXT(MONTH(NOW()), "00") &amp; TEXT(DAY(NOW()), "00") &amp; TEXT(HOUR(NOW()), "00") &amp; TEXT(MINUTE(NOW()), "00")</f>
        <v/>
      </c>
      <c r="D2" s="144" t="inlineStr"/>
      <c r="E2" s="145" t="inlineStr"/>
      <c r="F2" s="133" t="inlineStr">
        <is>
          <t>english</t>
        </is>
      </c>
      <c r="G2" s="115" t="n"/>
      <c r="H2" s="115" t="n"/>
    </row>
  </sheetData>
  <pageMargins left="0.7" right="0.7" top="0.75" bottom="0.75" header="0.3" footer="0.3"/>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D155"/>
  <sheetViews>
    <sheetView topLeftCell="A8" zoomScaleNormal="100" workbookViewId="0">
      <selection activeCell="A18" sqref="A18:XFD18"/>
    </sheetView>
  </sheetViews>
  <sheetFormatPr baseColWidth="10" defaultColWidth="11.1640625" defaultRowHeight="16"/>
  <cols>
    <col collapsed="1" width="36" customWidth="1" min="1" max="2"/>
    <col collapsed="1" width="36" customWidth="1" style="13" min="3" max="3"/>
    <col collapsed="1" width="36" customWidth="1" min="4" max="30"/>
  </cols>
  <sheetData>
    <row r="1" ht="17" customHeight="1">
      <c r="A1" s="146" t="inlineStr">
        <is>
          <t>The survey worksheet</t>
        </is>
      </c>
      <c r="B1" s="147" t="n"/>
    </row>
    <row r="2">
      <c r="A2" s="148" t="n"/>
      <c r="B2" s="149" t="n"/>
    </row>
    <row r="3" ht="58" customHeight="1">
      <c r="A3" s="150" t="inlineStr">
        <is>
          <t>This worksheet specifies all of the groups, questions, and other fields in your survey form, each in its own row. Aside from overall settings and lists of multiple-choice options, everything about your survey form is specified in this worksheet.</t>
        </is>
      </c>
      <c r="B3" s="149" t="n"/>
    </row>
    <row r="4" ht="16" customHeight="1">
      <c r="A4" s="151" t="inlineStr">
        <is>
          <t>Learn more about form definitions and field types</t>
        </is>
      </c>
      <c r="B4" s="152" t="n"/>
    </row>
    <row r="6" ht="18" customFormat="1" customHeight="1" s="3">
      <c r="A6" s="46" t="inlineStr">
        <is>
          <t>type</t>
        </is>
      </c>
      <c r="B6" s="46" t="inlineStr">
        <is>
          <t>name</t>
        </is>
      </c>
      <c r="C6" s="47" t="inlineStr">
        <is>
          <t>label</t>
        </is>
      </c>
      <c r="D6" s="47" t="inlineStr">
        <is>
          <t>label:languagename</t>
        </is>
      </c>
      <c r="E6" s="46" t="inlineStr">
        <is>
          <t>hint</t>
        </is>
      </c>
      <c r="F6" s="46" t="inlineStr">
        <is>
          <t>hint:languagename</t>
        </is>
      </c>
      <c r="G6" s="46" t="inlineStr">
        <is>
          <t>default</t>
        </is>
      </c>
      <c r="H6" s="48" t="inlineStr">
        <is>
          <t>appearance</t>
        </is>
      </c>
      <c r="I6" s="46" t="inlineStr">
        <is>
          <t>constraint</t>
        </is>
      </c>
      <c r="J6" s="47" t="inlineStr">
        <is>
          <t>constraint message</t>
        </is>
      </c>
      <c r="K6" s="47" t="inlineStr">
        <is>
          <t>constraint message:languagename</t>
        </is>
      </c>
      <c r="L6" s="46" t="inlineStr">
        <is>
          <t>relevance</t>
        </is>
      </c>
      <c r="M6" s="46" t="inlineStr">
        <is>
          <t>disabled</t>
        </is>
      </c>
      <c r="N6" s="46" t="inlineStr">
        <is>
          <t>required</t>
        </is>
      </c>
      <c r="O6" s="46" t="inlineStr">
        <is>
          <t>required message</t>
        </is>
      </c>
      <c r="P6" s="46" t="inlineStr">
        <is>
          <t>required message:languagename</t>
        </is>
      </c>
      <c r="Q6" s="46" t="inlineStr">
        <is>
          <t>read only</t>
        </is>
      </c>
      <c r="R6" s="46" t="inlineStr">
        <is>
          <t>calculation</t>
        </is>
      </c>
      <c r="S6" s="46" t="inlineStr">
        <is>
          <t>repeat_count</t>
        </is>
      </c>
      <c r="T6" s="46" t="inlineStr">
        <is>
          <t>media:image</t>
        </is>
      </c>
      <c r="U6" s="46" t="inlineStr">
        <is>
          <t>media:audio</t>
        </is>
      </c>
      <c r="V6" s="46" t="inlineStr">
        <is>
          <t>media:video</t>
        </is>
      </c>
      <c r="W6" s="46" t="inlineStr">
        <is>
          <t>media:image:languagename</t>
        </is>
      </c>
      <c r="X6" s="46" t="inlineStr">
        <is>
          <t>media:audio:languagename</t>
        </is>
      </c>
      <c r="Y6" s="46" t="inlineStr">
        <is>
          <t>media:video:languagename</t>
        </is>
      </c>
      <c r="Z6" s="46" t="inlineStr">
        <is>
          <t>choice_filter</t>
        </is>
      </c>
      <c r="AA6" s="46" t="inlineStr">
        <is>
          <t>note</t>
        </is>
      </c>
      <c r="AB6" s="46" t="inlineStr">
        <is>
          <t>response_note</t>
        </is>
      </c>
      <c r="AC6" s="46" t="inlineStr">
        <is>
          <t>publishable</t>
        </is>
      </c>
      <c r="AD6" s="46" t="inlineStr">
        <is>
          <t>minimum_seconds</t>
        </is>
      </c>
    </row>
    <row r="7" ht="272" customFormat="1" customHeight="1" s="45">
      <c r="A7" s="44"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7" s="44" t="inlineStr">
        <is>
          <t>This column specifies the name of the field or group. Field names must be unique, and they cannot include any spaces or punctuation. 
Example: age</t>
        </is>
      </c>
      <c r="C7" s="44" t="inlineStr">
        <is>
          <t>For those field types that present a user interface, this column is where you put the primary text for the question or field. You can include line-breaks in your label text by pressing Alt+Enter on Windows or Control+Option+Enter on a Mac.</t>
        </is>
      </c>
      <c r="D7" s="44" t="inlineStr">
        <is>
          <t>Any label:languagename column (e.g., label:tamil) may be added in order to provide labels in an alternative language.
View the help topic below for more details.</t>
        </is>
      </c>
      <c r="E7" s="44" t="inlineStr">
        <is>
          <t>Text in this column, if any, will appear italicized beneath the field's label. You can include line-breaks in your hint text by pressing Alt+Enter on Windows or Control+Option+Enter on a Mac.</t>
        </is>
      </c>
      <c r="F7" s="44" t="inlineStr">
        <is>
          <t>Any hint:languagename column (e.g., hint:tamil) may be added in order to provide hints in an alternative language.
View the help topic below for more details.</t>
        </is>
      </c>
      <c r="G7" s="49" t="inlineStr">
        <is>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is>
      </c>
      <c r="H7" s="44" t="inlineStr">
        <is>
          <t>For field types that allow multiple appearances, you can specify the appearance style in this column (e.g., quick or minimal for select_one fields). 
See the individual examples below.</t>
        </is>
      </c>
      <c r="I7" s="44"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is>
      </c>
      <c r="J7" s="44" t="inlineStr">
        <is>
          <t>If the user tries to move forward but the constraint expression is false, a generic "That entry is invalid" message will appear; to override this message on a field-by-field basis, enter another message into this column.
View the help topic below for more details.</t>
        </is>
      </c>
      <c r="K7" s="44" t="inlineStr">
        <is>
          <t>Any constraint message:languagename column (e.g., constraint message:tamil) may be added in order to provide constraint messages in an alternative language.</t>
        </is>
      </c>
      <c r="L7" s="44"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is>
      </c>
      <c r="M7" s="44" t="inlineStr">
        <is>
          <t>Enter yes into this column to temporarily disable a field. (Rarely used.)
View the help topic below for more details.</t>
        </is>
      </c>
      <c r="N7" s="44" t="inlineStr">
        <is>
          <t>Enter yes into this column to require that users enter or select a value before continuing.
View the help topic below for more details.</t>
        </is>
      </c>
      <c r="O7" s="44" t="inlineStr">
        <is>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is>
      </c>
      <c r="P7" s="44" t="inlineStr">
        <is>
          <t>Any required message:languagename column (e.g., required message:tamil) may be added in order to provide required messages in an alternative language.</t>
        </is>
      </c>
      <c r="Q7" s="44" t="inlineStr">
        <is>
          <t>Enter yes into this column to make it read-only (a user can see the field, but cannot enter or select a value). (Rarely used, because note fields, which are by nature read-only, are automatically read-only regardless of what is specified here.)</t>
        </is>
      </c>
      <c r="R7" s="44"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is>
      </c>
      <c r="S7" s="44" t="inlineStr">
        <is>
          <t>For a begin repeat row, this column can specify the number of times to repeat the group of questions. (Can be a fixed count like 3 or a reference to an earlier field like ${numhh_members}.)
View the help topic below for more details.</t>
        </is>
      </c>
      <c r="T7" s="44"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is>
      </c>
      <c r="U7" s="44" t="inlineStr">
        <is>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is>
      </c>
      <c r="V7" s="44" t="inlineStr">
        <is>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is>
      </c>
      <c r="W7" s="44" t="inlineStr">
        <is>
          <t>Any media:image:languagename column (e.g., media:image:tamil) may be added in order to provide images for an alternative language.
View the help topic below for more details.</t>
        </is>
      </c>
      <c r="X7" s="44" t="inlineStr">
        <is>
          <t>Any media:audio:languagename column (e.g., media:audio:tamil) may be added in order to provide audio clips for an alternative language.
View the help topic below for more details.</t>
        </is>
      </c>
      <c r="Y7" s="44" t="inlineStr">
        <is>
          <t>Any media:video:languagename column (e.g., media:video:tamil) may be added in order to provide video clips for an alternative language.
View the help topic below for more details.</t>
        </is>
      </c>
      <c r="Z7" s="39" t="inlineStr">
        <is>
          <t>When filtering lists of multiple-choice options, this column specifies, for each field, which prior field should be used when filtering the list of options. 
Example: filter=${survey_region}
View the help topic below for more details.</t>
        </is>
      </c>
      <c r="AA7" s="44"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7" s="44"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7" s="44"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is>
      </c>
      <c r="AD7" s="44" t="inlineStr">
        <is>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is>
      </c>
    </row>
    <row r="8" ht="34" customFormat="1" customHeight="1" s="45">
      <c r="A8" s="62" t="n"/>
      <c r="B8" s="62" t="n"/>
      <c r="C8" s="62" t="n"/>
      <c r="D8" s="57" t="inlineStr">
        <is>
          <t>Help topic: Form languages</t>
        </is>
      </c>
      <c r="E8" s="62" t="n"/>
      <c r="F8" s="57" t="inlineStr">
        <is>
          <t>Help topic: Form languages</t>
        </is>
      </c>
      <c r="G8" s="63" t="inlineStr">
        <is>
          <t>Help topic: Pre-loading data into a form</t>
        </is>
      </c>
      <c r="H8" s="62" t="n"/>
      <c r="I8" s="63" t="inlineStr">
        <is>
          <t>Help topic: Using constraints to validate responses</t>
        </is>
      </c>
      <c r="J8" s="63" t="inlineStr">
        <is>
          <t>Help topic: Using constraints to validate responses</t>
        </is>
      </c>
      <c r="K8" s="62" t="n"/>
      <c r="L8" s="63" t="inlineStr">
        <is>
          <t>Help topic: Implementing skip patterns with "relevance"</t>
        </is>
      </c>
      <c r="M8" s="63" t="inlineStr">
        <is>
          <t>Help topic: Other field properties</t>
        </is>
      </c>
      <c r="N8" s="63" t="inlineStr">
        <is>
          <t>Help topic: Other field properties</t>
        </is>
      </c>
      <c r="O8" s="63" t="inlineStr">
        <is>
          <t>Help topic: Other field properties</t>
        </is>
      </c>
      <c r="P8" s="62" t="n"/>
      <c r="Q8" s="63" t="inlineStr">
        <is>
          <t>Help topic: Other field properties</t>
        </is>
      </c>
      <c r="R8" s="63" t="inlineStr">
        <is>
          <t>Help topic: Field type: calculate</t>
        </is>
      </c>
      <c r="S8" s="63" t="inlineStr">
        <is>
          <t>Help topic: Grouping and repeating questions</t>
        </is>
      </c>
      <c r="T8" s="63" t="inlineStr">
        <is>
          <t>Help topic: Images: Adding pictures and other graphics</t>
        </is>
      </c>
      <c r="U8" s="63" t="inlineStr">
        <is>
          <t>Help topic: Other field properties</t>
        </is>
      </c>
      <c r="V8" s="63" t="inlineStr">
        <is>
          <t>Help topic: Other field properties</t>
        </is>
      </c>
      <c r="W8" s="57" t="inlineStr">
        <is>
          <t>Help topic: Form languages</t>
        </is>
      </c>
      <c r="X8" s="57" t="inlineStr">
        <is>
          <t>Help topic: Form languages</t>
        </is>
      </c>
      <c r="Y8" s="57" t="inlineStr">
        <is>
          <t>Help topic: Form languages</t>
        </is>
      </c>
      <c r="Z8" s="63" t="inlineStr">
        <is>
          <t>Help topic: Dynamically filtering lists of multiple-choice options</t>
        </is>
      </c>
      <c r="AA8" s="63" t="inlineStr">
        <is>
          <t>Help topic: Downloading printable copies of your forms</t>
        </is>
      </c>
      <c r="AB8" s="63" t="inlineStr">
        <is>
          <t>Help topic: Downloading printable copies of your forms</t>
        </is>
      </c>
      <c r="AC8" s="55" t="inlineStr">
        <is>
          <t>Help topic: Encrypting form data (end-to-end encryption)</t>
        </is>
      </c>
      <c r="AD8" s="63" t="inlineStr">
        <is>
          <t>Help topic: Collecting high-quality data</t>
        </is>
      </c>
    </row>
    <row r="10" customFormat="1" s="24">
      <c r="A10" s="98" t="inlineStr">
        <is>
          <t>Examples (scroll right for appearance styles)</t>
        </is>
      </c>
      <c r="B10" s="153" t="n"/>
      <c r="C10" s="22"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row>
    <row r="12" ht="51" customFormat="1" customHeight="1" s="24">
      <c r="A12" s="51" t="inlineStr">
        <is>
          <t>enumerator</t>
        </is>
      </c>
      <c r="B12" s="25" t="inlineStr">
        <is>
          <t>fieldname</t>
        </is>
      </c>
      <c r="C12" s="26" t="inlineStr">
        <is>
          <t>Enumerator selection field (require a special code in order to reveal the full enumerator list):</t>
        </is>
      </c>
      <c r="D12" s="25" t="n"/>
      <c r="E12" s="25" t="n"/>
      <c r="F12" s="25" t="n"/>
      <c r="G12" s="25" t="n"/>
      <c r="H12" s="25" t="inlineStr">
        <is>
          <t>other-user-code(xyz)</t>
        </is>
      </c>
      <c r="I12" s="25" t="n"/>
      <c r="J12" s="25" t="n"/>
      <c r="K12" s="25" t="n"/>
      <c r="L12" s="25" t="n"/>
      <c r="M12" s="25" t="n"/>
      <c r="N12" s="25" t="n"/>
      <c r="O12" s="25" t="n"/>
      <c r="P12" s="25" t="n"/>
      <c r="Q12" s="25" t="n"/>
      <c r="R12" s="25" t="n"/>
      <c r="S12" s="25" t="n"/>
      <c r="T12" s="25" t="n"/>
      <c r="U12" s="25" t="n"/>
      <c r="V12" s="25" t="n"/>
      <c r="W12" s="25" t="n"/>
      <c r="X12" s="25" t="n"/>
      <c r="Y12" s="25" t="n"/>
      <c r="Z12" s="25" t="n"/>
      <c r="AA12" s="25" t="n"/>
      <c r="AB12" s="25" t="n"/>
      <c r="AC12" s="25" t="n"/>
      <c r="AD12" s="25" t="n"/>
    </row>
    <row r="13" ht="51" customFormat="1" customHeight="1" s="24">
      <c r="A13" s="51" t="inlineStr">
        <is>
          <t>enumerator</t>
        </is>
      </c>
      <c r="B13" s="25" t="inlineStr">
        <is>
          <t>fieldname</t>
        </is>
      </c>
      <c r="C13" s="26" t="inlineStr">
        <is>
          <t>Enumerator selection field (require a special code in order to enter a new enumerator):</t>
        </is>
      </c>
      <c r="D13" s="25" t="n"/>
      <c r="E13" s="25" t="n"/>
      <c r="F13" s="25" t="n"/>
      <c r="G13" s="25" t="n"/>
      <c r="H13" s="26" t="inlineStr">
        <is>
          <t>add-new-code(xyz)</t>
        </is>
      </c>
      <c r="I13" s="25" t="n"/>
      <c r="J13" s="25" t="n"/>
      <c r="K13" s="25" t="n"/>
      <c r="L13" s="25" t="n"/>
      <c r="M13" s="25" t="n"/>
      <c r="N13" s="25" t="n"/>
      <c r="O13" s="25" t="n"/>
      <c r="P13" s="25" t="n"/>
      <c r="Q13" s="25" t="n"/>
      <c r="R13" s="25" t="n"/>
      <c r="S13" s="25" t="n"/>
      <c r="T13" s="25" t="n"/>
      <c r="U13" s="25" t="n"/>
      <c r="V13" s="25" t="n"/>
      <c r="W13" s="25" t="n"/>
      <c r="X13" s="25" t="n"/>
      <c r="Y13" s="25" t="n"/>
      <c r="Z13" s="25" t="n"/>
      <c r="AA13" s="25" t="n"/>
      <c r="AB13" s="25" t="n"/>
      <c r="AC13" s="25" t="n"/>
      <c r="AD13" s="25" t="n"/>
    </row>
    <row r="14" ht="17" customFormat="1" customHeight="1" s="24">
      <c r="A14" s="51" t="inlineStr">
        <is>
          <t>enumerator</t>
        </is>
      </c>
      <c r="B14" s="25" t="inlineStr">
        <is>
          <t>fieldname</t>
        </is>
      </c>
      <c r="C14" s="26" t="inlineStr">
        <is>
          <t>Enumerator selection field:</t>
        </is>
      </c>
      <c r="D14" s="25" t="n"/>
      <c r="E14" s="25" t="n"/>
      <c r="F14" s="25" t="n"/>
      <c r="G14" s="25" t="n"/>
      <c r="H14" s="25" t="inlineStr">
        <is>
          <t>default-to-entry</t>
        </is>
      </c>
      <c r="I14" s="25" t="n"/>
      <c r="J14" s="25" t="n"/>
      <c r="K14" s="25" t="n"/>
      <c r="L14" s="25" t="n"/>
      <c r="M14" s="25" t="n"/>
      <c r="N14" s="25" t="n"/>
      <c r="O14" s="25" t="n"/>
      <c r="P14" s="25" t="n"/>
      <c r="Q14" s="25" t="n"/>
      <c r="R14" s="25" t="n"/>
      <c r="S14" s="25" t="n"/>
      <c r="T14" s="25" t="n"/>
      <c r="U14" s="25" t="n"/>
      <c r="V14" s="25" t="n"/>
      <c r="W14" s="25" t="n"/>
      <c r="X14" s="25" t="n"/>
      <c r="Y14" s="25" t="n"/>
      <c r="Z14" s="25" t="n"/>
      <c r="AA14" s="25" t="n"/>
      <c r="AB14" s="25" t="n"/>
      <c r="AC14" s="25" t="n"/>
      <c r="AD14" s="25" t="n"/>
    </row>
    <row r="15" ht="17" customFormat="1" customHeight="1" s="24">
      <c r="A15" s="51" t="inlineStr">
        <is>
          <t>enumerator</t>
        </is>
      </c>
      <c r="B15" s="25" t="inlineStr">
        <is>
          <t>fieldname</t>
        </is>
      </c>
      <c r="C15" s="26" t="inlineStr">
        <is>
          <t>Enumerator selection field:</t>
        </is>
      </c>
      <c r="D15" s="25" t="n"/>
      <c r="E15" s="25" t="n"/>
      <c r="F15" s="25" t="n"/>
      <c r="G15" s="25" t="n"/>
      <c r="H15" s="25" t="inlineStr">
        <is>
          <t>default-to-scan</t>
        </is>
      </c>
      <c r="I15" s="25" t="n"/>
      <c r="J15" s="25" t="n"/>
      <c r="K15" s="25" t="n"/>
      <c r="L15" s="25" t="n"/>
      <c r="M15" s="25" t="n"/>
      <c r="N15" s="25" t="n"/>
      <c r="O15" s="25" t="n"/>
      <c r="P15" s="25" t="n"/>
      <c r="Q15" s="25" t="n"/>
      <c r="R15" s="25" t="n"/>
      <c r="S15" s="25" t="n"/>
      <c r="T15" s="25" t="n"/>
      <c r="U15" s="25" t="n"/>
      <c r="V15" s="25" t="n"/>
      <c r="W15" s="25" t="n"/>
      <c r="X15" s="25" t="n"/>
      <c r="Y15" s="25" t="n"/>
      <c r="Z15" s="25" t="n"/>
      <c r="AA15" s="25" t="n"/>
      <c r="AB15" s="25" t="n"/>
      <c r="AC15" s="25" t="n"/>
      <c r="AD15" s="25" t="n"/>
    </row>
    <row r="16" ht="17" customFormat="1" customHeight="1" s="24">
      <c r="A16" s="51" t="inlineStr">
        <is>
          <t>text</t>
        </is>
      </c>
      <c r="B16" s="25" t="inlineStr">
        <is>
          <t>fieldname</t>
        </is>
      </c>
      <c r="C16" s="26" t="inlineStr">
        <is>
          <t>Standard text field:</t>
        </is>
      </c>
      <c r="D16" s="51"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c r="AA16" s="25" t="n"/>
      <c r="AB16" s="25" t="n"/>
      <c r="AC16" s="25" t="n"/>
      <c r="AD16" s="25" t="n"/>
    </row>
    <row r="17" ht="17" customFormat="1" customHeight="1" s="24">
      <c r="A17" s="51" t="inlineStr">
        <is>
          <t>text</t>
        </is>
      </c>
      <c r="B17" s="25" t="inlineStr">
        <is>
          <t>fieldname</t>
        </is>
      </c>
      <c r="C17" s="26" t="inlineStr">
        <is>
          <t>Text field which uses the numeric keypad:</t>
        </is>
      </c>
      <c r="D17" s="25" t="n"/>
      <c r="E17" s="25" t="n"/>
      <c r="F17" s="25" t="n"/>
      <c r="G17" s="25" t="n"/>
      <c r="H17" s="25" t="inlineStr">
        <is>
          <t>numbers</t>
        </is>
      </c>
      <c r="I17" s="25" t="n"/>
      <c r="J17" s="25" t="n"/>
      <c r="K17" s="25" t="n"/>
      <c r="L17" s="25" t="n"/>
      <c r="M17" s="25" t="n"/>
      <c r="N17" s="25" t="n"/>
      <c r="O17" s="25" t="n"/>
      <c r="P17" s="25" t="n"/>
      <c r="Q17" s="25" t="n"/>
      <c r="R17" s="25" t="n"/>
      <c r="S17" s="25" t="n"/>
      <c r="T17" s="25" t="n"/>
      <c r="U17" s="25" t="n"/>
      <c r="V17" s="25" t="n"/>
      <c r="W17" s="25" t="n"/>
      <c r="X17" s="25" t="n"/>
      <c r="Y17" s="25" t="n"/>
      <c r="Z17" s="25" t="n"/>
      <c r="AA17" s="25" t="n"/>
      <c r="AB17" s="25" t="n"/>
      <c r="AC17" s="25" t="n"/>
      <c r="AD17" s="25" t="n"/>
    </row>
    <row r="18" ht="17" customFormat="1" customHeight="1" s="24">
      <c r="A18" s="51" t="inlineStr">
        <is>
          <t>integer</t>
        </is>
      </c>
      <c r="B18" s="25" t="inlineStr">
        <is>
          <t>fieldname</t>
        </is>
      </c>
      <c r="C18" s="26" t="inlineStr">
        <is>
          <t>Standard integer field:</t>
        </is>
      </c>
      <c r="D18" s="51"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c r="AA18" s="25" t="n"/>
      <c r="AB18" s="25" t="n"/>
      <c r="AC18" s="25" t="n"/>
      <c r="AD18" s="25" t="n"/>
    </row>
    <row r="19" ht="17" customFormat="1" customHeight="1" s="24">
      <c r="A19" s="51" t="inlineStr">
        <is>
          <t>decimal</t>
        </is>
      </c>
      <c r="B19" s="25" t="inlineStr">
        <is>
          <t>fieldname</t>
        </is>
      </c>
      <c r="C19" s="26" t="inlineStr">
        <is>
          <t>Standard decimal field:</t>
        </is>
      </c>
      <c r="D19" s="51"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c r="AA19" s="25" t="n"/>
      <c r="AB19" s="25" t="n"/>
      <c r="AC19" s="25" t="n"/>
      <c r="AD19" s="25" t="n"/>
    </row>
    <row r="20" ht="51" customFormat="1" customHeight="1" s="24">
      <c r="A20" s="51" t="inlineStr">
        <is>
          <t>select_one listname</t>
        </is>
      </c>
      <c r="B20" s="25" t="inlineStr">
        <is>
          <t>fieldname</t>
        </is>
      </c>
      <c r="C20" s="26" t="inlineStr">
        <is>
          <t>Standard multiple-choice field (allows one selection, shown as series of radio buttons):</t>
        </is>
      </c>
      <c r="D20" s="51"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c r="AA20" s="25" t="n"/>
      <c r="AB20" s="25" t="n"/>
      <c r="AC20" s="25" t="n"/>
      <c r="AD20" s="25" t="n"/>
    </row>
    <row r="21" ht="51" customFormat="1" customHeight="1" s="24">
      <c r="A21" s="51" t="inlineStr">
        <is>
          <t>select_one listname</t>
        </is>
      </c>
      <c r="B21" s="25" t="inlineStr">
        <is>
          <t>fieldname</t>
        </is>
      </c>
      <c r="C21" s="26" t="inlineStr">
        <is>
          <t>Multiple-choice field (allows one selection, shown horizontally along likert-type scale):</t>
        </is>
      </c>
      <c r="D21" s="25" t="n"/>
      <c r="E21" s="25" t="n"/>
      <c r="F21" s="25" t="n"/>
      <c r="G21" s="25" t="n"/>
      <c r="H21" s="25" t="inlineStr">
        <is>
          <t>likert</t>
        </is>
      </c>
      <c r="I21" s="25" t="n"/>
      <c r="J21" s="25" t="n"/>
      <c r="K21" s="25" t="n"/>
      <c r="L21" s="25" t="n"/>
      <c r="M21" s="25" t="n"/>
      <c r="N21" s="25" t="n"/>
      <c r="O21" s="25" t="n"/>
      <c r="P21" s="25" t="n"/>
      <c r="Q21" s="25" t="n"/>
      <c r="R21" s="25" t="n"/>
      <c r="S21" s="25" t="n"/>
      <c r="T21" s="25" t="n"/>
      <c r="U21" s="25" t="n"/>
      <c r="V21" s="25" t="n"/>
      <c r="W21" s="25" t="n"/>
      <c r="X21" s="25" t="n"/>
      <c r="Y21" s="25" t="n"/>
      <c r="Z21" s="25" t="n"/>
      <c r="AA21" s="25" t="n"/>
      <c r="AB21" s="25" t="n"/>
      <c r="AC21" s="25" t="n"/>
      <c r="AD21" s="25" t="n"/>
    </row>
    <row r="22" ht="68" customFormat="1" customHeight="1" s="24">
      <c r="A22" s="51" t="inlineStr">
        <is>
          <t>select_one listname</t>
        </is>
      </c>
      <c r="B22" s="25" t="inlineStr">
        <is>
          <t>fieldname</t>
        </is>
      </c>
      <c r="C22" s="26" t="inlineStr">
        <is>
          <t>Multiple-choice field (allows one selection, shown horizontally along likert-type scale, labels only at ends of the scale):</t>
        </is>
      </c>
      <c r="D22" s="25" t="n"/>
      <c r="E22" s="25" t="n"/>
      <c r="F22" s="25" t="n"/>
      <c r="G22" s="25" t="n"/>
      <c r="H22" s="25" t="inlineStr">
        <is>
          <t>likert-min</t>
        </is>
      </c>
      <c r="I22" s="25" t="n"/>
      <c r="J22" s="25" t="n"/>
      <c r="K22" s="25" t="n"/>
      <c r="L22" s="25" t="n"/>
      <c r="M22" s="25" t="n"/>
      <c r="N22" s="25" t="n"/>
      <c r="O22" s="25" t="n"/>
      <c r="P22" s="25" t="n"/>
      <c r="Q22" s="25" t="n"/>
      <c r="R22" s="25" t="n"/>
      <c r="S22" s="25" t="n"/>
      <c r="T22" s="25" t="n"/>
      <c r="U22" s="25" t="n"/>
      <c r="V22" s="25" t="n"/>
      <c r="W22" s="25" t="n"/>
      <c r="X22" s="25" t="n"/>
      <c r="Y22" s="25" t="n"/>
      <c r="Z22" s="25" t="n"/>
      <c r="AA22" s="25" t="n"/>
      <c r="AB22" s="25" t="n"/>
      <c r="AC22" s="25" t="n"/>
      <c r="AD22" s="25" t="n"/>
    </row>
    <row r="23" ht="68" customFormat="1" customHeight="1" s="24">
      <c r="A23" s="51" t="inlineStr">
        <is>
          <t>select_one listname</t>
        </is>
      </c>
      <c r="B23" s="25" t="inlineStr">
        <is>
          <t>fieldname</t>
        </is>
      </c>
      <c r="C23" s="26" t="inlineStr">
        <is>
          <t>Multiple-choice field (allows one selection, shown horizontally along likert-type scale, labels only at ends and middle of scale):</t>
        </is>
      </c>
      <c r="D23" s="25" t="n"/>
      <c r="E23" s="25" t="n"/>
      <c r="F23" s="25" t="n"/>
      <c r="G23" s="25" t="n"/>
      <c r="H23" s="25" t="inlineStr">
        <is>
          <t>likert-mid</t>
        </is>
      </c>
      <c r="I23" s="25" t="n"/>
      <c r="J23" s="25" t="n"/>
      <c r="K23" s="25" t="n"/>
      <c r="L23" s="25" t="n"/>
      <c r="M23" s="25" t="n"/>
      <c r="N23" s="25" t="n"/>
      <c r="O23" s="25" t="n"/>
      <c r="P23" s="25" t="n"/>
      <c r="Q23" s="25" t="n"/>
      <c r="R23" s="25" t="n"/>
      <c r="S23" s="25" t="n"/>
      <c r="T23" s="25" t="n"/>
      <c r="U23" s="25" t="n"/>
      <c r="V23" s="25" t="n"/>
      <c r="W23" s="25" t="n"/>
      <c r="X23" s="25" t="n"/>
      <c r="Y23" s="25" t="n"/>
      <c r="Z23" s="25" t="n"/>
      <c r="AA23" s="25" t="n"/>
      <c r="AB23" s="25" t="n"/>
      <c r="AC23" s="25" t="n"/>
      <c r="AD23" s="25" t="n"/>
    </row>
    <row r="24" ht="68" customFormat="1" customHeight="1" s="24">
      <c r="A24" s="51" t="inlineStr">
        <is>
          <t>select_one listname</t>
        </is>
      </c>
      <c r="B24" s="25" t="inlineStr">
        <is>
          <t>fieldname</t>
        </is>
      </c>
      <c r="C24" s="26" t="inlineStr">
        <is>
          <t>Multiple-choice field (allows one selection, auto-advances to next question as soon as an option is selected):</t>
        </is>
      </c>
      <c r="D24" s="25" t="n"/>
      <c r="E24" s="25" t="n"/>
      <c r="F24" s="25" t="n"/>
      <c r="G24" s="25" t="n"/>
      <c r="H24" s="25" t="inlineStr">
        <is>
          <t>quick</t>
        </is>
      </c>
      <c r="I24" s="25" t="n"/>
      <c r="J24" s="25" t="n"/>
      <c r="K24" s="25" t="n"/>
      <c r="L24" s="25" t="n"/>
      <c r="M24" s="25" t="n"/>
      <c r="N24" s="25" t="n"/>
      <c r="O24" s="25" t="n"/>
      <c r="P24" s="25" t="n"/>
      <c r="Q24" s="25" t="n"/>
      <c r="R24" s="25" t="n"/>
      <c r="S24" s="25" t="n"/>
      <c r="T24" s="25" t="n"/>
      <c r="U24" s="25" t="n"/>
      <c r="V24" s="25" t="n"/>
      <c r="W24" s="25" t="n"/>
      <c r="X24" s="25" t="n"/>
      <c r="Y24" s="25" t="n"/>
      <c r="Z24" s="25" t="n"/>
      <c r="AA24" s="25" t="n"/>
      <c r="AB24" s="25" t="n"/>
      <c r="AC24" s="25" t="n"/>
      <c r="AD24" s="25" t="n"/>
    </row>
    <row r="25" ht="51" customFormat="1" customHeight="1" s="24">
      <c r="A25" s="51" t="inlineStr">
        <is>
          <t>select_one listname</t>
        </is>
      </c>
      <c r="B25" s="25" t="inlineStr">
        <is>
          <t>fieldname</t>
        </is>
      </c>
      <c r="C25" s="26" t="inlineStr">
        <is>
          <t>Multiple-choice field (allows one selection, shown as a drop-down selector):</t>
        </is>
      </c>
      <c r="D25" s="25" t="n"/>
      <c r="E25" s="25" t="n"/>
      <c r="F25" s="25" t="n"/>
      <c r="G25" s="25" t="n"/>
      <c r="H25" s="25" t="inlineStr">
        <is>
          <t>minimal</t>
        </is>
      </c>
      <c r="I25" s="25" t="n"/>
      <c r="J25" s="25" t="n"/>
      <c r="K25" s="25" t="n"/>
      <c r="L25" s="25" t="n"/>
      <c r="M25" s="25" t="n"/>
      <c r="N25" s="25" t="n"/>
      <c r="O25" s="25" t="n"/>
      <c r="P25" s="25" t="n"/>
      <c r="Q25" s="25" t="n"/>
      <c r="R25" s="25" t="n"/>
      <c r="S25" s="25" t="n"/>
      <c r="T25" s="25" t="n"/>
      <c r="U25" s="25" t="n"/>
      <c r="V25" s="25" t="n"/>
      <c r="W25" s="25" t="n"/>
      <c r="X25" s="25" t="n"/>
      <c r="Y25" s="25" t="n"/>
      <c r="Z25" s="25" t="n"/>
      <c r="AA25" s="25" t="n"/>
      <c r="AB25" s="25" t="n"/>
      <c r="AC25" s="25" t="n"/>
      <c r="AD25" s="25" t="n"/>
    </row>
    <row r="26" ht="51" customFormat="1" customHeight="1" s="24">
      <c r="A26" s="51" t="inlineStr">
        <is>
          <t>select_one listname</t>
        </is>
      </c>
      <c r="B26" s="25" t="inlineStr">
        <is>
          <t>fieldname</t>
        </is>
      </c>
      <c r="C26" s="26" t="inlineStr">
        <is>
          <t>Multiple-choice field (allows one selection, shown as a compact table of options):</t>
        </is>
      </c>
      <c r="D26" s="25" t="n"/>
      <c r="E26" s="25" t="n"/>
      <c r="F26" s="25" t="n"/>
      <c r="G26" s="25" t="n"/>
      <c r="H26" s="25" t="inlineStr">
        <is>
          <t>compact</t>
        </is>
      </c>
      <c r="I26" s="25" t="n"/>
      <c r="J26" s="25" t="n"/>
      <c r="K26" s="25" t="n"/>
      <c r="L26" s="25" t="n"/>
      <c r="M26" s="25" t="n"/>
      <c r="N26" s="25" t="n"/>
      <c r="O26" s="25" t="n"/>
      <c r="P26" s="25" t="n"/>
      <c r="Q26" s="25" t="n"/>
      <c r="R26" s="25" t="n"/>
      <c r="S26" s="25" t="n"/>
      <c r="T26" s="25" t="n"/>
      <c r="U26" s="25" t="n"/>
      <c r="V26" s="25" t="n"/>
      <c r="W26" s="25" t="n"/>
      <c r="X26" s="25" t="n"/>
      <c r="Y26" s="25" t="n"/>
      <c r="Z26" s="25" t="n"/>
      <c r="AA26" s="25" t="n"/>
      <c r="AB26" s="25" t="n"/>
      <c r="AC26" s="25" t="n"/>
      <c r="AD26" s="25" t="n"/>
    </row>
    <row r="27" ht="51" customFormat="1" customHeight="1" s="24">
      <c r="A27" s="51" t="inlineStr">
        <is>
          <t>select_one listname</t>
        </is>
      </c>
      <c r="B27" s="25" t="inlineStr">
        <is>
          <t>fieldname</t>
        </is>
      </c>
      <c r="C27" s="26" t="inlineStr">
        <is>
          <t>Multiple-choice field (allows one selection, shown as a compact table of options with exactly three columns):</t>
        </is>
      </c>
      <c r="D27" s="25" t="n"/>
      <c r="E27" s="25" t="n"/>
      <c r="F27" s="25" t="n"/>
      <c r="G27" s="25" t="n"/>
      <c r="H27" s="25" t="inlineStr">
        <is>
          <t>compact-3</t>
        </is>
      </c>
      <c r="I27" s="25" t="n"/>
      <c r="J27" s="25" t="n"/>
      <c r="K27" s="25" t="n"/>
      <c r="L27" s="25" t="n"/>
      <c r="M27" s="25" t="n"/>
      <c r="N27" s="25" t="n"/>
      <c r="O27" s="25" t="n"/>
      <c r="P27" s="25" t="n"/>
      <c r="Q27" s="25" t="n"/>
      <c r="R27" s="25" t="n"/>
      <c r="S27" s="25" t="n"/>
      <c r="T27" s="25" t="n"/>
      <c r="U27" s="25" t="n"/>
      <c r="V27" s="25" t="n"/>
      <c r="W27" s="25" t="n"/>
      <c r="X27" s="25" t="n"/>
      <c r="Y27" s="25" t="n"/>
      <c r="Z27" s="25" t="n"/>
      <c r="AA27" s="25" t="n"/>
      <c r="AB27" s="25" t="n"/>
      <c r="AC27" s="25" t="n"/>
      <c r="AD27" s="25" t="n"/>
    </row>
    <row r="28" ht="68" customFormat="1" customHeight="1" s="24">
      <c r="A28" s="51" t="inlineStr">
        <is>
          <t>select_one listname</t>
        </is>
      </c>
      <c r="B28" s="25" t="inlineStr">
        <is>
          <t>fieldname</t>
        </is>
      </c>
      <c r="C28" s="26" t="inlineStr">
        <is>
          <t>Multiple-choice field (allows one selection, shown as a compact table of options, auto-advances to next question as soon as an option is selected):</t>
        </is>
      </c>
      <c r="D28" s="25" t="n"/>
      <c r="E28" s="25" t="n"/>
      <c r="F28" s="25" t="n"/>
      <c r="G28" s="25" t="n"/>
      <c r="H28" s="25" t="inlineStr">
        <is>
          <t>quickcompact</t>
        </is>
      </c>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row>
    <row r="29" ht="85" customFormat="1" customHeight="1" s="24">
      <c r="A29" s="51" t="inlineStr">
        <is>
          <t>select_one listname</t>
        </is>
      </c>
      <c r="B29" s="25" t="inlineStr">
        <is>
          <t>fieldname</t>
        </is>
      </c>
      <c r="C29" s="26" t="inlineStr">
        <is>
          <t>Multiple-choice field (allows one selection, shown as a compact table of options with exactly three columns, auto-advances to next question as soon as an option is selected):</t>
        </is>
      </c>
      <c r="D29" s="25" t="n"/>
      <c r="E29" s="25" t="n"/>
      <c r="F29" s="25" t="n"/>
      <c r="G29" s="25" t="n"/>
      <c r="H29" s="25" t="inlineStr">
        <is>
          <t>quickcompact-3</t>
        </is>
      </c>
      <c r="I29" s="25" t="n"/>
      <c r="J29" s="25" t="n"/>
      <c r="K29" s="25" t="n"/>
      <c r="L29" s="25" t="n"/>
      <c r="M29" s="25" t="n"/>
      <c r="N29" s="25" t="n"/>
      <c r="O29" s="25" t="n"/>
      <c r="P29" s="25" t="n"/>
      <c r="Q29" s="25" t="n"/>
      <c r="R29" s="25" t="n"/>
      <c r="S29" s="25" t="n"/>
      <c r="T29" s="25" t="n"/>
      <c r="U29" s="25" t="n"/>
      <c r="V29" s="25" t="n"/>
      <c r="W29" s="25" t="n"/>
      <c r="X29" s="25" t="n"/>
      <c r="Y29" s="25" t="n"/>
      <c r="Z29" s="25" t="n"/>
      <c r="AA29" s="25" t="n"/>
      <c r="AB29" s="25" t="n"/>
      <c r="AC29" s="25" t="n"/>
      <c r="AD29" s="25" t="n"/>
    </row>
    <row r="30" ht="68" customFormat="1" customHeight="1" s="24">
      <c r="A30" s="51" t="inlineStr">
        <is>
          <t>select_one listname</t>
        </is>
      </c>
      <c r="B30" s="25" t="inlineStr">
        <is>
          <t>fieldname</t>
        </is>
      </c>
      <c r="C30" s="26" t="inlineStr">
        <is>
          <t>Multiple-choice field (allows one selection, loads options from pre-loaded .csv file, includes options based on a "contains" comparison):</t>
        </is>
      </c>
      <c r="D30" s="25" t="n"/>
      <c r="E30" s="25" t="n"/>
      <c r="F30" s="25" t="n"/>
      <c r="G30" s="25" t="n"/>
      <c r="H30" s="25" t="inlineStr">
        <is>
          <t>search('hhplotdata', 'contains', 'respondentname', ${nametofind})</t>
        </is>
      </c>
      <c r="I30" s="25" t="n"/>
      <c r="J30" s="25" t="n"/>
      <c r="K30" s="25" t="n"/>
      <c r="L30" s="25" t="n"/>
      <c r="M30" s="25" t="n"/>
      <c r="N30" s="25" t="n"/>
      <c r="O30" s="25" t="n"/>
      <c r="P30" s="25" t="n"/>
      <c r="Q30" s="25" t="n"/>
      <c r="R30" s="25" t="n"/>
      <c r="S30" s="25" t="n"/>
      <c r="T30" s="25" t="n"/>
      <c r="U30" s="25" t="n"/>
      <c r="V30" s="25" t="n"/>
      <c r="W30" s="25" t="n"/>
      <c r="X30" s="25" t="n"/>
      <c r="Y30" s="25" t="n"/>
      <c r="Z30" s="25" t="n"/>
      <c r="AA30" s="25" t="n"/>
      <c r="AB30" s="25" t="n"/>
      <c r="AC30" s="25" t="n"/>
      <c r="AD30" s="25" t="n"/>
    </row>
    <row r="31" ht="68" customFormat="1" customHeight="1" s="24">
      <c r="A31" s="51" t="inlineStr">
        <is>
          <t>select_one listname</t>
        </is>
      </c>
      <c r="B31" s="25" t="inlineStr">
        <is>
          <t>fieldname</t>
        </is>
      </c>
      <c r="C31" s="26" t="inlineStr">
        <is>
          <t>Multiple-choice field (allows one selection, loads options from pre-loaded .csv file, includes options based on a "starts with" comparison):</t>
        </is>
      </c>
      <c r="D31" s="25" t="n"/>
      <c r="E31" s="25" t="n"/>
      <c r="F31" s="25" t="n"/>
      <c r="G31" s="25" t="n"/>
      <c r="H31" s="25" t="inlineStr">
        <is>
          <t>search('hhplotdata', 'startswith', 'respondentname', ${nameprefix})</t>
        </is>
      </c>
      <c r="I31" s="25" t="n"/>
      <c r="J31" s="25" t="n"/>
      <c r="K31" s="25" t="n"/>
      <c r="L31" s="25" t="n"/>
      <c r="M31" s="25" t="n"/>
      <c r="N31" s="25" t="n"/>
      <c r="O31" s="25" t="n"/>
      <c r="P31" s="25" t="n"/>
      <c r="Q31" s="25" t="n"/>
      <c r="R31" s="25" t="n"/>
      <c r="S31" s="25" t="n"/>
      <c r="T31" s="25" t="n"/>
      <c r="U31" s="25" t="n"/>
      <c r="V31" s="25" t="n"/>
      <c r="W31" s="25" t="n"/>
      <c r="X31" s="25" t="n"/>
      <c r="Y31" s="25" t="n"/>
      <c r="Z31" s="25" t="n"/>
      <c r="AA31" s="25" t="n"/>
      <c r="AB31" s="25" t="n"/>
      <c r="AC31" s="25" t="n"/>
      <c r="AD31" s="25" t="n"/>
    </row>
    <row r="32" ht="68" customFormat="1" customHeight="1" s="24">
      <c r="A32" s="51" t="inlineStr">
        <is>
          <t>select_one listname</t>
        </is>
      </c>
      <c r="B32" s="25" t="inlineStr">
        <is>
          <t>fieldname</t>
        </is>
      </c>
      <c r="C32" s="30" t="inlineStr">
        <is>
          <t>Multiple-choice field (allows one selection, loads options from pre-loaded .csv file, includes options based on an "ends with" comparison):</t>
        </is>
      </c>
      <c r="D32" s="25" t="n"/>
      <c r="E32" s="25" t="n"/>
      <c r="F32" s="25" t="n"/>
      <c r="G32" s="25" t="n"/>
      <c r="H32" s="25" t="inlineStr">
        <is>
          <t>search('hhplotdata', 'endswith', 'respondentname', ${namesuffix})</t>
        </is>
      </c>
      <c r="I32" s="25" t="n"/>
      <c r="J32" s="25" t="n"/>
      <c r="K32" s="25" t="n"/>
      <c r="L32" s="25" t="n"/>
      <c r="M32" s="25" t="n"/>
      <c r="N32" s="25" t="n"/>
      <c r="O32" s="25" t="n"/>
      <c r="P32" s="25" t="n"/>
      <c r="Q32" s="25" t="n"/>
      <c r="R32" s="25" t="n"/>
      <c r="S32" s="25" t="n"/>
      <c r="T32" s="25" t="n"/>
      <c r="U32" s="25" t="n"/>
      <c r="V32" s="25" t="n"/>
      <c r="W32" s="25" t="n"/>
      <c r="X32" s="25" t="n"/>
      <c r="Y32" s="25" t="n"/>
      <c r="Z32" s="25" t="n"/>
      <c r="AA32" s="25" t="n"/>
      <c r="AB32" s="25" t="n"/>
      <c r="AC32" s="25" t="n"/>
      <c r="AD32" s="25" t="n"/>
    </row>
    <row r="33" ht="68" customFormat="1" customHeight="1" s="24">
      <c r="A33" s="51" t="inlineStr">
        <is>
          <t>select_one listname</t>
        </is>
      </c>
      <c r="B33" s="25" t="inlineStr">
        <is>
          <t>fieldname</t>
        </is>
      </c>
      <c r="C33" s="26" t="inlineStr">
        <is>
          <t>Multiple-choice field (allows one selection, loads options from pre-loaded .csv file, includes options based on an "exact match" comparison):</t>
        </is>
      </c>
      <c r="D33" s="25" t="n"/>
      <c r="E33" s="25" t="n"/>
      <c r="F33" s="25" t="n"/>
      <c r="G33" s="25" t="n"/>
      <c r="H33" s="25" t="inlineStr">
        <is>
          <t>search('hhplotdata', 'matches', 'respondentname', ${nametofind})</t>
        </is>
      </c>
      <c r="I33" s="25" t="n"/>
      <c r="J33" s="25" t="n"/>
      <c r="K33" s="25" t="n"/>
      <c r="L33" s="25" t="n"/>
      <c r="M33" s="25" t="n"/>
      <c r="N33" s="25" t="n"/>
      <c r="O33" s="25" t="n"/>
      <c r="P33" s="25" t="n"/>
      <c r="Q33" s="25" t="n"/>
      <c r="R33" s="25" t="n"/>
      <c r="S33" s="25" t="n"/>
      <c r="T33" s="25" t="n"/>
      <c r="U33" s="25" t="n"/>
      <c r="V33" s="25" t="n"/>
      <c r="W33" s="25" t="n"/>
      <c r="X33" s="25" t="n"/>
      <c r="Y33" s="25" t="n"/>
      <c r="Z33" s="25" t="n"/>
      <c r="AA33" s="25" t="n"/>
      <c r="AB33" s="25" t="n"/>
      <c r="AC33" s="25" t="n"/>
      <c r="AD33" s="25" t="n"/>
    </row>
    <row r="34" ht="85" customFormat="1" customHeight="1" s="24">
      <c r="A34" s="51" t="inlineStr">
        <is>
          <t>select_one listname</t>
        </is>
      </c>
      <c r="B34" s="25" t="inlineStr">
        <is>
          <t>fieldname</t>
        </is>
      </c>
      <c r="C34" s="26" t="inlineStr">
        <is>
          <t>Multiple-choice field (allows one selection, loads options from pre-loaded .csv file, includes options based on both a "contains" comparison and an "exact match" filter):</t>
        </is>
      </c>
      <c r="D34" s="25" t="n"/>
      <c r="E34" s="25" t="n"/>
      <c r="F34" s="25" t="n"/>
      <c r="G34" s="25" t="n"/>
      <c r="H34" s="25" t="inlineStr">
        <is>
          <t>search('hhplotdata', 'contains', 'respondentname', ${nametofind}, 'villageid', ${villageid})</t>
        </is>
      </c>
      <c r="I34" s="25" t="n"/>
      <c r="J34" s="25" t="n"/>
      <c r="K34" s="25" t="n"/>
      <c r="L34" s="25" t="n"/>
      <c r="M34" s="25" t="n"/>
      <c r="N34" s="25" t="n"/>
      <c r="O34" s="25" t="n"/>
      <c r="P34" s="25" t="n"/>
      <c r="Q34" s="25" t="n"/>
      <c r="R34" s="25" t="n"/>
      <c r="S34" s="25" t="n"/>
      <c r="T34" s="25" t="n"/>
      <c r="U34" s="25" t="n"/>
      <c r="V34" s="25" t="n"/>
      <c r="W34" s="25" t="n"/>
      <c r="X34" s="25" t="n"/>
      <c r="Y34" s="25" t="n"/>
      <c r="Z34" s="25" t="n"/>
      <c r="AA34" s="25" t="n"/>
      <c r="AB34" s="25" t="n"/>
      <c r="AC34" s="25" t="n"/>
      <c r="AD34" s="25" t="n"/>
    </row>
    <row r="35" ht="51" customFormat="1" customHeight="1" s="24">
      <c r="A35" s="51" t="inlineStr">
        <is>
          <t>select_multiple listname</t>
        </is>
      </c>
      <c r="B35" s="25" t="inlineStr">
        <is>
          <t>fieldname</t>
        </is>
      </c>
      <c r="C35" s="26" t="inlineStr">
        <is>
          <t>Standard multiple-choice field (allows multiple selections, shown as series of radio buttons):</t>
        </is>
      </c>
      <c r="D35" s="51"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c r="AA35" s="25" t="n"/>
      <c r="AB35" s="25" t="n"/>
      <c r="AC35" s="25" t="n"/>
      <c r="AD35" s="25" t="n"/>
    </row>
    <row r="36" ht="34" customFormat="1" customHeight="1" s="24">
      <c r="A36" s="51" t="inlineStr">
        <is>
          <t>select_multiple listname</t>
        </is>
      </c>
      <c r="B36" s="25" t="inlineStr">
        <is>
          <t>fieldname</t>
        </is>
      </c>
      <c r="C36" s="26" t="inlineStr">
        <is>
          <t>Multiple-choice field (allows multiple selections, shown as a pop-up selector):</t>
        </is>
      </c>
      <c r="D36" s="25" t="n"/>
      <c r="E36" s="25" t="n"/>
      <c r="F36" s="25" t="n"/>
      <c r="G36" s="25" t="n"/>
      <c r="H36" s="25" t="inlineStr">
        <is>
          <t>minimal</t>
        </is>
      </c>
      <c r="I36" s="25" t="n"/>
      <c r="J36" s="25" t="n"/>
      <c r="K36" s="25" t="n"/>
      <c r="L36" s="25" t="n"/>
      <c r="M36" s="25" t="n"/>
      <c r="N36" s="25" t="n"/>
      <c r="O36" s="25" t="n"/>
      <c r="P36" s="25" t="n"/>
      <c r="Q36" s="25" t="n"/>
      <c r="R36" s="25" t="n"/>
      <c r="S36" s="25" t="n"/>
      <c r="T36" s="25" t="n"/>
      <c r="U36" s="25" t="n"/>
      <c r="V36" s="25" t="n"/>
      <c r="W36" s="25" t="n"/>
      <c r="X36" s="25" t="n"/>
      <c r="Y36" s="25" t="n"/>
      <c r="Z36" s="25" t="n"/>
      <c r="AA36" s="25" t="n"/>
      <c r="AB36" s="25" t="n"/>
      <c r="AC36" s="25" t="n"/>
      <c r="AD36" s="25" t="n"/>
    </row>
    <row r="37" ht="51" customFormat="1" customHeight="1" s="24">
      <c r="A37" s="51" t="inlineStr">
        <is>
          <t>select_multiple listname</t>
        </is>
      </c>
      <c r="B37" s="25" t="inlineStr">
        <is>
          <t>fieldname</t>
        </is>
      </c>
      <c r="C37" s="26" t="inlineStr">
        <is>
          <t>Multiple-choice field (allows multiple selections, shown as a compact table of options):</t>
        </is>
      </c>
      <c r="D37" s="25" t="n"/>
      <c r="E37" s="25" t="n"/>
      <c r="F37" s="25" t="n"/>
      <c r="G37" s="25" t="n"/>
      <c r="H37" s="25" t="inlineStr">
        <is>
          <t>compact</t>
        </is>
      </c>
      <c r="I37" s="25" t="n"/>
      <c r="J37" s="25" t="n"/>
      <c r="K37" s="25" t="n"/>
      <c r="L37" s="25" t="n"/>
      <c r="M37" s="25" t="n"/>
      <c r="N37" s="25" t="n"/>
      <c r="O37" s="25" t="n"/>
      <c r="P37" s="25" t="n"/>
      <c r="Q37" s="25" t="n"/>
      <c r="R37" s="25" t="n"/>
      <c r="S37" s="25" t="n"/>
      <c r="T37" s="25" t="n"/>
      <c r="U37" s="25" t="n"/>
      <c r="V37" s="25" t="n"/>
      <c r="W37" s="25" t="n"/>
      <c r="X37" s="25" t="n"/>
      <c r="Y37" s="25" t="n"/>
      <c r="Z37" s="25" t="n"/>
      <c r="AA37" s="25" t="n"/>
      <c r="AB37" s="25" t="n"/>
      <c r="AC37" s="25" t="n"/>
      <c r="AD37" s="25" t="n"/>
    </row>
    <row r="38" ht="51" customFormat="1" customHeight="1" s="24">
      <c r="A38" s="51" t="inlineStr">
        <is>
          <t>select_multiple listname</t>
        </is>
      </c>
      <c r="B38" s="25" t="inlineStr">
        <is>
          <t>fieldname</t>
        </is>
      </c>
      <c r="C38" s="26" t="inlineStr">
        <is>
          <t>Multiple-choice field (allows multiple selections, shown as a compact table of options with exactly three columns):</t>
        </is>
      </c>
      <c r="D38" s="25" t="n"/>
      <c r="E38" s="25" t="n"/>
      <c r="F38" s="25" t="n"/>
      <c r="G38" s="25" t="n"/>
      <c r="H38" s="25" t="inlineStr">
        <is>
          <t>compact-3</t>
        </is>
      </c>
      <c r="I38" s="25" t="n"/>
      <c r="J38" s="25" t="n"/>
      <c r="K38" s="25" t="n"/>
      <c r="L38" s="25" t="n"/>
      <c r="M38" s="25" t="n"/>
      <c r="N38" s="25" t="n"/>
      <c r="O38" s="25" t="n"/>
      <c r="P38" s="25" t="n"/>
      <c r="Q38" s="25" t="n"/>
      <c r="R38" s="25" t="n"/>
      <c r="S38" s="25" t="n"/>
      <c r="T38" s="25" t="n"/>
      <c r="U38" s="25" t="n"/>
      <c r="V38" s="25" t="n"/>
      <c r="W38" s="25" t="n"/>
      <c r="X38" s="25" t="n"/>
      <c r="Y38" s="25" t="n"/>
      <c r="Z38" s="25" t="n"/>
      <c r="AA38" s="25" t="n"/>
      <c r="AB38" s="25" t="n"/>
      <c r="AC38" s="25" t="n"/>
      <c r="AD38" s="25" t="n"/>
    </row>
    <row r="39" ht="68" customFormat="1" customHeight="1" s="24">
      <c r="A39" s="51" t="inlineStr">
        <is>
          <t>select_multiple listname</t>
        </is>
      </c>
      <c r="B39" s="25" t="inlineStr">
        <is>
          <t>fieldname</t>
        </is>
      </c>
      <c r="C39" s="26" t="inlineStr">
        <is>
          <t>Multiple-choice field (allows multiple selections, loads options from pre-loaded .csv file, includes options based on a "contains" comparison):</t>
        </is>
      </c>
      <c r="D39" s="25" t="n"/>
      <c r="E39" s="25" t="n"/>
      <c r="F39" s="25" t="n"/>
      <c r="G39" s="25" t="n"/>
      <c r="H39" s="25" t="inlineStr">
        <is>
          <t>search('hhplotdata', 'contains', 'respondentname', ${nametofind})</t>
        </is>
      </c>
      <c r="I39" s="25" t="n"/>
      <c r="J39" s="25" t="n"/>
      <c r="K39" s="25" t="n"/>
      <c r="L39" s="25" t="n"/>
      <c r="M39" s="25" t="n"/>
      <c r="N39" s="25" t="n"/>
      <c r="O39" s="25" t="n"/>
      <c r="P39" s="25" t="n"/>
      <c r="Q39" s="25" t="n"/>
      <c r="R39" s="25" t="n"/>
      <c r="S39" s="25" t="n"/>
      <c r="T39" s="25" t="n"/>
      <c r="U39" s="25" t="n"/>
      <c r="V39" s="25" t="n"/>
      <c r="W39" s="25" t="n"/>
      <c r="X39" s="25" t="n"/>
      <c r="Y39" s="25" t="n"/>
      <c r="Z39" s="25" t="n"/>
      <c r="AA39" s="25" t="n"/>
      <c r="AB39" s="25" t="n"/>
      <c r="AC39" s="25" t="n"/>
      <c r="AD39" s="25" t="n"/>
    </row>
    <row r="40" ht="68" customFormat="1" customHeight="1" s="24">
      <c r="A40" s="51" t="inlineStr">
        <is>
          <t>select_multiple listname</t>
        </is>
      </c>
      <c r="B40" s="25" t="inlineStr">
        <is>
          <t>fieldname</t>
        </is>
      </c>
      <c r="C40" s="26" t="inlineStr">
        <is>
          <t>Multiple-choice field (allows multiple selections, loads options from pre-loaded .csv file, includes options based on a "starts with" comparison):</t>
        </is>
      </c>
      <c r="D40" s="25" t="n"/>
      <c r="E40" s="25" t="n"/>
      <c r="F40" s="25" t="n"/>
      <c r="G40" s="25" t="n"/>
      <c r="H40" s="25" t="inlineStr">
        <is>
          <t>search('hhplotdata', 'startswith', 'respondentname', ${nameprefix})</t>
        </is>
      </c>
      <c r="I40" s="25" t="n"/>
      <c r="J40" s="25" t="n"/>
      <c r="K40" s="25" t="n"/>
      <c r="L40" s="25" t="n"/>
      <c r="M40" s="25" t="n"/>
      <c r="N40" s="25" t="n"/>
      <c r="O40" s="25" t="n"/>
      <c r="P40" s="25" t="n"/>
      <c r="Q40" s="25" t="n"/>
      <c r="R40" s="25" t="n"/>
      <c r="S40" s="25" t="n"/>
      <c r="T40" s="25" t="n"/>
      <c r="U40" s="25" t="n"/>
      <c r="V40" s="25" t="n"/>
      <c r="W40" s="25" t="n"/>
      <c r="X40" s="25" t="n"/>
      <c r="Y40" s="25" t="n"/>
      <c r="Z40" s="25" t="n"/>
      <c r="AA40" s="25" t="n"/>
      <c r="AB40" s="25" t="n"/>
      <c r="AC40" s="25" t="n"/>
      <c r="AD40" s="25" t="n"/>
    </row>
    <row r="41" ht="68" customFormat="1" customHeight="1" s="24">
      <c r="A41" s="51" t="inlineStr">
        <is>
          <t>select_multiple listname</t>
        </is>
      </c>
      <c r="B41" s="25" t="inlineStr">
        <is>
          <t>fieldname</t>
        </is>
      </c>
      <c r="C41" s="30" t="inlineStr">
        <is>
          <t>Multiple-choice field (allows multiple selections, loads options from pre-loaded .csv file, includes options based on an "ends with" comparison):</t>
        </is>
      </c>
      <c r="D41" s="25" t="n"/>
      <c r="E41" s="25" t="n"/>
      <c r="F41" s="25" t="n"/>
      <c r="G41" s="25" t="n"/>
      <c r="H41" s="25" t="inlineStr">
        <is>
          <t>search('hhplotdata', 'endswith', 'respondentname', ${namesuffix})</t>
        </is>
      </c>
      <c r="I41" s="25" t="n"/>
      <c r="J41" s="25" t="n"/>
      <c r="K41" s="25" t="n"/>
      <c r="L41" s="25" t="n"/>
      <c r="M41" s="25" t="n"/>
      <c r="N41" s="25" t="n"/>
      <c r="O41" s="25" t="n"/>
      <c r="P41" s="25" t="n"/>
      <c r="Q41" s="25" t="n"/>
      <c r="R41" s="25" t="n"/>
      <c r="S41" s="25" t="n"/>
      <c r="T41" s="25" t="n"/>
      <c r="U41" s="25" t="n"/>
      <c r="V41" s="25" t="n"/>
      <c r="W41" s="25" t="n"/>
      <c r="X41" s="25" t="n"/>
      <c r="Y41" s="25" t="n"/>
      <c r="Z41" s="25" t="n"/>
      <c r="AA41" s="25" t="n"/>
      <c r="AB41" s="25" t="n"/>
      <c r="AC41" s="25" t="n"/>
      <c r="AD41" s="25" t="n"/>
    </row>
    <row r="42" ht="68" customFormat="1" customHeight="1" s="24">
      <c r="A42" s="51" t="inlineStr">
        <is>
          <t>select_multiple listname</t>
        </is>
      </c>
      <c r="B42" s="25" t="inlineStr">
        <is>
          <t>fieldname</t>
        </is>
      </c>
      <c r="C42" s="26" t="inlineStr">
        <is>
          <t>Multiple-choice field (allows multiple selections, loads options from pre-loaded .csv file, includes options based on an "exact match" comparison):</t>
        </is>
      </c>
      <c r="D42" s="25" t="n"/>
      <c r="E42" s="25" t="n"/>
      <c r="F42" s="25" t="n"/>
      <c r="G42" s="25" t="n"/>
      <c r="H42" s="25" t="inlineStr">
        <is>
          <t>search('hhplotdata', 'matches', 'respondentname', ${nametofind})</t>
        </is>
      </c>
      <c r="I42" s="25" t="n"/>
      <c r="J42" s="25" t="n"/>
      <c r="K42" s="25" t="n"/>
      <c r="L42" s="25" t="n"/>
      <c r="M42" s="25" t="n"/>
      <c r="N42" s="25" t="n"/>
      <c r="O42" s="25" t="n"/>
      <c r="P42" s="25" t="n"/>
      <c r="Q42" s="25" t="n"/>
      <c r="R42" s="25" t="n"/>
      <c r="S42" s="25" t="n"/>
      <c r="T42" s="25" t="n"/>
      <c r="U42" s="25" t="n"/>
      <c r="V42" s="25" t="n"/>
      <c r="W42" s="25" t="n"/>
      <c r="X42" s="25" t="n"/>
      <c r="Y42" s="25" t="n"/>
      <c r="Z42" s="25" t="n"/>
      <c r="AA42" s="25" t="n"/>
      <c r="AB42" s="25" t="n"/>
      <c r="AC42" s="25" t="n"/>
      <c r="AD42" s="25" t="n"/>
    </row>
    <row r="43" ht="85" customFormat="1" customHeight="1" s="24">
      <c r="A43" s="51" t="inlineStr">
        <is>
          <t>select_multiple listname</t>
        </is>
      </c>
      <c r="B43" s="25" t="inlineStr">
        <is>
          <t>fieldname</t>
        </is>
      </c>
      <c r="C43" s="26" t="inlineStr">
        <is>
          <t>Multiple-choice field (allows multiple selections, loads options from pre-loaded .csv file, includes options based on both a "contains" comparison and an "exact match" filter):</t>
        </is>
      </c>
      <c r="D43" s="25" t="n"/>
      <c r="E43" s="25" t="n"/>
      <c r="F43" s="25" t="n"/>
      <c r="G43" s="25" t="n"/>
      <c r="H43" s="25" t="inlineStr">
        <is>
          <t>search('hhplotdata', 'contains', 'respondentname', ${nametofind}, 'villageid', ${villageid})</t>
        </is>
      </c>
      <c r="I43" s="25" t="n"/>
      <c r="J43" s="25" t="n"/>
      <c r="K43" s="25" t="n"/>
      <c r="L43" s="25" t="n"/>
      <c r="M43" s="25" t="n"/>
      <c r="N43" s="25" t="n"/>
      <c r="O43" s="25" t="n"/>
      <c r="P43" s="25" t="n"/>
      <c r="Q43" s="25" t="n"/>
      <c r="R43" s="25" t="n"/>
      <c r="S43" s="25" t="n"/>
      <c r="T43" s="25" t="n"/>
      <c r="U43" s="25" t="n"/>
      <c r="V43" s="25" t="n"/>
      <c r="W43" s="25" t="n"/>
      <c r="X43" s="25" t="n"/>
      <c r="Y43" s="25" t="n"/>
      <c r="Z43" s="25" t="n"/>
      <c r="AA43" s="25" t="n"/>
      <c r="AB43" s="25" t="n"/>
      <c r="AC43" s="25" t="n"/>
      <c r="AD43" s="25" t="n"/>
    </row>
    <row r="44" ht="17" customFormat="1" customHeight="1" s="24">
      <c r="A44" s="51" t="inlineStr">
        <is>
          <t>geopoint</t>
        </is>
      </c>
      <c r="B44" s="25" t="inlineStr">
        <is>
          <t>fieldname</t>
        </is>
      </c>
      <c r="C44" s="26" t="inlineStr">
        <is>
          <t>Standard GPS location-capture field:</t>
        </is>
      </c>
      <c r="D44" s="51"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c r="AA44" s="25" t="n"/>
      <c r="AB44" s="25" t="n"/>
      <c r="AC44" s="25" t="n"/>
      <c r="AD44" s="25" t="n"/>
    </row>
    <row r="45" ht="17" customFormat="1" customHeight="1" s="24">
      <c r="A45" s="51" t="inlineStr">
        <is>
          <t>geoshape</t>
        </is>
      </c>
      <c r="B45" s="25" t="inlineStr">
        <is>
          <t>fieldname</t>
        </is>
      </c>
      <c r="C45" s="26" t="inlineStr">
        <is>
          <t>Boundary-capture field (GPS polygon):</t>
        </is>
      </c>
      <c r="D45" s="52"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c r="AA45" s="25" t="n"/>
      <c r="AB45" s="25" t="n"/>
      <c r="AC45" s="25" t="n"/>
      <c r="AD45" s="25" t="n"/>
    </row>
    <row r="46" ht="34" customFormat="1" customHeight="1" s="24">
      <c r="A46" s="51" t="inlineStr">
        <is>
          <t>geotrace</t>
        </is>
      </c>
      <c r="B46" s="25" t="inlineStr">
        <is>
          <t>fieldname</t>
        </is>
      </c>
      <c r="C46" s="26" t="inlineStr">
        <is>
          <t>Boundary- or path-capture field (GPS polyline or polygon):</t>
        </is>
      </c>
      <c r="D46" s="51"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c r="AA46" s="25" t="n"/>
      <c r="AB46" s="25" t="n"/>
      <c r="AC46" s="25" t="n"/>
      <c r="AD46" s="25" t="n"/>
    </row>
    <row r="47" ht="17" customFormat="1" customHeight="1" s="24">
      <c r="A47" s="51" t="inlineStr">
        <is>
          <t>barcode</t>
        </is>
      </c>
      <c r="B47" s="25" t="inlineStr">
        <is>
          <t>fieldname</t>
        </is>
      </c>
      <c r="C47" s="26" t="inlineStr">
        <is>
          <t>Standard scan-barcode field:</t>
        </is>
      </c>
      <c r="D47" s="51"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c r="AA47" s="25" t="n"/>
      <c r="AB47" s="25" t="n"/>
      <c r="AC47" s="25" t="n"/>
      <c r="AD47" s="25" t="n"/>
    </row>
    <row r="48" ht="17" customFormat="1" customHeight="1" s="24">
      <c r="A48" s="51" t="inlineStr">
        <is>
          <t>date</t>
        </is>
      </c>
      <c r="B48" s="25" t="inlineStr">
        <is>
          <t>fieldname</t>
        </is>
      </c>
      <c r="C48" s="26" t="inlineStr">
        <is>
          <t>Standard date field:</t>
        </is>
      </c>
      <c r="D48" s="51"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c r="AA48" s="25" t="n"/>
      <c r="AB48" s="25" t="n"/>
      <c r="AC48" s="25" t="n"/>
      <c r="AD48" s="25" t="n"/>
    </row>
    <row r="49" ht="17" customFormat="1" customHeight="1" s="24">
      <c r="A49" s="51" t="inlineStr">
        <is>
          <t>date</t>
        </is>
      </c>
      <c r="B49" s="25" t="inlineStr">
        <is>
          <t>fieldname</t>
        </is>
      </c>
      <c r="C49" s="26" t="inlineStr">
        <is>
          <t>Date field (but for smaller screens):</t>
        </is>
      </c>
      <c r="D49" s="25" t="n"/>
      <c r="E49" s="25" t="n"/>
      <c r="F49" s="25" t="n"/>
      <c r="G49" s="25" t="n"/>
      <c r="H49" s="25" t="inlineStr">
        <is>
          <t>no-calendar</t>
        </is>
      </c>
      <c r="I49" s="25" t="n"/>
      <c r="J49" s="25" t="n"/>
      <c r="K49" s="25" t="n"/>
      <c r="L49" s="25" t="n"/>
      <c r="M49" s="25" t="n"/>
      <c r="N49" s="25" t="n"/>
      <c r="O49" s="25" t="n"/>
      <c r="P49" s="25" t="n"/>
      <c r="Q49" s="25" t="n"/>
      <c r="R49" s="25" t="n"/>
      <c r="S49" s="25" t="n"/>
      <c r="T49" s="25" t="n"/>
      <c r="U49" s="25" t="n"/>
      <c r="V49" s="25" t="n"/>
      <c r="W49" s="25" t="n"/>
      <c r="X49" s="25" t="n"/>
      <c r="Y49" s="25" t="n"/>
      <c r="Z49" s="25" t="n"/>
      <c r="AA49" s="25" t="n"/>
      <c r="AB49" s="25" t="n"/>
      <c r="AC49" s="25" t="n"/>
      <c r="AD49" s="25" t="n"/>
    </row>
    <row r="50" ht="17" customFormat="1" customHeight="1" s="24">
      <c r="A50" s="51" t="inlineStr">
        <is>
          <t>datetime</t>
        </is>
      </c>
      <c r="B50" s="25" t="inlineStr">
        <is>
          <t>fieldname</t>
        </is>
      </c>
      <c r="C50" s="26" t="inlineStr">
        <is>
          <t>Standard date+time field:</t>
        </is>
      </c>
      <c r="D50" s="51"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c r="AA50" s="25" t="n"/>
      <c r="AB50" s="25" t="n"/>
      <c r="AC50" s="25" t="n"/>
      <c r="AD50" s="25" t="n"/>
    </row>
    <row r="51" ht="17" customFormat="1" customHeight="1" s="24">
      <c r="A51" s="51" t="inlineStr">
        <is>
          <t>datetime</t>
        </is>
      </c>
      <c r="B51" s="25" t="inlineStr">
        <is>
          <t>fieldname</t>
        </is>
      </c>
      <c r="C51" s="26" t="inlineStr">
        <is>
          <t>Date+time field (but for smaller screens):</t>
        </is>
      </c>
      <c r="D51" s="25" t="n"/>
      <c r="E51" s="25" t="n"/>
      <c r="F51" s="25" t="n"/>
      <c r="G51" s="25" t="n"/>
      <c r="H51" s="25" t="inlineStr">
        <is>
          <t>no-calendar</t>
        </is>
      </c>
      <c r="I51" s="25" t="n"/>
      <c r="J51" s="25" t="n"/>
      <c r="K51" s="25" t="n"/>
      <c r="L51" s="25" t="n"/>
      <c r="M51" s="25" t="n"/>
      <c r="N51" s="25" t="n"/>
      <c r="O51" s="25" t="n"/>
      <c r="P51" s="25" t="n"/>
      <c r="Q51" s="25" t="n"/>
      <c r="R51" s="25" t="n"/>
      <c r="S51" s="25" t="n"/>
      <c r="T51" s="25" t="n"/>
      <c r="U51" s="25" t="n"/>
      <c r="V51" s="25" t="n"/>
      <c r="W51" s="25" t="n"/>
      <c r="X51" s="25" t="n"/>
      <c r="Y51" s="25" t="n"/>
      <c r="Z51" s="25" t="n"/>
      <c r="AA51" s="25" t="n"/>
      <c r="AB51" s="25" t="n"/>
      <c r="AC51" s="25" t="n"/>
      <c r="AD51" s="25" t="n"/>
    </row>
    <row r="52" ht="17" customFormat="1" customHeight="1" s="24">
      <c r="A52" s="51" t="inlineStr">
        <is>
          <t>time</t>
        </is>
      </c>
      <c r="B52" s="25" t="inlineStr">
        <is>
          <t>fieldname</t>
        </is>
      </c>
      <c r="C52" s="26" t="inlineStr">
        <is>
          <t>Standard time field:</t>
        </is>
      </c>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c r="AA52" s="25" t="n"/>
      <c r="AB52" s="25" t="n"/>
      <c r="AC52" s="25" t="n"/>
      <c r="AD52" s="25" t="n"/>
    </row>
    <row r="53" ht="17" customFormat="1" customHeight="1" s="24">
      <c r="A53" s="51" t="inlineStr">
        <is>
          <t>image</t>
        </is>
      </c>
      <c r="B53" s="25" t="inlineStr">
        <is>
          <t>fieldname</t>
        </is>
      </c>
      <c r="C53" s="26" t="inlineStr">
        <is>
          <t>Standard image-capture field:</t>
        </is>
      </c>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c r="AA53" s="25" t="n"/>
      <c r="AB53" s="25" t="n"/>
      <c r="AC53" s="25" t="n"/>
      <c r="AD53" s="25" t="n"/>
    </row>
    <row r="54" ht="34" customFormat="1" customHeight="1" s="24">
      <c r="A54" s="51" t="inlineStr">
        <is>
          <t>image</t>
        </is>
      </c>
      <c r="B54" s="25" t="inlineStr">
        <is>
          <t>fieldname</t>
        </is>
      </c>
      <c r="C54" s="26" t="inlineStr">
        <is>
          <t>Image-capture field which allows user to annotate image:</t>
        </is>
      </c>
      <c r="D54" s="25" t="n"/>
      <c r="E54" s="25" t="n"/>
      <c r="F54" s="25" t="n"/>
      <c r="G54" s="25" t="n"/>
      <c r="H54" s="25" t="inlineStr">
        <is>
          <t>annotate</t>
        </is>
      </c>
      <c r="I54" s="25" t="n"/>
      <c r="J54" s="25" t="n"/>
      <c r="K54" s="25" t="n"/>
      <c r="L54" s="25" t="n"/>
      <c r="M54" s="25" t="n"/>
      <c r="N54" s="25" t="n"/>
      <c r="O54" s="25" t="n"/>
      <c r="P54" s="25" t="n"/>
      <c r="Q54" s="25" t="n"/>
      <c r="R54" s="25" t="n"/>
      <c r="S54" s="25" t="n"/>
      <c r="T54" s="25" t="n"/>
      <c r="U54" s="25" t="n"/>
      <c r="V54" s="25" t="n"/>
      <c r="W54" s="25" t="n"/>
      <c r="X54" s="25" t="n"/>
      <c r="Y54" s="25" t="n"/>
      <c r="Z54" s="25" t="n"/>
      <c r="AA54" s="25" t="n"/>
      <c r="AB54" s="25" t="n"/>
      <c r="AC54" s="25" t="n"/>
      <c r="AD54" s="25" t="n"/>
    </row>
    <row r="55" ht="34" customFormat="1" customHeight="1" s="24">
      <c r="A55" s="51" t="inlineStr">
        <is>
          <t>image</t>
        </is>
      </c>
      <c r="B55" s="25" t="inlineStr">
        <is>
          <t>fieldname</t>
        </is>
      </c>
      <c r="C55" s="26" t="inlineStr">
        <is>
          <t>Image-capture field which allows user to draw image:</t>
        </is>
      </c>
      <c r="D55" s="25" t="n"/>
      <c r="E55" s="25" t="n"/>
      <c r="F55" s="25" t="n"/>
      <c r="G55" s="25" t="n"/>
      <c r="H55" s="25" t="inlineStr">
        <is>
          <t>draw</t>
        </is>
      </c>
      <c r="I55" s="25" t="n"/>
      <c r="J55" s="25" t="n"/>
      <c r="K55" s="25" t="n"/>
      <c r="L55" s="25" t="n"/>
      <c r="M55" s="25" t="n"/>
      <c r="N55" s="25" t="n"/>
      <c r="O55" s="25" t="n"/>
      <c r="P55" s="25" t="n"/>
      <c r="Q55" s="25" t="n"/>
      <c r="R55" s="25" t="n"/>
      <c r="S55" s="25" t="n"/>
      <c r="T55" s="25" t="n"/>
      <c r="U55" s="25" t="n"/>
      <c r="V55" s="25" t="n"/>
      <c r="W55" s="25" t="n"/>
      <c r="X55" s="25" t="n"/>
      <c r="Y55" s="25" t="n"/>
      <c r="Z55" s="25" t="n"/>
      <c r="AA55" s="25" t="n"/>
      <c r="AB55" s="25" t="n"/>
      <c r="AC55" s="25" t="n"/>
      <c r="AD55" s="25" t="n"/>
    </row>
    <row r="56" ht="34" customFormat="1" customHeight="1" s="24">
      <c r="A56" s="51" t="inlineStr">
        <is>
          <t>image</t>
        </is>
      </c>
      <c r="B56" s="25" t="inlineStr">
        <is>
          <t>fieldname</t>
        </is>
      </c>
      <c r="C56" s="26" t="inlineStr">
        <is>
          <t>Image-capture field which collects a signature as the image:</t>
        </is>
      </c>
      <c r="D56" s="25" t="n"/>
      <c r="E56" s="25" t="n"/>
      <c r="F56" s="25" t="n"/>
      <c r="G56" s="25" t="n"/>
      <c r="H56" s="25" t="inlineStr">
        <is>
          <t>signature</t>
        </is>
      </c>
      <c r="I56" s="25" t="n"/>
      <c r="J56" s="25" t="n"/>
      <c r="K56" s="25" t="n"/>
      <c r="L56" s="25" t="n"/>
      <c r="M56" s="25" t="n"/>
      <c r="N56" s="25" t="n"/>
      <c r="O56" s="25" t="n"/>
      <c r="P56" s="25" t="n"/>
      <c r="Q56" s="25" t="n"/>
      <c r="R56" s="25" t="n"/>
      <c r="S56" s="25" t="n"/>
      <c r="T56" s="25" t="n"/>
      <c r="U56" s="25" t="n"/>
      <c r="V56" s="25" t="n"/>
      <c r="W56" s="25" t="n"/>
      <c r="X56" s="25" t="n"/>
      <c r="Y56" s="25" t="n"/>
      <c r="Z56" s="25" t="n"/>
      <c r="AA56" s="25" t="n"/>
      <c r="AB56" s="25" t="n"/>
      <c r="AC56" s="25" t="n"/>
      <c r="AD56" s="25" t="n"/>
    </row>
    <row r="57" ht="17" customFormat="1" customHeight="1" s="24">
      <c r="A57" s="51" t="inlineStr">
        <is>
          <t>audio</t>
        </is>
      </c>
      <c r="B57" s="25" t="inlineStr">
        <is>
          <t>fieldname</t>
        </is>
      </c>
      <c r="C57" s="26" t="inlineStr">
        <is>
          <t>Standard audio-capture field:</t>
        </is>
      </c>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c r="AA57" s="25" t="n"/>
      <c r="AB57" s="25" t="n"/>
      <c r="AC57" s="25" t="n"/>
      <c r="AD57" s="25" t="n"/>
    </row>
    <row r="58" ht="17" customFormat="1" customHeight="1" s="24">
      <c r="A58" s="51" t="inlineStr">
        <is>
          <t>video</t>
        </is>
      </c>
      <c r="B58" s="25" t="inlineStr">
        <is>
          <t>fieldname</t>
        </is>
      </c>
      <c r="C58" s="26" t="inlineStr">
        <is>
          <t>Standard video-capture field:</t>
        </is>
      </c>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c r="AA58" s="25" t="n"/>
      <c r="AB58" s="25" t="n"/>
      <c r="AC58" s="25" t="n"/>
      <c r="AD58" s="25" t="n"/>
    </row>
    <row r="59" ht="34" customFormat="1" customHeight="1" s="24">
      <c r="A59" s="51" t="inlineStr">
        <is>
          <t>file</t>
        </is>
      </c>
      <c r="B59" s="25" t="inlineStr">
        <is>
          <t>fieldname</t>
        </is>
      </c>
      <c r="C59" s="26" t="inlineStr">
        <is>
          <t>Attach text, image, video, audio, PDF, ZIP, or MS Office file (Excel or Word):</t>
        </is>
      </c>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c r="AA59" s="25" t="n"/>
      <c r="AB59" s="25" t="n"/>
      <c r="AC59" s="25" t="n"/>
      <c r="AD59" s="25" t="n"/>
    </row>
    <row r="60" ht="17" customFormat="1" customHeight="1" s="24">
      <c r="A60" s="51" t="inlineStr">
        <is>
          <t>note</t>
        </is>
      </c>
      <c r="B60" s="25" t="inlineStr">
        <is>
          <t>fieldname</t>
        </is>
      </c>
      <c r="C60" s="26" t="inlineStr">
        <is>
          <t>Standard note field (read-only).</t>
        </is>
      </c>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c r="AA60" s="25" t="n"/>
      <c r="AB60" s="25" t="n"/>
      <c r="AC60" s="25" t="n"/>
      <c r="AD60" s="25" t="n"/>
    </row>
    <row r="61" customFormat="1" s="24">
      <c r="A61" s="51" t="inlineStr">
        <is>
          <t>start</t>
        </is>
      </c>
      <c r="B61" s="25" t="inlineStr">
        <is>
          <t>fieldname</t>
        </is>
      </c>
      <c r="C61" s="26"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c r="AA61" s="25" t="n"/>
      <c r="AB61" s="25" t="n"/>
      <c r="AC61" s="25" t="n"/>
      <c r="AD61" s="25" t="n"/>
    </row>
    <row r="62" customFormat="1" s="24">
      <c r="A62" s="51" t="inlineStr">
        <is>
          <t>end</t>
        </is>
      </c>
      <c r="B62" s="25" t="inlineStr">
        <is>
          <t>fieldname</t>
        </is>
      </c>
      <c r="C62" s="26"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c r="AA62" s="25" t="n"/>
      <c r="AB62" s="25" t="n"/>
      <c r="AC62" s="25" t="n"/>
      <c r="AD62" s="25" t="n"/>
    </row>
    <row r="63" customFormat="1" s="24">
      <c r="A63" s="51" t="inlineStr">
        <is>
          <t>deviceid</t>
        </is>
      </c>
      <c r="B63" s="25" t="inlineStr">
        <is>
          <t>fieldname</t>
        </is>
      </c>
      <c r="C63" s="26"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c r="AA63" s="25" t="n"/>
      <c r="AB63" s="25" t="n"/>
      <c r="AC63" s="25" t="n"/>
      <c r="AD63" s="25" t="n"/>
    </row>
    <row r="64" customFormat="1" s="24">
      <c r="A64" s="51" t="inlineStr">
        <is>
          <t>subscriberid</t>
        </is>
      </c>
      <c r="B64" s="25" t="inlineStr">
        <is>
          <t>fieldname</t>
        </is>
      </c>
      <c r="C64" s="26"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c r="AA64" s="25" t="n"/>
      <c r="AB64" s="25" t="n"/>
      <c r="AC64" s="25" t="n"/>
      <c r="AD64" s="25" t="n"/>
    </row>
    <row r="65" customFormat="1" s="24">
      <c r="A65" s="51" t="inlineStr">
        <is>
          <t>simserial</t>
        </is>
      </c>
      <c r="B65" s="25" t="inlineStr">
        <is>
          <t>fieldname</t>
        </is>
      </c>
      <c r="C65" s="26"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c r="AA65" s="25" t="n"/>
      <c r="AB65" s="25" t="n"/>
      <c r="AC65" s="25" t="n"/>
      <c r="AD65" s="25" t="n"/>
    </row>
    <row r="66" customFormat="1" s="24">
      <c r="A66" s="51" t="inlineStr">
        <is>
          <t>caseid</t>
        </is>
      </c>
      <c r="B66" s="25" t="inlineStr">
        <is>
          <t>fieldname</t>
        </is>
      </c>
      <c r="C66" s="26"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c r="AA66" s="25" t="n"/>
      <c r="AB66" s="25" t="n"/>
      <c r="AC66" s="25" t="n"/>
      <c r="AD66" s="25" t="n"/>
    </row>
    <row r="67" customFormat="1" s="24">
      <c r="A67" s="51" t="inlineStr">
        <is>
          <t>phonenumber</t>
        </is>
      </c>
      <c r="B67" s="25" t="inlineStr">
        <is>
          <t>fieldname</t>
        </is>
      </c>
      <c r="C67" s="26"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c r="AA67" s="25" t="n"/>
      <c r="AB67" s="25" t="n"/>
      <c r="AC67" s="25" t="n"/>
      <c r="AD67" s="25" t="n"/>
    </row>
    <row r="68" customFormat="1" s="24">
      <c r="A68" s="51" t="inlineStr">
        <is>
          <t>comments</t>
        </is>
      </c>
      <c r="B68" s="25" t="inlineStr">
        <is>
          <t>fieldname</t>
        </is>
      </c>
      <c r="C68" s="26"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c r="AA68" s="25" t="n"/>
      <c r="AB68" s="25" t="n"/>
      <c r="AC68" s="25" t="n"/>
      <c r="AD68" s="25" t="n"/>
    </row>
    <row r="69" customFormat="1" s="24">
      <c r="A69" s="51" t="inlineStr">
        <is>
          <t>calculate</t>
        </is>
      </c>
      <c r="B69" s="25" t="inlineStr">
        <is>
          <t>fieldname</t>
        </is>
      </c>
      <c r="C69" s="26" t="n"/>
      <c r="D69" s="25" t="n"/>
      <c r="E69" s="25" t="n"/>
      <c r="F69" s="25" t="n"/>
      <c r="G69" s="25" t="n"/>
      <c r="H69" s="25" t="n"/>
      <c r="I69" s="25" t="n"/>
      <c r="J69" s="25" t="n"/>
      <c r="K69" s="25" t="n"/>
      <c r="L69" s="25" t="n"/>
      <c r="M69" s="25" t="n"/>
      <c r="N69" s="25" t="n"/>
      <c r="O69" s="25" t="n"/>
      <c r="P69" s="25" t="n"/>
      <c r="Q69" s="25" t="n"/>
      <c r="R69" s="25" t="inlineStr">
        <is>
          <t>(${age1}+${age2}+${age3}) div 3</t>
        </is>
      </c>
      <c r="S69" s="25" t="n"/>
      <c r="T69" s="25" t="n"/>
      <c r="U69" s="25" t="n"/>
      <c r="V69" s="25" t="n"/>
      <c r="W69" s="25" t="n"/>
      <c r="X69" s="25" t="n"/>
      <c r="Y69" s="25" t="n"/>
      <c r="Z69" s="25" t="n"/>
      <c r="AA69" s="25" t="n"/>
      <c r="AB69" s="25" t="n"/>
      <c r="AC69" s="25" t="n"/>
      <c r="AD69" s="25" t="n"/>
    </row>
    <row r="70" customFormat="1" s="24">
      <c r="A70" s="51" t="inlineStr">
        <is>
          <t>calculate_here</t>
        </is>
      </c>
      <c r="B70" s="25" t="inlineStr">
        <is>
          <t>fieldname</t>
        </is>
      </c>
      <c r="C70" s="26" t="n"/>
      <c r="D70" s="25" t="n"/>
      <c r="E70" s="25" t="n"/>
      <c r="F70" s="25" t="n"/>
      <c r="G70" s="25" t="n"/>
      <c r="H70" s="25" t="n"/>
      <c r="I70" s="25" t="n"/>
      <c r="J70" s="25" t="n"/>
      <c r="K70" s="25" t="n"/>
      <c r="L70" s="25" t="n"/>
      <c r="M70" s="25" t="n"/>
      <c r="N70" s="25" t="n"/>
      <c r="O70" s="25" t="n"/>
      <c r="P70" s="25" t="n"/>
      <c r="Q70" s="25" t="n"/>
      <c r="R70" s="25" t="inlineStr">
        <is>
          <t>once(format-date-time(now(), '%Y-%b-%e %H:%M:%S'))</t>
        </is>
      </c>
      <c r="S70" s="25" t="n"/>
      <c r="T70" s="25" t="n"/>
      <c r="U70" s="25" t="n"/>
      <c r="V70" s="25" t="n"/>
      <c r="W70" s="25" t="n"/>
      <c r="X70" s="25" t="n"/>
      <c r="Y70" s="25" t="n"/>
      <c r="Z70" s="25" t="n"/>
      <c r="AA70" s="25" t="n"/>
      <c r="AB70" s="25" t="n"/>
      <c r="AC70" s="25" t="n"/>
      <c r="AD70" s="25" t="n"/>
    </row>
    <row r="71" customFormat="1" s="24">
      <c r="A71" s="51" t="inlineStr">
        <is>
          <t>text audit</t>
        </is>
      </c>
      <c r="B71" s="25" t="inlineStr">
        <is>
          <t>fieldname</t>
        </is>
      </c>
      <c r="C71" s="26" t="n"/>
      <c r="D71" s="25" t="n"/>
      <c r="E71" s="25" t="n"/>
      <c r="F71" s="25" t="n"/>
      <c r="G71" s="25" t="n"/>
      <c r="H71" s="25" t="inlineStr">
        <is>
          <t>p = 50</t>
        </is>
      </c>
      <c r="I71" s="25" t="n"/>
      <c r="J71" s="25" t="n"/>
      <c r="K71" s="25" t="n"/>
      <c r="L71" s="25" t="n"/>
      <c r="M71" s="25" t="n"/>
      <c r="N71" s="25" t="n"/>
      <c r="O71" s="25" t="n"/>
      <c r="P71" s="25" t="n"/>
      <c r="Q71" s="25" t="n"/>
      <c r="R71" s="25" t="n"/>
      <c r="S71" s="25" t="n"/>
      <c r="T71" s="25" t="n"/>
      <c r="U71" s="25" t="n"/>
      <c r="V71" s="25" t="n"/>
      <c r="W71" s="25" t="n"/>
      <c r="X71" s="25" t="n"/>
      <c r="Y71" s="25" t="n"/>
      <c r="Z71" s="25" t="n"/>
      <c r="AA71" s="25" t="n"/>
      <c r="AB71" s="25" t="n"/>
      <c r="AC71" s="25" t="n"/>
      <c r="AD71" s="25" t="n"/>
    </row>
    <row r="72" customFormat="1" s="24">
      <c r="A72" s="25" t="inlineStr">
        <is>
          <t>text audit</t>
        </is>
      </c>
      <c r="B72" s="25" t="inlineStr">
        <is>
          <t>fieldname</t>
        </is>
      </c>
      <c r="C72" s="26" t="n"/>
      <c r="D72" s="25" t="n"/>
      <c r="E72" s="25" t="n"/>
      <c r="F72" s="25" t="n"/>
      <c r="G72" s="25" t="n"/>
      <c r="H72" s="25" t="inlineStr">
        <is>
          <t>p = 50; eventlog; choices</t>
        </is>
      </c>
      <c r="I72" s="25" t="n"/>
      <c r="J72" s="25" t="n"/>
      <c r="K72" s="25" t="n"/>
      <c r="L72" s="25" t="n"/>
      <c r="M72" s="25" t="n"/>
      <c r="N72" s="25" t="n"/>
      <c r="O72" s="25" t="n"/>
      <c r="P72" s="25" t="n"/>
      <c r="Q72" s="25" t="n"/>
      <c r="R72" s="25" t="n"/>
      <c r="S72" s="25" t="n"/>
      <c r="T72" s="25" t="n"/>
      <c r="U72" s="25" t="n"/>
      <c r="V72" s="25" t="n"/>
      <c r="W72" s="25" t="n"/>
      <c r="X72" s="25" t="n"/>
      <c r="Y72" s="25" t="n"/>
      <c r="Z72" s="25" t="n"/>
      <c r="AA72" s="25" t="n"/>
      <c r="AB72" s="25" t="n"/>
      <c r="AC72" s="25" t="n"/>
      <c r="AD72" s="25" t="n"/>
    </row>
    <row r="73" customFormat="1" s="24">
      <c r="A73" s="51" t="inlineStr">
        <is>
          <t>audio audit</t>
        </is>
      </c>
      <c r="B73" s="25" t="inlineStr">
        <is>
          <t>fieldname</t>
        </is>
      </c>
      <c r="C73" s="26" t="n"/>
      <c r="D73" s="25" t="n"/>
      <c r="E73" s="25" t="n"/>
      <c r="F73" s="25" t="n"/>
      <c r="G73" s="25" t="n"/>
      <c r="H73" s="25" t="inlineStr">
        <is>
          <t>p = 50; s = 0; d = 60</t>
        </is>
      </c>
      <c r="I73" s="25" t="n"/>
      <c r="J73" s="25" t="n"/>
      <c r="K73" s="25" t="n"/>
      <c r="L73" s="25" t="n"/>
      <c r="M73" s="25" t="n"/>
      <c r="N73" s="25" t="n"/>
      <c r="O73" s="25" t="n"/>
      <c r="P73" s="25" t="n"/>
      <c r="Q73" s="25" t="n"/>
      <c r="R73" s="25" t="n"/>
      <c r="S73" s="25" t="n"/>
      <c r="T73" s="25" t="n"/>
      <c r="U73" s="25" t="n"/>
      <c r="V73" s="25" t="n"/>
      <c r="W73" s="25" t="n"/>
      <c r="X73" s="25" t="n"/>
      <c r="Y73" s="25" t="n"/>
      <c r="Z73" s="25" t="n"/>
      <c r="AA73" s="25" t="n"/>
      <c r="AB73" s="25" t="n"/>
      <c r="AC73" s="25" t="n"/>
      <c r="AD73" s="25" t="n"/>
    </row>
    <row r="74" customFormat="1" s="24">
      <c r="A74" s="51" t="inlineStr">
        <is>
          <t>audio audit</t>
        </is>
      </c>
      <c r="B74" s="25" t="inlineStr">
        <is>
          <t>fieldname</t>
        </is>
      </c>
      <c r="C74" s="26" t="n"/>
      <c r="D74" s="25" t="n"/>
      <c r="E74" s="25" t="n"/>
      <c r="F74" s="25" t="n"/>
      <c r="G74" s="25" t="n"/>
      <c r="H74" s="25" t="inlineStr">
        <is>
          <t>p = 50; s = 0-600; d = 60</t>
        </is>
      </c>
      <c r="I74" s="25" t="n"/>
      <c r="J74" s="25" t="n"/>
      <c r="K74" s="25" t="n"/>
      <c r="L74" s="25" t="n"/>
      <c r="M74" s="25" t="n"/>
      <c r="N74" s="25" t="n"/>
      <c r="O74" s="25" t="n"/>
      <c r="P74" s="25" t="n"/>
      <c r="Q74" s="25" t="n"/>
      <c r="R74" s="25" t="n"/>
      <c r="S74" s="25" t="n"/>
      <c r="T74" s="25" t="n"/>
      <c r="U74" s="25" t="n"/>
      <c r="V74" s="25" t="n"/>
      <c r="W74" s="25" t="n"/>
      <c r="X74" s="25" t="n"/>
      <c r="Y74" s="25" t="n"/>
      <c r="Z74" s="25" t="n"/>
      <c r="AA74" s="25" t="n"/>
      <c r="AB74" s="25" t="n"/>
      <c r="AC74" s="25" t="n"/>
      <c r="AD74" s="25" t="n"/>
    </row>
    <row r="75" customFormat="1" s="24">
      <c r="A75" s="51" t="inlineStr">
        <is>
          <t>audio audit</t>
        </is>
      </c>
      <c r="B75" s="25" t="inlineStr">
        <is>
          <t>fieldname</t>
        </is>
      </c>
      <c r="C75" s="26" t="n"/>
      <c r="D75" s="25" t="n"/>
      <c r="E75" s="25" t="n"/>
      <c r="F75" s="25" t="n"/>
      <c r="G75" s="25" t="n"/>
      <c r="H75" s="25" t="inlineStr">
        <is>
          <t>p = 50; s = firstfield; d = lastfield</t>
        </is>
      </c>
      <c r="I75" s="25" t="n"/>
      <c r="J75" s="25" t="n"/>
      <c r="K75" s="25" t="n"/>
      <c r="L75" s="25" t="n"/>
      <c r="M75" s="25" t="n"/>
      <c r="N75" s="25" t="n"/>
      <c r="O75" s="25" t="n"/>
      <c r="P75" s="25" t="n"/>
      <c r="Q75" s="25" t="n"/>
      <c r="R75" s="25" t="n"/>
      <c r="S75" s="25" t="n"/>
      <c r="T75" s="25" t="n"/>
      <c r="U75" s="25" t="n"/>
      <c r="V75" s="25" t="n"/>
      <c r="W75" s="25" t="n"/>
      <c r="X75" s="25" t="n"/>
      <c r="Y75" s="25" t="n"/>
      <c r="Z75" s="25" t="n"/>
      <c r="AA75" s="25" t="n"/>
      <c r="AB75" s="25" t="n"/>
      <c r="AC75" s="25" t="n"/>
      <c r="AD75" s="25" t="n"/>
    </row>
    <row r="76" ht="17" customFormat="1" customHeight="1" s="24">
      <c r="A76" s="51" t="inlineStr">
        <is>
          <t>begin group</t>
        </is>
      </c>
      <c r="B76" s="25" t="inlineStr">
        <is>
          <t>groupname</t>
        </is>
      </c>
      <c r="C76" s="26" t="inlineStr">
        <is>
          <t>Standard group</t>
        </is>
      </c>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c r="AA76" s="25" t="n"/>
      <c r="AB76" s="25" t="n"/>
      <c r="AC76" s="25" t="n"/>
      <c r="AD76" s="25" t="n"/>
    </row>
    <row r="77" customFormat="1" s="24">
      <c r="A77" s="25" t="inlineStr">
        <is>
          <t>…</t>
        </is>
      </c>
      <c r="B77" s="25" t="n"/>
      <c r="C77" s="26"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c r="AA77" s="25" t="n"/>
      <c r="AB77" s="25" t="n"/>
      <c r="AC77" s="25" t="n"/>
      <c r="AD77" s="25" t="n"/>
    </row>
    <row r="78" customFormat="1" s="24">
      <c r="A78" s="25" t="inlineStr">
        <is>
          <t>end group</t>
        </is>
      </c>
      <c r="B78" s="25" t="inlineStr">
        <is>
          <t>groupname</t>
        </is>
      </c>
      <c r="C78" s="26"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c r="AA78" s="25" t="n"/>
      <c r="AB78" s="25" t="n"/>
      <c r="AC78" s="25" t="n"/>
      <c r="AD78" s="25" t="n"/>
    </row>
    <row r="79" ht="17" customFormat="1" customHeight="1" s="24">
      <c r="A79" s="51" t="inlineStr">
        <is>
          <t>begin repeat</t>
        </is>
      </c>
      <c r="B79" s="25" t="inlineStr">
        <is>
          <t>repeatname</t>
        </is>
      </c>
      <c r="C79" s="26" t="inlineStr">
        <is>
          <t>Standard repeated group</t>
        </is>
      </c>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c r="AA79" s="25" t="n"/>
      <c r="AB79" s="25" t="n"/>
      <c r="AC79" s="25" t="n"/>
      <c r="AD79" s="25" t="n"/>
    </row>
    <row r="80" customFormat="1" s="24">
      <c r="A80" s="25" t="inlineStr">
        <is>
          <t>…</t>
        </is>
      </c>
      <c r="B80" s="25" t="n"/>
      <c r="C80" s="26"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c r="AA80" s="25" t="n"/>
      <c r="AB80" s="25" t="n"/>
      <c r="AC80" s="25" t="n"/>
      <c r="AD80" s="25" t="n"/>
    </row>
    <row r="81" customFormat="1" s="24">
      <c r="A81" s="25" t="inlineStr">
        <is>
          <t>end repeat</t>
        </is>
      </c>
      <c r="B81" s="25" t="inlineStr">
        <is>
          <t>repeatname</t>
        </is>
      </c>
      <c r="C81" s="26"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c r="AA81" s="25" t="n"/>
      <c r="AB81" s="25" t="n"/>
      <c r="AC81" s="25" t="n"/>
      <c r="AD81" s="25" t="n"/>
    </row>
    <row r="82" ht="17" customFormat="1" customHeight="1" s="24">
      <c r="A82" s="51" t="inlineStr">
        <is>
          <t>begin repeat</t>
        </is>
      </c>
      <c r="B82" s="25" t="inlineStr">
        <is>
          <t>repeatname</t>
        </is>
      </c>
      <c r="C82" s="26" t="inlineStr">
        <is>
          <t>Group repeated exactly three times</t>
        </is>
      </c>
      <c r="D82" s="25" t="n"/>
      <c r="E82" s="25" t="n"/>
      <c r="F82" s="25" t="n"/>
      <c r="G82" s="25" t="n"/>
      <c r="H82" s="25" t="n"/>
      <c r="I82" s="25" t="n"/>
      <c r="J82" s="25" t="n"/>
      <c r="K82" s="25" t="n"/>
      <c r="L82" s="25" t="n"/>
      <c r="M82" s="25" t="n"/>
      <c r="N82" s="25" t="n"/>
      <c r="O82" s="25" t="n"/>
      <c r="P82" s="25" t="n"/>
      <c r="Q82" s="25" t="n"/>
      <c r="R82" s="25" t="n"/>
      <c r="S82" s="27" t="n">
        <v>3</v>
      </c>
      <c r="T82" s="25" t="n"/>
      <c r="U82" s="25" t="n"/>
      <c r="V82" s="25" t="n"/>
      <c r="W82" s="25" t="n"/>
      <c r="X82" s="25" t="n"/>
      <c r="Y82" s="25" t="n"/>
      <c r="Z82" s="25" t="n"/>
      <c r="AA82" s="25" t="n"/>
      <c r="AB82" s="25" t="n"/>
      <c r="AC82" s="25" t="n"/>
      <c r="AD82" s="25" t="n"/>
    </row>
    <row r="83" customFormat="1" s="24">
      <c r="A83" s="25" t="inlineStr">
        <is>
          <t>…</t>
        </is>
      </c>
      <c r="B83" s="25" t="n"/>
      <c r="C83" s="26"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c r="AA83" s="25" t="n"/>
      <c r="AB83" s="25" t="n"/>
      <c r="AC83" s="25" t="n"/>
      <c r="AD83" s="25" t="n"/>
    </row>
    <row r="84" customFormat="1" s="24">
      <c r="A84" s="25" t="inlineStr">
        <is>
          <t>end repeat</t>
        </is>
      </c>
      <c r="B84" s="25" t="inlineStr">
        <is>
          <t>repeatname</t>
        </is>
      </c>
      <c r="C84" s="26"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c r="AA84" s="25" t="n"/>
      <c r="AB84" s="25" t="n"/>
      <c r="AC84" s="25" t="n"/>
      <c r="AD84" s="25" t="n"/>
    </row>
    <row r="85" customFormat="1" s="24">
      <c r="A85" s="51" t="inlineStr">
        <is>
          <t>speed violations count</t>
        </is>
      </c>
      <c r="B85" s="25" t="inlineStr">
        <is>
          <t>fieldname</t>
        </is>
      </c>
      <c r="C85" s="26"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c r="AA85" s="25" t="n"/>
      <c r="AB85" s="25" t="n"/>
      <c r="AC85" s="25" t="n"/>
      <c r="AD85" s="25" t="n"/>
    </row>
    <row r="86" customFormat="1" s="24">
      <c r="A86" s="51" t="inlineStr">
        <is>
          <t>speed violations list</t>
        </is>
      </c>
      <c r="B86" s="25" t="inlineStr">
        <is>
          <t>fieldname</t>
        </is>
      </c>
      <c r="C86" s="26"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c r="AA86" s="25" t="n"/>
      <c r="AB86" s="25" t="n"/>
      <c r="AC86" s="25" t="n"/>
      <c r="AD86" s="25" t="n"/>
    </row>
    <row r="87" customFormat="1" s="24">
      <c r="A87" s="51" t="inlineStr">
        <is>
          <t>speed violations audit</t>
        </is>
      </c>
      <c r="B87" s="25" t="inlineStr">
        <is>
          <t>fieldname</t>
        </is>
      </c>
      <c r="C87" s="26" t="n"/>
      <c r="D87" s="25" t="n"/>
      <c r="E87" s="25" t="n"/>
      <c r="F87" s="25" t="n"/>
      <c r="G87" s="25" t="n"/>
      <c r="H87" s="25" t="inlineStr">
        <is>
          <t>v = 5; d = 120</t>
        </is>
      </c>
      <c r="I87" s="25" t="n"/>
      <c r="J87" s="25" t="n"/>
      <c r="K87" s="25" t="n"/>
      <c r="L87" s="25" t="n"/>
      <c r="M87" s="25" t="n"/>
      <c r="N87" s="25" t="n"/>
      <c r="O87" s="25" t="n"/>
      <c r="P87" s="25" t="n"/>
      <c r="Q87" s="25" t="n"/>
      <c r="R87" s="25" t="n"/>
      <c r="S87" s="25" t="n"/>
      <c r="T87" s="25" t="n"/>
      <c r="U87" s="25" t="n"/>
      <c r="V87" s="25" t="n"/>
      <c r="W87" s="25" t="n"/>
      <c r="X87" s="25" t="n"/>
      <c r="Y87" s="25" t="n"/>
      <c r="Z87" s="25" t="n"/>
      <c r="AA87" s="25" t="n"/>
      <c r="AB87" s="25" t="n"/>
      <c r="AC87" s="25" t="n"/>
      <c r="AD87" s="25" t="n"/>
    </row>
    <row r="88" customFormat="1" s="24">
      <c r="A88" s="51" t="inlineStr">
        <is>
          <t>sensor_stream movement</t>
        </is>
      </c>
      <c r="B88" s="25" t="inlineStr">
        <is>
          <t>fieldname</t>
        </is>
      </c>
      <c r="C88" s="26" t="n"/>
      <c r="D88" s="25" t="n"/>
      <c r="E88" s="25" t="n"/>
      <c r="F88" s="25" t="n"/>
      <c r="G88" s="25" t="n"/>
      <c r="H88" s="25" t="inlineStr">
        <is>
          <t>period = 1</t>
        </is>
      </c>
      <c r="I88" s="25" t="n"/>
      <c r="J88" s="25" t="n"/>
      <c r="K88" s="25" t="n"/>
      <c r="L88" s="25" t="n"/>
      <c r="M88" s="25" t="n"/>
      <c r="N88" s="25" t="n"/>
      <c r="O88" s="25" t="n"/>
      <c r="P88" s="25" t="n"/>
      <c r="Q88" s="25" t="n"/>
      <c r="R88" s="25" t="n"/>
      <c r="S88" s="25" t="n"/>
      <c r="T88" s="25" t="n"/>
      <c r="U88" s="25" t="n"/>
      <c r="V88" s="25" t="n"/>
      <c r="W88" s="25" t="n"/>
      <c r="X88" s="25" t="n"/>
      <c r="Y88" s="25" t="n"/>
      <c r="Z88" s="25" t="n"/>
      <c r="AA88" s="25" t="n"/>
      <c r="AB88" s="25" t="n"/>
      <c r="AC88" s="25" t="n"/>
      <c r="AD88" s="25" t="n"/>
    </row>
    <row r="89" customFormat="1" s="24">
      <c r="A89" s="51" t="inlineStr">
        <is>
          <t>sensor_statistic pct_movement_between</t>
        </is>
      </c>
      <c r="B89" s="25" t="inlineStr">
        <is>
          <t>fieldname</t>
        </is>
      </c>
      <c r="C89" s="26" t="n"/>
      <c r="D89" s="25" t="n"/>
      <c r="E89" s="25" t="n"/>
      <c r="F89" s="25" t="n"/>
      <c r="G89" s="25" t="n"/>
      <c r="H89" s="25" t="inlineStr">
        <is>
          <t>min = 0.25; max = 2</t>
        </is>
      </c>
      <c r="I89" s="25" t="n"/>
      <c r="J89" s="25" t="n"/>
      <c r="K89" s="25" t="n"/>
      <c r="L89" s="25" t="n"/>
      <c r="M89" s="25" t="n"/>
      <c r="N89" s="25" t="n"/>
      <c r="O89" s="25" t="n"/>
      <c r="P89" s="25" t="n"/>
      <c r="Q89" s="25" t="n"/>
      <c r="R89" s="25" t="n"/>
      <c r="S89" s="25" t="n"/>
      <c r="T89" s="25" t="n"/>
      <c r="U89" s="25" t="n"/>
      <c r="V89" s="25" t="n"/>
      <c r="W89" s="25" t="n"/>
      <c r="X89" s="25" t="n"/>
      <c r="Y89" s="25" t="n"/>
      <c r="Z89" s="25" t="n"/>
      <c r="AA89" s="25" t="n"/>
      <c r="AB89" s="25" t="n"/>
      <c r="AC89" s="25" t="n"/>
      <c r="AD89" s="25" t="n"/>
    </row>
    <row r="91">
      <c r="A91" s="99" t="inlineStr">
        <is>
          <t>Quick reference for relevance, constraint, and selected calculation expressions</t>
        </is>
      </c>
      <c r="B91" s="154" t="n"/>
      <c r="C91" s="35" t="n"/>
      <c r="D91" s="36" t="n"/>
    </row>
    <row r="92">
      <c r="A92" s="155" t="inlineStr">
        <is>
          <t>Learn about all available expressions in "Using expressions in your forms: a reference for all operators and functions"</t>
        </is>
      </c>
      <c r="B92" s="156" t="n"/>
      <c r="C92" s="154" t="n"/>
      <c r="D92" s="36" t="n"/>
    </row>
    <row r="94">
      <c r="A94" s="14" t="inlineStr">
        <is>
          <t>Operation</t>
        </is>
      </c>
      <c r="B94" s="14" t="inlineStr">
        <is>
          <t>Operator</t>
        </is>
      </c>
      <c r="C94" s="14" t="inlineStr">
        <is>
          <t>Example</t>
        </is>
      </c>
      <c r="D94" s="14" t="inlineStr">
        <is>
          <t>Example answer</t>
        </is>
      </c>
    </row>
    <row r="95">
      <c r="A95" s="15" t="inlineStr">
        <is>
          <t>Addition</t>
        </is>
      </c>
      <c r="B95" s="15" t="inlineStr">
        <is>
          <t>+</t>
        </is>
      </c>
      <c r="C95" s="15" t="inlineStr">
        <is>
          <t>1 + 1</t>
        </is>
      </c>
      <c r="D95" s="15" t="n">
        <v>2</v>
      </c>
    </row>
    <row r="96">
      <c r="A96" s="15" t="inlineStr">
        <is>
          <t>Subtraction</t>
        </is>
      </c>
      <c r="B96" s="15" t="inlineStr">
        <is>
          <t>-</t>
        </is>
      </c>
      <c r="C96" s="16">
        <f>"3 - 2"</f>
        <v/>
      </c>
      <c r="D96" s="15" t="n">
        <v>1</v>
      </c>
    </row>
    <row r="97">
      <c r="A97" s="15" t="inlineStr">
        <is>
          <t>Multiplication</t>
        </is>
      </c>
      <c r="B97" s="15" t="inlineStr">
        <is>
          <t>*</t>
        </is>
      </c>
      <c r="C97" s="15" t="inlineStr">
        <is>
          <t>3 * 2</t>
        </is>
      </c>
      <c r="D97" s="15" t="n">
        <v>6</v>
      </c>
    </row>
    <row r="98">
      <c r="A98" s="15" t="inlineStr">
        <is>
          <t>Division</t>
        </is>
      </c>
      <c r="B98" s="15" t="inlineStr">
        <is>
          <t>div</t>
        </is>
      </c>
      <c r="C98" s="15" t="inlineStr">
        <is>
          <t>10 div 2</t>
        </is>
      </c>
      <c r="D98" s="15" t="n">
        <v>5</v>
      </c>
    </row>
    <row r="99">
      <c r="A99" s="15" t="inlineStr">
        <is>
          <t>Modulus</t>
        </is>
      </c>
      <c r="B99" s="15" t="inlineStr">
        <is>
          <t>mod</t>
        </is>
      </c>
      <c r="C99" s="15" t="inlineStr">
        <is>
          <t>9 mod 2</t>
        </is>
      </c>
      <c r="D99" s="15" t="n">
        <v>1</v>
      </c>
    </row>
    <row r="100">
      <c r="A100" s="15" t="inlineStr">
        <is>
          <t>Equal</t>
        </is>
      </c>
      <c r="B100" s="15" t="inlineStr">
        <is>
          <t>=</t>
        </is>
      </c>
      <c r="C100" s="15" t="inlineStr">
        <is>
          <t>${fieldname} = 3</t>
        </is>
      </c>
      <c r="D100" s="15" t="inlineStr">
        <is>
          <t>true or false</t>
        </is>
      </c>
    </row>
    <row r="101">
      <c r="A101" s="15" t="inlineStr">
        <is>
          <t>Not equal</t>
        </is>
      </c>
      <c r="B101" s="15" t="inlineStr">
        <is>
          <t>!=</t>
        </is>
      </c>
      <c r="C101" s="15" t="inlineStr">
        <is>
          <t>${fieldname} != 3</t>
        </is>
      </c>
      <c r="D101" s="15" t="inlineStr">
        <is>
          <t>true or false</t>
        </is>
      </c>
    </row>
    <row r="102">
      <c r="A102" s="15" t="inlineStr">
        <is>
          <t>Greater-than</t>
        </is>
      </c>
      <c r="B102" s="15" t="inlineStr">
        <is>
          <t>&gt;</t>
        </is>
      </c>
      <c r="C102" s="15" t="inlineStr">
        <is>
          <t>${fieldname} &gt; 3</t>
        </is>
      </c>
      <c r="D102" s="15" t="inlineStr">
        <is>
          <t>true or false</t>
        </is>
      </c>
    </row>
    <row r="103">
      <c r="A103" s="15" t="inlineStr">
        <is>
          <t>&gt;-or-equal</t>
        </is>
      </c>
      <c r="B103" s="15" t="inlineStr">
        <is>
          <t>&gt;=</t>
        </is>
      </c>
      <c r="C103" s="15" t="inlineStr">
        <is>
          <t>${fieldname} &gt;= 3</t>
        </is>
      </c>
      <c r="D103" s="15" t="inlineStr">
        <is>
          <t>true or false</t>
        </is>
      </c>
    </row>
    <row r="104">
      <c r="A104" s="15" t="inlineStr">
        <is>
          <t>Less-than</t>
        </is>
      </c>
      <c r="B104" s="15" t="inlineStr">
        <is>
          <t>&lt;</t>
        </is>
      </c>
      <c r="C104" s="15" t="inlineStr">
        <is>
          <t>${fieldname} &lt; 3</t>
        </is>
      </c>
      <c r="D104" s="15" t="inlineStr">
        <is>
          <t>true or false</t>
        </is>
      </c>
    </row>
    <row r="105">
      <c r="A105" s="15" t="inlineStr">
        <is>
          <t>&lt;-or-equal</t>
        </is>
      </c>
      <c r="B105" s="15" t="inlineStr">
        <is>
          <t>&lt;=</t>
        </is>
      </c>
      <c r="C105" s="15" t="inlineStr">
        <is>
          <t>${fieldname} &lt;= 3</t>
        </is>
      </c>
      <c r="D105" s="15" t="inlineStr">
        <is>
          <t>true or false</t>
        </is>
      </c>
    </row>
    <row r="106">
      <c r="A106" s="15" t="inlineStr">
        <is>
          <t>Or</t>
        </is>
      </c>
      <c r="B106" s="15" t="inlineStr">
        <is>
          <t>or</t>
        </is>
      </c>
      <c r="C106" s="15" t="inlineStr">
        <is>
          <t>${fieldname} = 3 or ${fieldname} = 4</t>
        </is>
      </c>
      <c r="D106" s="15" t="inlineStr">
        <is>
          <t>true or false</t>
        </is>
      </c>
    </row>
    <row r="107">
      <c r="A107" s="15" t="inlineStr">
        <is>
          <t>And</t>
        </is>
      </c>
      <c r="B107" s="15" t="inlineStr">
        <is>
          <t>and</t>
        </is>
      </c>
      <c r="C107" s="15" t="inlineStr">
        <is>
          <t>${fieldname} &gt; 3 and ${fieldname} &lt; 5</t>
        </is>
      </c>
      <c r="D107" s="15" t="inlineStr">
        <is>
          <t>true or false</t>
        </is>
      </c>
    </row>
    <row r="108">
      <c r="A108" s="15" t="inlineStr">
        <is>
          <t>Not</t>
        </is>
      </c>
      <c r="B108" s="15" t="inlineStr">
        <is>
          <t>not()</t>
        </is>
      </c>
      <c r="C108" s="15" t="inlineStr">
        <is>
          <t>not(${fieldname} &gt; 3 and ${fieldname} &lt; 5)</t>
        </is>
      </c>
      <c r="D108" s="15" t="inlineStr">
        <is>
          <t>false or true</t>
        </is>
      </c>
    </row>
    <row r="109">
      <c r="A109" s="17" t="n"/>
      <c r="B109" s="17" t="n"/>
      <c r="C109" s="18" t="n"/>
      <c r="D109" s="17" t="n"/>
    </row>
    <row r="110">
      <c r="A110" s="17" t="n"/>
      <c r="B110" s="14" t="inlineStr">
        <is>
          <t>Function</t>
        </is>
      </c>
      <c r="C110" s="14" t="inlineStr">
        <is>
          <t>Example</t>
        </is>
      </c>
      <c r="D110" s="17" t="n"/>
    </row>
    <row r="111">
      <c r="A111" s="17" t="n"/>
      <c r="B111" s="15" t="inlineStr">
        <is>
          <t>relevant(field)</t>
        </is>
      </c>
      <c r="C111" s="15" t="inlineStr">
        <is>
          <t>relevant(${followup_question})</t>
        </is>
      </c>
      <c r="D111" s="17" t="n"/>
    </row>
    <row r="112" ht="17" customHeight="1">
      <c r="A112" s="17" t="n"/>
      <c r="B112" s="15" t="inlineStr">
        <is>
          <t>empty(field)</t>
        </is>
      </c>
      <c r="C112" s="31" t="inlineStr">
        <is>
          <t>empty(${consent})</t>
        </is>
      </c>
      <c r="D112" s="17" t="n"/>
    </row>
    <row r="113" ht="17" customHeight="1">
      <c r="A113" s="17" t="n"/>
      <c r="B113" s="19" t="inlineStr">
        <is>
          <t>once(expression)</t>
        </is>
      </c>
      <c r="C113" s="20" t="inlineStr">
        <is>
          <t>once(random())</t>
        </is>
      </c>
      <c r="D113" s="17" t="n"/>
    </row>
    <row r="114" ht="17" customHeight="1">
      <c r="A114" s="17" t="n"/>
      <c r="B114" s="20" t="inlineStr">
        <is>
          <t>once(random())</t>
        </is>
      </c>
      <c r="C114" s="20" t="inlineStr">
        <is>
          <t>once(random())</t>
        </is>
      </c>
      <c r="D114" s="17" t="n"/>
    </row>
    <row r="115" ht="34" customHeight="1">
      <c r="A115" s="17" t="n"/>
      <c r="B115" s="20" t="inlineStr">
        <is>
          <t>pulldata(csvname, colname, lookupcolname, lookupval)</t>
        </is>
      </c>
      <c r="C115" s="20" t="inlineStr">
        <is>
          <t>pulldata('hhplotdata', 'plot1size', 'hhid_key', ${hhid})</t>
        </is>
      </c>
      <c r="D115" s="17" t="n"/>
    </row>
    <row r="116" ht="17" customHeight="1">
      <c r="A116" s="17" t="n"/>
      <c r="B116" s="20" t="inlineStr">
        <is>
          <t>string-length(field)</t>
        </is>
      </c>
      <c r="C116" s="20" t="inlineStr">
        <is>
          <t>string-length(.) &gt; 3</t>
        </is>
      </c>
      <c r="D116" s="17" t="n"/>
    </row>
    <row r="117" ht="17" customHeight="1">
      <c r="A117" s="17" t="n"/>
      <c r="B117" s="20" t="inlineStr">
        <is>
          <t>count-selected(field)</t>
        </is>
      </c>
      <c r="C117" s="20" t="inlineStr">
        <is>
          <t>count-selected(.) &gt;= 1</t>
        </is>
      </c>
      <c r="D117" s="17" t="n"/>
    </row>
    <row r="118" ht="17" customHeight="1">
      <c r="A118" s="17" t="n"/>
      <c r="B118" s="20" t="inlineStr">
        <is>
          <t>selected(field, value)</t>
        </is>
      </c>
      <c r="C118" s="20" t="inlineStr">
        <is>
          <t>selected(${fieldname}, 'Male')</t>
        </is>
      </c>
      <c r="D118" s="17" t="n"/>
    </row>
    <row r="119" ht="17" customHeight="1">
      <c r="A119" s="17" t="n"/>
      <c r="B119" s="20" t="inlineStr">
        <is>
          <t>selected-at(field, number)</t>
        </is>
      </c>
      <c r="C119" s="20" t="inlineStr">
        <is>
          <t>selected-at(${fieldname}, 0) = 'Shona'</t>
        </is>
      </c>
      <c r="D119" s="17" t="n"/>
    </row>
    <row r="120" ht="34" customHeight="1">
      <c r="A120" s="17" t="n"/>
      <c r="B120" s="20" t="inlineStr">
        <is>
          <t>choice-label(field, value)</t>
        </is>
      </c>
      <c r="C120" s="20" t="inlineStr">
        <is>
          <t>choice-label(${selectonefield}, ${selectonefield})</t>
        </is>
      </c>
      <c r="D120" s="17" t="n"/>
    </row>
    <row r="121" ht="17" customHeight="1">
      <c r="A121" s="17" t="n"/>
      <c r="B121" s="20" t="inlineStr">
        <is>
          <t>concat(fieldorstring, fieldorstring, ...)</t>
        </is>
      </c>
      <c r="C121" s="20" t="inlineStr">
        <is>
          <t>concat(${firstname}, ' ', ${lastname})</t>
        </is>
      </c>
      <c r="D121" s="17" t="n"/>
    </row>
    <row r="122" ht="17" customHeight="1">
      <c r="A122" s="17" t="n"/>
      <c r="B122" s="20" t="inlineStr">
        <is>
          <t>index()</t>
        </is>
      </c>
      <c r="C122" s="20" t="inlineStr">
        <is>
          <t>index()</t>
        </is>
      </c>
      <c r="D122" s="17" t="n"/>
    </row>
    <row r="123" ht="17" customHeight="1">
      <c r="A123" s="17" t="n"/>
      <c r="B123" s="20" t="inlineStr">
        <is>
          <t>count(repeatgroup)</t>
        </is>
      </c>
      <c r="C123" s="20" t="inlineStr">
        <is>
          <t>count(${repeatgroupname})</t>
        </is>
      </c>
      <c r="D123" s="17" t="n"/>
    </row>
    <row r="124" ht="17" customHeight="1">
      <c r="A124" s="17" t="n"/>
      <c r="B124" s="20" t="inlineStr">
        <is>
          <t>sum(repeatedfield)</t>
        </is>
      </c>
      <c r="C124" s="20" t="inlineStr">
        <is>
          <t>sum(${loan_size})</t>
        </is>
      </c>
      <c r="D124" s="17" t="n"/>
    </row>
    <row r="125" ht="17" customHeight="1">
      <c r="A125" s="17" t="n"/>
      <c r="B125" s="20" t="inlineStr">
        <is>
          <t>join(string, repeatedfield)</t>
        </is>
      </c>
      <c r="C125" s="20" t="inlineStr">
        <is>
          <t>join(' ,', ${hh_member_name})</t>
        </is>
      </c>
      <c r="D125" s="17" t="n"/>
    </row>
    <row r="126" ht="17" customHeight="1">
      <c r="A126" s="17" t="n"/>
      <c r="B126" s="20" t="inlineStr">
        <is>
          <t>min(repeatedfield)</t>
        </is>
      </c>
      <c r="C126" s="20" t="inlineStr">
        <is>
          <t>min(${hh_member_age})</t>
        </is>
      </c>
      <c r="D126" s="17" t="n"/>
    </row>
    <row r="127" ht="17" customHeight="1">
      <c r="A127" s="17" t="n"/>
      <c r="B127" s="20" t="inlineStr">
        <is>
          <t>max(repeatedfield)</t>
        </is>
      </c>
      <c r="C127" s="20" t="inlineStr">
        <is>
          <t>max(${hh_member_age})</t>
        </is>
      </c>
      <c r="D127" s="17" t="n"/>
    </row>
    <row r="128" ht="34" customHeight="1">
      <c r="A128" s="17" t="n"/>
      <c r="B128" s="20" t="inlineStr">
        <is>
          <t>indexed-repeat(repeatedfield, repeatgroup, index)</t>
        </is>
      </c>
      <c r="C128" s="20" t="inlineStr">
        <is>
          <t>indexed-repeat(${name}, ${names}, 1)</t>
        </is>
      </c>
      <c r="D128" s="17" t="n"/>
    </row>
    <row r="129" ht="17" customHeight="1">
      <c r="A129" s="17" t="n"/>
      <c r="B129" s="20" t="inlineStr">
        <is>
          <t>substr(fieldorstring, startindex, endindex)</t>
        </is>
      </c>
      <c r="C129" s="20" t="inlineStr">
        <is>
          <t>substr(${phone}, 0, 3)</t>
        </is>
      </c>
      <c r="D129" s="17" t="n"/>
    </row>
    <row r="130" ht="17" customHeight="1">
      <c r="A130" s="17" t="n"/>
      <c r="B130" s="20" t="inlineStr">
        <is>
          <t>coalesce(field1, field2)</t>
        </is>
      </c>
      <c r="C130" s="20" t="inlineStr">
        <is>
          <t>coalesce(${id}, ${id2})</t>
        </is>
      </c>
      <c r="D130" s="17" t="n"/>
    </row>
    <row r="131" ht="17" customHeight="1">
      <c r="A131" s="17" t="n"/>
      <c r="B131" s="20" t="inlineStr">
        <is>
          <t>round(field, digits)</t>
        </is>
      </c>
      <c r="C131" s="20" t="inlineStr">
        <is>
          <t>round(${interest_rate}, 2)</t>
        </is>
      </c>
      <c r="D131" s="17" t="n"/>
    </row>
    <row r="132" ht="34" customHeight="1">
      <c r="A132" s="17" t="n"/>
      <c r="B132" s="20" t="inlineStr">
        <is>
          <t>regex(field, expression)</t>
        </is>
      </c>
      <c r="C132" s="20" t="inlineStr">
        <is>
          <t>regex(., '[A-Za-z0-9._%+-]+@[A-Za-z0-9.-]+.[A-Za-z]{2,4}')</t>
        </is>
      </c>
      <c r="D132" s="17" t="n"/>
    </row>
    <row r="133" ht="51" customHeight="1">
      <c r="A133" s="17" t="n"/>
      <c r="B133" s="20" t="inlineStr">
        <is>
          <t>if(expression, valueiftrue, valueiffalse)</t>
        </is>
      </c>
      <c r="C133" s="20" t="inlineStr">
        <is>
          <t>if(selected(${country}, 'South Africa') or selected(${country}, 'Zimbabwe'), 'SADC', 'Non-SADC')</t>
        </is>
      </c>
      <c r="D133" s="17" t="n"/>
    </row>
    <row r="134" ht="17" customHeight="1">
      <c r="A134" s="17" t="n"/>
      <c r="B134" s="21" t="inlineStr">
        <is>
          <t>today()</t>
        </is>
      </c>
      <c r="C134" s="21" t="inlineStr">
        <is>
          <t>format-date-time(today(), '%Y-%b-%e')</t>
        </is>
      </c>
      <c r="D134" s="17" t="n"/>
    </row>
    <row r="135" ht="34" customHeight="1">
      <c r="A135" s="17" t="n"/>
      <c r="B135" s="21" t="inlineStr">
        <is>
          <t>now()</t>
        </is>
      </c>
      <c r="C135" s="21" t="inlineStr">
        <is>
          <t>once(format-date-time(now(), '%Y-%b-%e %H:%M:%S'))</t>
        </is>
      </c>
      <c r="D135" s="17" t="n"/>
    </row>
    <row r="136" ht="17" customHeight="1">
      <c r="A136" s="17" t="n"/>
      <c r="B136" s="21" t="inlineStr">
        <is>
          <t>username()</t>
        </is>
      </c>
      <c r="C136" s="21" t="inlineStr">
        <is>
          <t>username()</t>
        </is>
      </c>
      <c r="D136" s="17" t="n"/>
    </row>
    <row r="137" ht="17" customHeight="1">
      <c r="A137" s="17" t="n"/>
      <c r="B137" s="21" t="inlineStr">
        <is>
          <t>duration()</t>
        </is>
      </c>
      <c r="C137" s="21" t="inlineStr">
        <is>
          <t>duration()</t>
        </is>
      </c>
      <c r="D137" s="17" t="n"/>
    </row>
    <row r="138" ht="17" customHeight="1">
      <c r="A138" s="17" t="n"/>
      <c r="B138" s="21" t="inlineStr">
        <is>
          <t>rank-index(index, repeatedfield)</t>
        </is>
      </c>
      <c r="C138" s="21" t="inlineStr">
        <is>
          <t>rank-index(1, ${random_draw})</t>
        </is>
      </c>
      <c r="D138" s="17" t="n"/>
    </row>
    <row r="139" ht="34" customHeight="1">
      <c r="A139" s="17" t="n"/>
      <c r="B139" s="21" t="inlineStr">
        <is>
          <t>rank-value(fieldorvalue, fieldorlist)</t>
        </is>
      </c>
      <c r="C139" s="21" t="inlineStr">
        <is>
          <t>rank-value(${random_draw}, ${list_of_draws})</t>
        </is>
      </c>
      <c r="D139" s="17" t="n"/>
    </row>
    <row r="140" ht="17" customHeight="1">
      <c r="A140" s="17" t="n"/>
      <c r="B140" s="21" t="inlineStr">
        <is>
          <t>de-duplicate(string, field)</t>
        </is>
      </c>
      <c r="C140" s="21" t="inlineStr">
        <is>
          <t>de-duplicate(' ', join(' ', ${repeatedfield}))</t>
        </is>
      </c>
      <c r="D140" s="17" t="n"/>
    </row>
    <row r="141" ht="34" customHeight="1">
      <c r="A141" s="17" t="n"/>
      <c r="B141" s="21" t="inlineStr">
        <is>
          <t>distance-between(geopointfield1, geopointfield2)</t>
        </is>
      </c>
      <c r="C141" s="21" t="inlineStr">
        <is>
          <t>distance-between(${start_gps}, ${end_gps})</t>
        </is>
      </c>
      <c r="D141" s="17" t="n"/>
    </row>
    <row r="142" ht="17" customHeight="1">
      <c r="A142" s="17" t="n"/>
      <c r="B142" s="21" t="inlineStr">
        <is>
          <t>area(repeatedgeopointfield)</t>
        </is>
      </c>
      <c r="C142" s="21" t="inlineStr">
        <is>
          <t>area(${gps_reading})</t>
        </is>
      </c>
      <c r="D142" s="17" t="n"/>
    </row>
    <row r="143" ht="17" customHeight="1">
      <c r="A143" s="17" t="n"/>
      <c r="B143" s="21" t="inlineStr">
        <is>
          <t>phone-call-log()</t>
        </is>
      </c>
      <c r="C143" s="21" t="inlineStr">
        <is>
          <t>phone-call-log()</t>
        </is>
      </c>
      <c r="D143" s="17" t="n"/>
    </row>
    <row r="144" ht="17" customHeight="1">
      <c r="A144" s="33" t="n"/>
      <c r="B144" s="34" t="inlineStr">
        <is>
          <t>plug-in-metadata(field)</t>
        </is>
      </c>
      <c r="C144" s="34" t="inlineStr">
        <is>
          <t>plug-in-metadata(${counter})</t>
        </is>
      </c>
      <c r="D144" s="33" t="n"/>
    </row>
    <row r="145">
      <c r="B145" s="32" t="n"/>
      <c r="C145" s="32" t="n"/>
    </row>
    <row r="146">
      <c r="B146" s="32" t="n"/>
      <c r="C146" s="32" t="n"/>
    </row>
    <row r="147">
      <c r="B147" s="32" t="n"/>
      <c r="C147" s="32" t="n"/>
    </row>
    <row r="148">
      <c r="B148" s="32" t="n"/>
      <c r="C148" s="32" t="n"/>
    </row>
    <row r="149">
      <c r="B149" s="32" t="n"/>
      <c r="C149" s="32" t="n"/>
    </row>
    <row r="150">
      <c r="B150" s="32" t="n"/>
      <c r="C150" s="32" t="n"/>
    </row>
    <row r="151">
      <c r="B151" s="32" t="n"/>
      <c r="C151" s="32" t="n"/>
    </row>
    <row r="152">
      <c r="B152" s="32" t="n"/>
      <c r="C152" s="32" t="n"/>
    </row>
    <row r="153">
      <c r="B153" s="32" t="n"/>
      <c r="C153" s="32" t="n"/>
    </row>
    <row r="154">
      <c r="B154" s="32" t="n"/>
      <c r="C154" s="32" t="n"/>
    </row>
    <row r="155">
      <c r="B155" s="32" t="n"/>
      <c r="C155" s="32" t="n"/>
    </row>
  </sheetData>
  <mergeCells count="7">
    <mergeCell ref="A4:B4"/>
    <mergeCell ref="A2:B2"/>
    <mergeCell ref="A10:B10"/>
    <mergeCell ref="A92:C92"/>
    <mergeCell ref="A1:B1"/>
    <mergeCell ref="A3:B3"/>
    <mergeCell ref="A91:B91"/>
  </mergeCells>
  <conditionalFormatting sqref="A6:J6 L6:O6 Q6:S6">
    <cfRule type="expression" priority="95" dxfId="3" stopIfTrue="1">
      <formula>$A6="begin repeat"</formula>
    </cfRule>
    <cfRule type="expression" priority="96" dxfId="1" stopIfTrue="1">
      <formula>$A6="end group"</formula>
    </cfRule>
    <cfRule type="expression" priority="98" dxfId="1" stopIfTrue="1">
      <formula>$A6="begin group"</formula>
    </cfRule>
  </conditionalFormatting>
  <conditionalFormatting sqref="A6:J6 Q6:S6">
    <cfRule type="expression" priority="75" dxfId="14" stopIfTrue="1">
      <formula>OR($A6="calculate", $A6="calculate_here")</formula>
    </cfRule>
    <cfRule type="expression" priority="77" dxfId="13" stopIfTrue="1">
      <formula>$A6="note"</formula>
    </cfRule>
    <cfRule type="expression" priority="79" dxfId="12" stopIfTrue="1">
      <formula>$A6="barcode"</formula>
    </cfRule>
    <cfRule type="expression" priority="81" dxfId="11" stopIfTrue="1">
      <formula>$A6="geopoint"</formula>
    </cfRule>
    <cfRule type="expression" priority="83" dxfId="10" stopIfTrue="1">
      <formula>OR($A6="audio audit", $A6="text audit")</formula>
    </cfRule>
    <cfRule type="expression" priority="84" dxfId="9" stopIfTrue="1">
      <formula>OR($A6="phonenumber", $A6="start", $A6="end", $A6="deviceid", $A6="subscriberid", $A6="simserial")</formula>
    </cfRule>
    <cfRule type="expression" priority="86" dxfId="8" stopIfTrue="1">
      <formula>OR(AND(LEFT($A6, 16)="select_multiple ", LEN($A6)&gt;16, NOT(ISNUMBER(SEARCH(" ", $A6, 17)))), AND(LEFT($A6, 11)="select_one ", LEN($A6)&gt;11, NOT(ISNUMBER(SEARCH(" ", $A6, 12)))))</formula>
    </cfRule>
    <cfRule type="expression" priority="88" dxfId="7" stopIfTrue="1">
      <formula>$A6="decimal"</formula>
    </cfRule>
    <cfRule type="expression" priority="90" dxfId="6" stopIfTrue="1">
      <formula>$A6="integer"</formula>
    </cfRule>
    <cfRule type="expression" priority="92" dxfId="5" stopIfTrue="1">
      <formula>$A6="text"</formula>
    </cfRule>
    <cfRule type="expression" priority="93" dxfId="3" stopIfTrue="1">
      <formula>$A6="end repeat"</formula>
    </cfRule>
  </conditionalFormatting>
  <conditionalFormatting sqref="A6:J6">
    <cfRule type="expression" priority="67" dxfId="25" stopIfTrue="1">
      <formula>$A6="comments"</formula>
    </cfRule>
    <cfRule type="expression" priority="69" dxfId="24" stopIfTrue="1">
      <formula>OR($A6="audio", $A6="video")</formula>
    </cfRule>
    <cfRule type="expression" priority="71" dxfId="23" stopIfTrue="1">
      <formula>$A6="image"</formula>
    </cfRule>
    <cfRule type="expression" priority="73" dxfId="22" stopIfTrue="1">
      <formula>OR($A6="date", $A6="datetime")</formula>
    </cfRule>
  </conditionalFormatting>
  <conditionalFormatting sqref="B6 H6">
    <cfRule type="expression" priority="82" dxfId="65" stopIfTrue="1">
      <formula>OR($A6="audio audit", $A6="text audit")</formula>
    </cfRule>
  </conditionalFormatting>
  <conditionalFormatting sqref="B6 R6">
    <cfRule type="expression" priority="74" dxfId="64" stopIfTrue="1">
      <formula>OR($A6="calculate", $A6="calculate_here")</formula>
    </cfRule>
  </conditionalFormatting>
  <conditionalFormatting sqref="B6">
    <cfRule type="expression" priority="66" dxfId="63" stopIfTrue="1">
      <formula>$A6="comments"</formula>
    </cfRule>
  </conditionalFormatting>
  <conditionalFormatting sqref="B6:C6 H6 L6">
    <cfRule type="expression" priority="97" dxfId="42" stopIfTrue="1">
      <formula>$A6="begin group"</formula>
    </cfRule>
  </conditionalFormatting>
  <conditionalFormatting sqref="B6:C6 H6">
    <cfRule type="expression" priority="70" dxfId="49" stopIfTrue="1">
      <formula>$A6="image"</formula>
    </cfRule>
    <cfRule type="expression" priority="72" dxfId="48" stopIfTrue="1">
      <formula>OR($A6="date", $A6="datetime")</formula>
    </cfRule>
    <cfRule type="expression" priority="85" dxfId="44" stopIfTrue="1">
      <formula>OR(AND(LEFT($A6, 16)="select_multiple ", LEN($A6)&gt;16, NOT(ISNUMBER(SEARCH(" ", $A6, 17)))), AND(LEFT($A6, 11)="select_one ", LEN($A6)&gt;11, NOT(ISNUMBER(SEARCH(" ", $A6, 12)))))</formula>
    </cfRule>
  </conditionalFormatting>
  <conditionalFormatting sqref="B6:C6 L6 S6">
    <cfRule type="expression" priority="94" dxfId="43" stopIfTrue="1">
      <formula>$A6="begin repeat"</formula>
    </cfRule>
  </conditionalFormatting>
  <conditionalFormatting sqref="B6:C6">
    <cfRule type="expression" priority="68" dxfId="50" stopIfTrue="1">
      <formula>OR($A6="audio", $A6="video")</formula>
    </cfRule>
    <cfRule type="expression" priority="76" dxfId="47" stopIfTrue="1">
      <formula>$A6="note"</formula>
    </cfRule>
    <cfRule type="expression" priority="78" dxfId="46" stopIfTrue="1">
      <formula>$A6="barcode"</formula>
    </cfRule>
    <cfRule type="expression" priority="80" dxfId="45" stopIfTrue="1">
      <formula>$A6="geopoint"</formula>
    </cfRule>
  </conditionalFormatting>
  <conditionalFormatting sqref="B6:F6 H6">
    <cfRule type="expression" priority="91" dxfId="53" stopIfTrue="1">
      <formula>$A6="text"</formula>
    </cfRule>
  </conditionalFormatting>
  <conditionalFormatting sqref="B6:F6 I6:J6">
    <cfRule type="expression" priority="87" dxfId="41" stopIfTrue="1">
      <formula>$A6="decimal"</formula>
    </cfRule>
    <cfRule type="expression" priority="89" dxfId="40" stopIfTrue="1">
      <formula>$A6="integer"</formula>
    </cfRule>
  </conditionalFormatting>
  <conditionalFormatting sqref="D6">
    <cfRule type="expression" priority="39" dxfId="50" stopIfTrue="1">
      <formula>OR($A6="audio", $A6="video")</formula>
    </cfRule>
    <cfRule type="expression" priority="40" dxfId="49" stopIfTrue="1">
      <formula>$A6="image"</formula>
    </cfRule>
    <cfRule type="expression" priority="41" dxfId="48" stopIfTrue="1">
      <formula>OR($A6="date", $A6="datetime")</formula>
    </cfRule>
    <cfRule type="expression" priority="42" dxfId="47" stopIfTrue="1">
      <formula>$A6="note"</formula>
    </cfRule>
    <cfRule type="expression" priority="43" dxfId="46" stopIfTrue="1">
      <formula>$A6="barcode"</formula>
    </cfRule>
    <cfRule type="expression" priority="44" dxfId="45" stopIfTrue="1">
      <formula>$A6="geopoint"</formula>
    </cfRule>
    <cfRule type="expression" priority="45" dxfId="44" stopIfTrue="1">
      <formula>OR(AND(LEFT($A6, 16)="select_multiple ", LEN($A6)&gt;16, NOT(ISNUMBER(SEARCH(" ", $A6, 17)))), AND(LEFT($A6, 11)="select_one ", LEN($A6)&gt;11, NOT(ISNUMBER(SEARCH(" ", $A6, 12)))))</formula>
    </cfRule>
    <cfRule type="expression" priority="46" dxfId="43" stopIfTrue="1">
      <formula>$A6="begin repeat"</formula>
    </cfRule>
    <cfRule type="expression" priority="47" dxfId="42" stopIfTrue="1">
      <formula>$A6="begin group"</formula>
    </cfRule>
  </conditionalFormatting>
  <conditionalFormatting sqref="K6">
    <cfRule type="expression" priority="30" dxfId="41" stopIfTrue="1">
      <formula>$A6="decimal"</formula>
    </cfRule>
    <cfRule type="expression" priority="32" dxfId="40" stopIfTrue="1">
      <formula>$A6="integer"</formula>
    </cfRule>
    <cfRule type="expression" priority="36" dxfId="3" stopIfTrue="1">
      <formula>$A6="begin repeat"</formula>
    </cfRule>
    <cfRule type="expression" priority="37" dxfId="1" stopIfTrue="1">
      <formula>$A6="end group"</formula>
    </cfRule>
    <cfRule type="expression" priority="38" dxfId="1" stopIfTrue="1">
      <formula>$A6="begin group"</formula>
    </cfRule>
  </conditionalFormatting>
  <conditionalFormatting sqref="K6:O6">
    <cfRule type="expression" priority="31" dxfId="7" stopIfTrue="1">
      <formula>$A6="decimal"</formula>
    </cfRule>
    <cfRule type="expression" priority="33" dxfId="6" stopIfTrue="1">
      <formula>$A6="integer"</formula>
    </cfRule>
    <cfRule type="expression" priority="34" dxfId="5" stopIfTrue="1">
      <formula>$A6="text"</formula>
    </cfRule>
    <cfRule type="expression" priority="35" dxfId="3" stopIfTrue="1">
      <formula>$A6="end repeat"</formula>
    </cfRule>
  </conditionalFormatting>
  <conditionalFormatting sqref="K6:P6">
    <cfRule type="expression" priority="5" dxfId="14" stopIfTrue="1">
      <formula>OR($A6="calculate", $A6="calculate_here")</formula>
    </cfRule>
    <cfRule type="expression" priority="6" dxfId="13" stopIfTrue="1">
      <formula>$A6="note"</formula>
    </cfRule>
    <cfRule type="expression" priority="7" dxfId="12" stopIfTrue="1">
      <formula>$A6="barcode"</formula>
    </cfRule>
    <cfRule type="expression" priority="8" dxfId="11" stopIfTrue="1">
      <formula>$A6="geopoint"</formula>
    </cfRule>
    <cfRule type="expression" priority="9" dxfId="10" stopIfTrue="1">
      <formula>OR($A6="audio audit", $A6="text audit")</formula>
    </cfRule>
    <cfRule type="expression" priority="10" dxfId="9" stopIfTrue="1">
      <formula>OR($A6="phonenumber", $A6="start", $A6="end", $A6="deviceid", $A6="subscriberid", $A6="simserial")</formula>
    </cfRule>
    <cfRule type="expression" priority="11" dxfId="8" stopIfTrue="1">
      <formula>OR(AND(LEFT($A6, 16)="select_multiple ", LEN($A6)&gt;16, NOT(ISNUMBER(SEARCH(" ", $A6, 17)))), AND(LEFT($A6, 11)="select_one ", LEN($A6)&gt;11, NOT(ISNUMBER(SEARCH(" ", $A6, 12)))))</formula>
    </cfRule>
  </conditionalFormatting>
  <conditionalFormatting sqref="K6:AD6">
    <cfRule type="expression" priority="1" dxfId="25" stopIfTrue="1">
      <formula>$A6="comments"</formula>
    </cfRule>
    <cfRule type="expression" priority="2" dxfId="24" stopIfTrue="1">
      <formula>OR($A6="audio", $A6="video")</formula>
    </cfRule>
    <cfRule type="expression" priority="3" dxfId="23" stopIfTrue="1">
      <formula>$A6="image"</formula>
    </cfRule>
    <cfRule type="expression" priority="4" dxfId="22" stopIfTrue="1">
      <formula>OR($A6="date", $A6="datetime")</formula>
    </cfRule>
  </conditionalFormatting>
  <conditionalFormatting sqref="P6">
    <cfRule type="expression" priority="12" dxfId="7" stopIfTrue="1">
      <formula>$A6="decimal"</formula>
    </cfRule>
    <cfRule type="expression" priority="13" dxfId="6" stopIfTrue="1">
      <formula>$A6="integer"</formula>
    </cfRule>
    <cfRule type="expression" priority="14" dxfId="5" stopIfTrue="1">
      <formula>$A6="text"</formula>
    </cfRule>
    <cfRule type="expression" priority="15" dxfId="3" stopIfTrue="1">
      <formula>$A6="end repeat"</formula>
    </cfRule>
    <cfRule type="expression" priority="16" dxfId="3" stopIfTrue="1">
      <formula>$A6="begin repeat"</formula>
    </cfRule>
    <cfRule type="expression" priority="17" dxfId="1" stopIfTrue="1">
      <formula>$A6="end group"</formula>
    </cfRule>
    <cfRule type="expression" priority="18" dxfId="1" stopIfTrue="1">
      <formula>$A6="begin group"</formula>
    </cfRule>
  </conditionalFormatting>
  <conditionalFormatting sqref="T6:AD6">
    <cfRule type="expression" priority="52" dxfId="14" stopIfTrue="1">
      <formula>OR($A6="calculate", $A6="calculate_here")</formula>
    </cfRule>
    <cfRule type="expression" priority="53" dxfId="13" stopIfTrue="1">
      <formula>$A6="note"</formula>
    </cfRule>
    <cfRule type="expression" priority="54" dxfId="12" stopIfTrue="1">
      <formula>$A6="barcode"</formula>
    </cfRule>
    <cfRule type="expression" priority="55" dxfId="11" stopIfTrue="1">
      <formula>$A6="geopoint"</formula>
    </cfRule>
    <cfRule type="expression" priority="56" dxfId="10" stopIfTrue="1">
      <formula>OR($A6="audio audit", $A6="text audit")</formula>
    </cfRule>
    <cfRule type="expression" priority="57" dxfId="9" stopIfTrue="1">
      <formula>OR($A6="phonenumber", $A6="start", $A6="end", $A6="deviceid", $A6="subscriberid", $A6="simserial")</formula>
    </cfRule>
    <cfRule type="expression" priority="58" dxfId="8" stopIfTrue="1">
      <formula>OR(AND(LEFT($A6, 16)="select_multiple ", LEN($A6)&gt;16, NOT(ISNUMBER(SEARCH(" ", $A6, 17)))), AND(LEFT($A6, 11)="select_one ", LEN($A6)&gt;11, NOT(ISNUMBER(SEARCH(" ", $A6, 12)))))</formula>
    </cfRule>
    <cfRule type="expression" priority="59" dxfId="7" stopIfTrue="1">
      <formula>$A6="decimal"</formula>
    </cfRule>
    <cfRule type="expression" priority="60" dxfId="6" stopIfTrue="1">
      <formula>$A6="integer"</formula>
    </cfRule>
    <cfRule type="expression" priority="61" dxfId="5" stopIfTrue="1">
      <formula>$A6="text"</formula>
    </cfRule>
    <cfRule type="expression" priority="62" dxfId="3" stopIfTrue="1">
      <formula>$A6="end repeat"</formula>
    </cfRule>
    <cfRule type="expression" priority="63" dxfId="3" stopIfTrue="1">
      <formula>$A6="begin repeat"</formula>
    </cfRule>
    <cfRule type="expression" priority="64" dxfId="1" stopIfTrue="1">
      <formula>$A6="end group"</formula>
    </cfRule>
    <cfRule type="expression" priority="65" dxfId="1" stopIfTrue="1">
      <formula>$A6="begin group"</formula>
    </cfRule>
  </conditionalFormatting>
  <hyperlinks>
    <hyperlink xmlns:r="http://schemas.openxmlformats.org/officeDocument/2006/relationships" ref="A4" display="Click here to learn more about form definitions and field types" r:id="rId1"/>
    <hyperlink xmlns:r="http://schemas.openxmlformats.org/officeDocument/2006/relationships" ref="D8" r:id="rId2"/>
    <hyperlink xmlns:r="http://schemas.openxmlformats.org/officeDocument/2006/relationships" ref="F8" r:id="rId3"/>
    <hyperlink xmlns:r="http://schemas.openxmlformats.org/officeDocument/2006/relationships" ref="G8" r:id="rId4"/>
    <hyperlink xmlns:r="http://schemas.openxmlformats.org/officeDocument/2006/relationships" ref="I8" r:id="rId5"/>
    <hyperlink xmlns:r="http://schemas.openxmlformats.org/officeDocument/2006/relationships" ref="J8" r:id="rId6"/>
    <hyperlink xmlns:r="http://schemas.openxmlformats.org/officeDocument/2006/relationships" ref="L8" r:id="rId7"/>
    <hyperlink xmlns:r="http://schemas.openxmlformats.org/officeDocument/2006/relationships" ref="M8" r:id="rId8"/>
    <hyperlink xmlns:r="http://schemas.openxmlformats.org/officeDocument/2006/relationships" ref="N8" r:id="rId9"/>
    <hyperlink xmlns:r="http://schemas.openxmlformats.org/officeDocument/2006/relationships" ref="O8" r:id="rId10"/>
    <hyperlink xmlns:r="http://schemas.openxmlformats.org/officeDocument/2006/relationships" ref="Q8" r:id="rId11"/>
    <hyperlink xmlns:r="http://schemas.openxmlformats.org/officeDocument/2006/relationships" ref="R8" r:id="rId12"/>
    <hyperlink xmlns:r="http://schemas.openxmlformats.org/officeDocument/2006/relationships" ref="S8" r:id="rId13"/>
    <hyperlink xmlns:r="http://schemas.openxmlformats.org/officeDocument/2006/relationships" ref="T8" r:id="rId14"/>
    <hyperlink xmlns:r="http://schemas.openxmlformats.org/officeDocument/2006/relationships" ref="U8" r:id="rId15"/>
    <hyperlink xmlns:r="http://schemas.openxmlformats.org/officeDocument/2006/relationships" ref="V8" r:id="rId16"/>
    <hyperlink xmlns:r="http://schemas.openxmlformats.org/officeDocument/2006/relationships" ref="W8" r:id="rId17"/>
    <hyperlink xmlns:r="http://schemas.openxmlformats.org/officeDocument/2006/relationships" ref="X8" r:id="rId18"/>
    <hyperlink xmlns:r="http://schemas.openxmlformats.org/officeDocument/2006/relationships" ref="Y8" r:id="rId19"/>
    <hyperlink xmlns:r="http://schemas.openxmlformats.org/officeDocument/2006/relationships" ref="Z8" r:id="rId20"/>
    <hyperlink xmlns:r="http://schemas.openxmlformats.org/officeDocument/2006/relationships" ref="AA8" r:id="rId21"/>
    <hyperlink xmlns:r="http://schemas.openxmlformats.org/officeDocument/2006/relationships" ref="AB8" r:id="rId22"/>
    <hyperlink xmlns:r="http://schemas.openxmlformats.org/officeDocument/2006/relationships" ref="AC8" r:id="rId23"/>
    <hyperlink xmlns:r="http://schemas.openxmlformats.org/officeDocument/2006/relationships" ref="AD8" r:id="rId24"/>
    <hyperlink xmlns:r="http://schemas.openxmlformats.org/officeDocument/2006/relationships" ref="A12" r:id="rId25"/>
    <hyperlink xmlns:r="http://schemas.openxmlformats.org/officeDocument/2006/relationships" ref="A13" r:id="rId26"/>
    <hyperlink xmlns:r="http://schemas.openxmlformats.org/officeDocument/2006/relationships" ref="A14" r:id="rId27"/>
    <hyperlink xmlns:r="http://schemas.openxmlformats.org/officeDocument/2006/relationships" ref="A15" r:id="rId28"/>
    <hyperlink xmlns:r="http://schemas.openxmlformats.org/officeDocument/2006/relationships" ref="A16" display="text" r:id="rId29"/>
    <hyperlink xmlns:r="http://schemas.openxmlformats.org/officeDocument/2006/relationships" ref="A17" display="text" r:id="rId30"/>
    <hyperlink xmlns:r="http://schemas.openxmlformats.org/officeDocument/2006/relationships" ref="A18" r:id="rId31"/>
    <hyperlink xmlns:r="http://schemas.openxmlformats.org/officeDocument/2006/relationships" ref="A19" r:id="rId32"/>
    <hyperlink xmlns:r="http://schemas.openxmlformats.org/officeDocument/2006/relationships" ref="A20" display="select_one listname" r:id="rId33"/>
    <hyperlink xmlns:r="http://schemas.openxmlformats.org/officeDocument/2006/relationships" ref="A21" display="select_one listname" r:id="rId34"/>
    <hyperlink xmlns:r="http://schemas.openxmlformats.org/officeDocument/2006/relationships" ref="A22" display="select_one listname" r:id="rId35"/>
    <hyperlink xmlns:r="http://schemas.openxmlformats.org/officeDocument/2006/relationships" ref="A23" display="select_one listname" r:id="rId36"/>
    <hyperlink xmlns:r="http://schemas.openxmlformats.org/officeDocument/2006/relationships" ref="A24" display="select_one listname" r:id="rId37"/>
    <hyperlink xmlns:r="http://schemas.openxmlformats.org/officeDocument/2006/relationships" ref="A25" display="select_one listname" r:id="rId38"/>
    <hyperlink xmlns:r="http://schemas.openxmlformats.org/officeDocument/2006/relationships" ref="A26" display="select_one listname" r:id="rId39"/>
    <hyperlink xmlns:r="http://schemas.openxmlformats.org/officeDocument/2006/relationships" ref="A27" display="select_one listname" r:id="rId40"/>
    <hyperlink xmlns:r="http://schemas.openxmlformats.org/officeDocument/2006/relationships" ref="A28" display="select_one listname" r:id="rId41"/>
    <hyperlink xmlns:r="http://schemas.openxmlformats.org/officeDocument/2006/relationships" ref="A29" display="select_one listname" r:id="rId42"/>
    <hyperlink xmlns:r="http://schemas.openxmlformats.org/officeDocument/2006/relationships" ref="A30" display="select_one listname" r:id="rId43"/>
    <hyperlink xmlns:r="http://schemas.openxmlformats.org/officeDocument/2006/relationships" ref="A31" display="select_one listname" r:id="rId44"/>
    <hyperlink xmlns:r="http://schemas.openxmlformats.org/officeDocument/2006/relationships" ref="A32" display="select_one listname" r:id="rId45"/>
    <hyperlink xmlns:r="http://schemas.openxmlformats.org/officeDocument/2006/relationships" ref="A33" display="select_one listname" r:id="rId46"/>
    <hyperlink xmlns:r="http://schemas.openxmlformats.org/officeDocument/2006/relationships" ref="A34" display="select_one listname" r:id="rId47"/>
    <hyperlink xmlns:r="http://schemas.openxmlformats.org/officeDocument/2006/relationships" ref="A35" display="select_multiple listname" r:id="rId48"/>
    <hyperlink xmlns:r="http://schemas.openxmlformats.org/officeDocument/2006/relationships" ref="A36" display="select_multiple listname" r:id="rId49"/>
    <hyperlink xmlns:r="http://schemas.openxmlformats.org/officeDocument/2006/relationships" ref="A37" display="select_multiple listname" r:id="rId50"/>
    <hyperlink xmlns:r="http://schemas.openxmlformats.org/officeDocument/2006/relationships" ref="A38" display="select_multiple listname" r:id="rId51"/>
    <hyperlink xmlns:r="http://schemas.openxmlformats.org/officeDocument/2006/relationships" ref="A39" display="select_multiple listname" r:id="rId52"/>
    <hyperlink xmlns:r="http://schemas.openxmlformats.org/officeDocument/2006/relationships" ref="A40" display="select_multiple listname" r:id="rId53"/>
    <hyperlink xmlns:r="http://schemas.openxmlformats.org/officeDocument/2006/relationships" ref="A41" display="select_multiple listname" r:id="rId54"/>
    <hyperlink xmlns:r="http://schemas.openxmlformats.org/officeDocument/2006/relationships" ref="A42" display="select_multiple listname" r:id="rId55"/>
    <hyperlink xmlns:r="http://schemas.openxmlformats.org/officeDocument/2006/relationships" ref="A43" display="select_multiple listname" r:id="rId56"/>
    <hyperlink xmlns:r="http://schemas.openxmlformats.org/officeDocument/2006/relationships" ref="A44" r:id="rId57"/>
    <hyperlink xmlns:r="http://schemas.openxmlformats.org/officeDocument/2006/relationships" ref="A45" r:id="rId58"/>
    <hyperlink xmlns:r="http://schemas.openxmlformats.org/officeDocument/2006/relationships" ref="A46" r:id="rId59"/>
    <hyperlink xmlns:r="http://schemas.openxmlformats.org/officeDocument/2006/relationships" ref="A47" r:id="rId60"/>
    <hyperlink xmlns:r="http://schemas.openxmlformats.org/officeDocument/2006/relationships" ref="A48" display="date" r:id="rId61"/>
    <hyperlink xmlns:r="http://schemas.openxmlformats.org/officeDocument/2006/relationships" ref="A49" display="date" r:id="rId62"/>
    <hyperlink xmlns:r="http://schemas.openxmlformats.org/officeDocument/2006/relationships" ref="A50" display="date" r:id="rId63"/>
    <hyperlink xmlns:r="http://schemas.openxmlformats.org/officeDocument/2006/relationships" ref="A51" display="date" r:id="rId64"/>
    <hyperlink xmlns:r="http://schemas.openxmlformats.org/officeDocument/2006/relationships" ref="A52" display="date" r:id="rId65"/>
    <hyperlink xmlns:r="http://schemas.openxmlformats.org/officeDocument/2006/relationships" ref="A53" display="image" r:id="rId66"/>
    <hyperlink xmlns:r="http://schemas.openxmlformats.org/officeDocument/2006/relationships" ref="A54" display="image" r:id="rId67"/>
    <hyperlink xmlns:r="http://schemas.openxmlformats.org/officeDocument/2006/relationships" ref="A55" display="image" r:id="rId68"/>
    <hyperlink xmlns:r="http://schemas.openxmlformats.org/officeDocument/2006/relationships" ref="A56" display="image" r:id="rId69"/>
    <hyperlink xmlns:r="http://schemas.openxmlformats.org/officeDocument/2006/relationships" ref="A57" r:id="rId70"/>
    <hyperlink xmlns:r="http://schemas.openxmlformats.org/officeDocument/2006/relationships" ref="A58" r:id="rId71"/>
    <hyperlink xmlns:r="http://schemas.openxmlformats.org/officeDocument/2006/relationships" ref="A59" r:id="rId72"/>
    <hyperlink xmlns:r="http://schemas.openxmlformats.org/officeDocument/2006/relationships" ref="A60" r:id="rId73"/>
    <hyperlink xmlns:r="http://schemas.openxmlformats.org/officeDocument/2006/relationships" ref="A61" r:id="rId74"/>
    <hyperlink xmlns:r="http://schemas.openxmlformats.org/officeDocument/2006/relationships" ref="A62" r:id="rId75"/>
    <hyperlink xmlns:r="http://schemas.openxmlformats.org/officeDocument/2006/relationships" ref="A63" r:id="rId76"/>
    <hyperlink xmlns:r="http://schemas.openxmlformats.org/officeDocument/2006/relationships" ref="A64" r:id="rId77"/>
    <hyperlink xmlns:r="http://schemas.openxmlformats.org/officeDocument/2006/relationships" ref="A65" r:id="rId78"/>
    <hyperlink xmlns:r="http://schemas.openxmlformats.org/officeDocument/2006/relationships" ref="A66" r:id="rId79"/>
    <hyperlink xmlns:r="http://schemas.openxmlformats.org/officeDocument/2006/relationships" ref="A67" r:id="rId80"/>
    <hyperlink xmlns:r="http://schemas.openxmlformats.org/officeDocument/2006/relationships" ref="A68" r:id="rId81"/>
    <hyperlink xmlns:r="http://schemas.openxmlformats.org/officeDocument/2006/relationships" ref="A69" display="calculate" r:id="rId82"/>
    <hyperlink xmlns:r="http://schemas.openxmlformats.org/officeDocument/2006/relationships" ref="A70" display="calculate" r:id="rId83"/>
    <hyperlink xmlns:r="http://schemas.openxmlformats.org/officeDocument/2006/relationships" ref="A71" r:id="rId84"/>
    <hyperlink xmlns:r="http://schemas.openxmlformats.org/officeDocument/2006/relationships" ref="A73" display="audio audit" r:id="rId85"/>
    <hyperlink xmlns:r="http://schemas.openxmlformats.org/officeDocument/2006/relationships" ref="A74" display="audio audit" r:id="rId86"/>
    <hyperlink xmlns:r="http://schemas.openxmlformats.org/officeDocument/2006/relationships" ref="A75" display="audio audit" r:id="rId87"/>
    <hyperlink xmlns:r="http://schemas.openxmlformats.org/officeDocument/2006/relationships" ref="A76" r:id="rId88"/>
    <hyperlink xmlns:r="http://schemas.openxmlformats.org/officeDocument/2006/relationships" ref="A79" r:id="rId89"/>
    <hyperlink xmlns:r="http://schemas.openxmlformats.org/officeDocument/2006/relationships" ref="A82" r:id="rId90"/>
    <hyperlink xmlns:r="http://schemas.openxmlformats.org/officeDocument/2006/relationships" ref="A85" display="speed violations count" r:id="rId91"/>
    <hyperlink xmlns:r="http://schemas.openxmlformats.org/officeDocument/2006/relationships" ref="A86" display="speed violations count" r:id="rId92"/>
    <hyperlink xmlns:r="http://schemas.openxmlformats.org/officeDocument/2006/relationships" ref="A87" display="speed violations count" r:id="rId93"/>
    <hyperlink xmlns:r="http://schemas.openxmlformats.org/officeDocument/2006/relationships" ref="A88" r:id="rId94"/>
    <hyperlink xmlns:r="http://schemas.openxmlformats.org/officeDocument/2006/relationships" ref="A89" r:id="rId95"/>
    <hyperlink xmlns:r="http://schemas.openxmlformats.org/officeDocument/2006/relationships" ref="A92" display="Learn about available expressions in &quot;Using expressions in your forms: a reference for all operators and functions&quot;." r:id="rId96"/>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H10"/>
  <sheetViews>
    <sheetView workbookViewId="0">
      <selection activeCell="A1" sqref="A1:B1"/>
    </sheetView>
  </sheetViews>
  <sheetFormatPr baseColWidth="10" defaultColWidth="11.1640625" defaultRowHeight="16"/>
  <cols>
    <col width="36" customWidth="1" min="1" max="7"/>
  </cols>
  <sheetData>
    <row r="1" ht="16" customHeight="1">
      <c r="A1" s="146" t="inlineStr">
        <is>
          <t>The choices worksheet</t>
        </is>
      </c>
      <c r="B1" s="147" t="n"/>
    </row>
    <row r="2" ht="18" customHeight="1">
      <c r="A2" s="37" t="n"/>
      <c r="B2" s="38" t="n"/>
    </row>
    <row r="3" ht="36" customHeight="1">
      <c r="A3" s="150" t="inlineStr">
        <is>
          <t>This worksheet is for the configuration of multiple-choice response options. These are stored in choice lists which are used with select_one and select_multiple type fields.</t>
        </is>
      </c>
      <c r="B3" s="149" t="n"/>
    </row>
    <row r="4" ht="19" customHeight="1">
      <c r="A4" s="157" t="inlineStr">
        <is>
          <t>Read about the select_one field type for more information</t>
        </is>
      </c>
      <c r="B4" s="149" t="n"/>
    </row>
    <row r="5" ht="19" customHeight="1">
      <c r="A5" s="157" t="inlineStr">
        <is>
          <t>Read about the select_multiple field type for more information</t>
        </is>
      </c>
      <c r="B5" s="149" t="n"/>
    </row>
    <row r="6" ht="20" customHeight="1">
      <c r="A6" s="151" t="inlineStr">
        <is>
          <t>Read about dynamically loading choice lists from external pre-loaded data</t>
        </is>
      </c>
      <c r="B6" s="152" t="n"/>
    </row>
    <row r="8" ht="18" customFormat="1" customHeight="1" s="3">
      <c r="A8" s="5" t="inlineStr">
        <is>
          <t>list_name</t>
        </is>
      </c>
      <c r="B8" s="5" t="inlineStr">
        <is>
          <t>value</t>
        </is>
      </c>
      <c r="C8" s="28" t="inlineStr">
        <is>
          <t>label</t>
        </is>
      </c>
      <c r="D8" s="28" t="inlineStr">
        <is>
          <t>label:languagename</t>
        </is>
      </c>
      <c r="E8" s="5" t="inlineStr">
        <is>
          <t>image</t>
        </is>
      </c>
      <c r="F8" s="5" t="inlineStr">
        <is>
          <t>image:languagename</t>
        </is>
      </c>
      <c r="G8" s="5" t="inlineStr">
        <is>
          <t>filter</t>
        </is>
      </c>
    </row>
    <row r="9" ht="272" customFormat="1" customHeight="1" s="54">
      <c r="A9" s="53" t="inlineStr">
        <is>
          <t>This column specifies the name of a multiple-choice question type (without any spaces or punctuation). A given list of options will involve multiple rows, each with the same list_name. Example: yesno</t>
        </is>
      </c>
      <c r="B9" s="53" t="inlineStr">
        <is>
          <t>This column specifies the internal value stored for a given choice. (It should really be called "value" rather than "name".) Example: 1
If dynamically loading from a pre-loaded .csv file, this should instead be the .csv column name from which to load option values.</t>
        </is>
      </c>
      <c r="C9" s="53"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9" s="53" t="inlineStr">
        <is>
          <t>Any label:languagename column (e.g., label:tamil) may be added in order to provide labels in an alternative language.
View the help topic below for more details.</t>
        </is>
      </c>
      <c r="E9" s="53"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is>
      </c>
      <c r="F9" s="53" t="inlineStr">
        <is>
          <t>Any label:languagename column (e.g., label:tamil) may be added in order to provide images in an alternative language.</t>
        </is>
      </c>
      <c r="G9" s="53"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9" s="53" t="n"/>
    </row>
    <row r="10" ht="34" customFormat="1" customHeight="1" s="59">
      <c r="D10" s="60" t="inlineStr">
        <is>
          <t>Help topic: Form languages</t>
        </is>
      </c>
      <c r="E10" s="61" t="inlineStr">
        <is>
          <t>Help topic: Images: Adding pictures and other graphics</t>
        </is>
      </c>
      <c r="G10" s="61" t="inlineStr">
        <is>
          <t>Help topic: Dynamically filtering lists of multiple-choice options</t>
        </is>
      </c>
    </row>
  </sheetData>
  <mergeCells count="5">
    <mergeCell ref="A4:B4"/>
    <mergeCell ref="A5:B5"/>
    <mergeCell ref="A1:B1"/>
    <mergeCell ref="A3:B3"/>
    <mergeCell ref="A6:B6"/>
  </mergeCells>
  <hyperlinks>
    <hyperlink xmlns:r="http://schemas.openxmlformats.org/officeDocument/2006/relationships" ref="A4" display="Read about the select_one field type for more information." r:id="rId1"/>
    <hyperlink xmlns:r="http://schemas.openxmlformats.org/officeDocument/2006/relationships" ref="A5" display="Read about the select_multiple field type for more information." r:id="rId2"/>
    <hyperlink xmlns:r="http://schemas.openxmlformats.org/officeDocument/2006/relationships" ref="A6" display="Read about dynamically loading choice lists from external pre-loaded data." r:id="rId3"/>
    <hyperlink xmlns:r="http://schemas.openxmlformats.org/officeDocument/2006/relationships" ref="D10" r:id="rId4"/>
    <hyperlink xmlns:r="http://schemas.openxmlformats.org/officeDocument/2006/relationships" ref="E10" r:id="rId5"/>
    <hyperlink xmlns:r="http://schemas.openxmlformats.org/officeDocument/2006/relationships" ref="G10" r:id="rId6"/>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sheetPr>
    <outlinePr summaryBelow="1" summaryRight="1"/>
    <pageSetUpPr/>
  </sheetPr>
  <dimension ref="A1:H8"/>
  <sheetViews>
    <sheetView topLeftCell="A6" workbookViewId="0">
      <selection activeCell="A1" sqref="A1:B1"/>
    </sheetView>
  </sheetViews>
  <sheetFormatPr baseColWidth="10" defaultColWidth="11.1640625" defaultRowHeight="16"/>
  <cols>
    <col width="36" customWidth="1" min="1" max="6"/>
  </cols>
  <sheetData>
    <row r="1">
      <c r="A1" s="158" t="inlineStr">
        <is>
          <t>The settings worksheet</t>
        </is>
      </c>
      <c r="B1" s="159" t="n"/>
      <c r="C1" s="29" t="n"/>
      <c r="D1" s="29" t="n"/>
      <c r="E1" s="29" t="n"/>
      <c r="F1" s="29" t="n"/>
    </row>
    <row r="2">
      <c r="A2" s="160" t="n"/>
      <c r="B2" s="161" t="n"/>
      <c r="C2" s="29" t="n"/>
      <c r="D2" s="29" t="n"/>
      <c r="E2" s="29" t="n"/>
      <c r="F2" s="29" t="n"/>
    </row>
    <row r="3" ht="55" customHeight="1">
      <c r="A3" s="162" t="inlineStr">
        <is>
          <t>This worksheet contains overall settings for your form, all specified in the second row of the worksheet. When you download a form template from your SurveyCTO server, these settings will be pre-filled for you.</t>
        </is>
      </c>
      <c r="B3" s="163" t="n"/>
      <c r="C3" s="29" t="n"/>
      <c r="D3" s="29" t="n"/>
      <c r="E3" s="29" t="n"/>
      <c r="F3" s="29" t="n"/>
    </row>
    <row r="4">
      <c r="A4" s="29" t="n"/>
      <c r="B4" s="29" t="n"/>
      <c r="C4" s="29" t="n"/>
      <c r="D4" s="29" t="n"/>
      <c r="E4" s="29" t="n"/>
      <c r="F4" s="29" t="n"/>
    </row>
    <row r="5" ht="18" customFormat="1" customHeight="1" s="42">
      <c r="A5" s="40" t="inlineStr">
        <is>
          <t>form_title</t>
        </is>
      </c>
      <c r="B5" s="40" t="inlineStr">
        <is>
          <t>form_id</t>
        </is>
      </c>
      <c r="C5" s="40" t="inlineStr">
        <is>
          <t>version</t>
        </is>
      </c>
      <c r="D5" s="40" t="inlineStr">
        <is>
          <t>public_key</t>
        </is>
      </c>
      <c r="E5" s="40" t="inlineStr">
        <is>
          <t>submission_url</t>
        </is>
      </c>
      <c r="F5" s="41" t="inlineStr">
        <is>
          <t>default_language</t>
        </is>
      </c>
      <c r="H5" s="43" t="n"/>
    </row>
    <row r="6" ht="388" customFormat="1" customHeight="1" s="45">
      <c r="A6" s="44" t="inlineStr">
        <is>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is>
      </c>
      <c r="B6" s="44" t="inlineStr">
        <is>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is>
      </c>
      <c r="C6" s="44"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is>
      </c>
      <c r="D6" s="44" t="inlineStr">
        <is>
          <t>This is the public key with which to encrypt all form submissions.
View the help topic below for more details.</t>
        </is>
      </c>
      <c r="E6" s="44" t="inlineStr">
        <is>
          <t>This is the submission URL to use when submitting encrypted forms.
View the help topic below for more details.</t>
        </is>
      </c>
      <c r="F6" s="44"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is>
      </c>
    </row>
    <row r="7" ht="34" customFormat="1" customHeight="1" s="45">
      <c r="A7" s="55" t="inlineStr">
        <is>
          <t>Help topic: Hiding forms during testing</t>
        </is>
      </c>
      <c r="B7" s="56" t="n"/>
      <c r="C7" s="55" t="inlineStr">
        <is>
          <t>Help topic: Updating an existing form</t>
        </is>
      </c>
      <c r="D7" s="55" t="inlineStr">
        <is>
          <t>Help topic: Encrypting form data (end-to-end encryption)</t>
        </is>
      </c>
      <c r="E7" s="55" t="inlineStr">
        <is>
          <t>Help topic: Encrypting form data (end-to-end encryption)</t>
        </is>
      </c>
      <c r="F7" s="55" t="inlineStr">
        <is>
          <t>Help topic: Form languages</t>
        </is>
      </c>
    </row>
    <row r="8">
      <c r="A8" s="12" t="n"/>
      <c r="B8" s="12" t="n"/>
      <c r="C8" s="12" t="n"/>
      <c r="D8" s="12" t="n"/>
      <c r="E8" s="12" t="n"/>
      <c r="F8" s="12" t="n"/>
    </row>
  </sheetData>
  <mergeCells count="3">
    <mergeCell ref="A3:B3"/>
    <mergeCell ref="A2:B2"/>
    <mergeCell ref="A1:B1"/>
  </mergeCells>
  <hyperlinks>
    <hyperlink xmlns:r="http://schemas.openxmlformats.org/officeDocument/2006/relationships" ref="A7" r:id="rId1"/>
    <hyperlink xmlns:r="http://schemas.openxmlformats.org/officeDocument/2006/relationships" ref="C7" r:id="rId2"/>
    <hyperlink xmlns:r="http://schemas.openxmlformats.org/officeDocument/2006/relationships" ref="D7" r:id="rId3"/>
    <hyperlink xmlns:r="http://schemas.openxmlformats.org/officeDocument/2006/relationships" ref="E7" r:id="rId4"/>
    <hyperlink xmlns:r="http://schemas.openxmlformats.org/officeDocument/2006/relationships" ref="F7" r:id="rId5"/>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Andrew Marder</dc:creator>
  <dcterms:created xmlns:dcterms="http://purl.org/dc/terms/" xmlns:xsi="http://www.w3.org/2001/XMLSchema-instance" xsi:type="dcterms:W3CDTF">2011-04-25T12:27:36Z</dcterms:created>
  <dcterms:modified xmlns:dcterms="http://purl.org/dc/terms/" xmlns:xsi="http://www.w3.org/2001/XMLSchema-instance" xsi:type="dcterms:W3CDTF">2026-09-07T10:08:03Z</dcterms:modified>
  <cp:lastModifiedBy>Sophie  Ochmann</cp:lastModifiedBy>
  <cp:revision>69</cp:revision>
  <cp:lastPrinted>1601-01-01T00:00:00Z</cp:lastPrinted>
</cp:coreProperties>
</file>